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/>
  <mc:AlternateContent xmlns:mc="http://schemas.openxmlformats.org/markup-compatibility/2006">
    <mc:Choice Requires="x15">
      <x15ac:absPath xmlns:x15ac="http://schemas.microsoft.com/office/spreadsheetml/2010/11/ac" url="/Users/lea/Library/Mobile Documents/com~apple~CloudDocs/2026/S3/Revisi Hybrid CAE/"/>
    </mc:Choice>
  </mc:AlternateContent>
  <xr:revisionPtr revIDLastSave="0" documentId="13_ncr:1_{4A4A588A-A0EE-1D40-B027-E7720E893959}" xr6:coauthVersionLast="47" xr6:coauthVersionMax="47" xr10:uidLastSave="{00000000-0000-0000-0000-000000000000}"/>
  <bookViews>
    <workbookView xWindow="0" yWindow="600" windowWidth="21800" windowHeight="12980" xr2:uid="{2D0DD14A-8A08-47DE-B1E1-0C97C8C4CB63}"/>
  </bookViews>
  <sheets>
    <sheet name="DATA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47" i="1" l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3646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238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2830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422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014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1606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198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794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398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62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<sst xmlns="http://schemas.openxmlformats.org/spreadsheetml/2006/main" count="4066" uniqueCount="48">
  <si>
    <t>Year</t>
  </si>
  <si>
    <t>Aceh</t>
  </si>
  <si>
    <t>Bali</t>
  </si>
  <si>
    <t>Bangka Belitung</t>
  </si>
  <si>
    <t>Banten</t>
  </si>
  <si>
    <t>Bengkulu</t>
  </si>
  <si>
    <t>Gorontalo</t>
  </si>
  <si>
    <t>Jakarta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</si>
  <si>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</si>
  <si>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</si>
  <si>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</si>
  <si>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</si>
  <si>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</si>
  <si>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</si>
  <si>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</si>
  <si>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</si>
  <si>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</si>
  <si>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</si>
  <si>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</si>
  <si>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</si>
  <si>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</si>
  <si>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</si>
  <si>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</si>
  <si>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</si>
  <si>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</si>
  <si>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</si>
  <si>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</si>
  <si>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</si>
  <si>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</si>
  <si>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</si>
  <si>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</si>
  <si>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</si>
  <si>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</si>
  <si>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</si>
  <si>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</si>
  <si>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Province</t>
  </si>
  <si>
    <t>Production</t>
  </si>
  <si>
    <t>Importation</t>
  </si>
  <si>
    <t>Demand</t>
  </si>
  <si>
    <t>No</t>
  </si>
  <si>
    <t>Month</t>
  </si>
  <si>
    <t>Supply</t>
  </si>
  <si>
    <t>Price</t>
  </si>
  <si>
    <t>Latitude</t>
  </si>
  <si>
    <t>Longitude</t>
  </si>
  <si>
    <t>Economy Growth (%)</t>
  </si>
  <si>
    <t>Population</t>
  </si>
  <si>
    <t>Religious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</si>
</sst>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000_-;\-* #,##0.0000_-;_-* &quot;-&quot;??_-;_-@_-"/>
    <numFmt numFmtId="166" formatCode="_-* #,##0_-;\-* #,##0_-;_-* &quot;-&quot;??_-;_-@_-"/>
    <numFmt numFmtId="167" formatCode="_-* #,##0.000_-;\-* #,##0.000_-;_-* &quot;-&quot;??_-;_-@_-"/>
    <numFmt numFmtId="168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166" fontId="2" fillId="2" borderId="0" xfId="1" applyNumberFormat="1" applyFont="1" applyFill="1" applyAlignment="1">
      <alignment horizontal="center" vertical="center"/>
    </xf>
    <xf numFmtId="166" fontId="0" fillId="0" borderId="0" xfId="1" applyNumberFormat="1" applyFont="1"/>
    <xf numFmtId="166" fontId="2" fillId="2" borderId="0" xfId="1" applyNumberFormat="1" applyFont="1" applyFill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 wrapText="1"/>
    </xf>
    <xf numFmtId="167" fontId="0" fillId="0" borderId="0" xfId="1" applyNumberFormat="1" applyFont="1"/>
    <xf numFmtId="167" fontId="2" fillId="2" borderId="0" xfId="1" applyNumberFormat="1" applyFont="1" applyFill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4" fontId="0" fillId="0" borderId="0" xfId="1" applyFont="1"/>
    <xf numFmtId="164" fontId="3" fillId="2" borderId="0" xfId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00_-;\-* #,##0.0000_-;_-* &quot;-&quot;??_-;_-@_-"/>
    </dxf>
    <dxf>
      <numFmt numFmtId="165" formatCode="_-* #,##0.0000_-;\-* #,##0.0000_-;_-* &quot;-&quot;??_-;_-@_-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numFmt numFmtId="166" formatCode="_-* #,##0_-;\-* #,##0_-;_-* &quot;-&quot;??_-;_-@_-"/>
    </dxf>
    <dxf>
      <numFmt numFmtId="167" formatCode="_-* #,##0.000_-;\-* #,##0.000_-;_-* &quot;-&quot;??_-;_-@_-"/>
    </dxf>
    <dxf>
      <numFmt numFmtId="166" formatCode="_-* #,##0_-;\-* #,##0_-;_-* &quot;-&quot;??_-;_-@_-"/>
    </dxf>
    <dxf>
      <numFmt numFmtId="167" formatCode="_-* #,##0.000_-;\-* #,##0.000_-;_-* &quot;-&quot;??_-;_-@_-"/>
    </dxf>
    <dxf>
      <numFmt numFmtId="165" formatCode="_-* #,##0.0000_-;\-* #,##0.00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/Download/Jumlah%20Penduduk%20Menurut%20Provinsi%20di%20Indonesia%20(ribu%20jiwa),%202013%20-%202017.xlsx" TargetMode="External"/><Relationship Id="rId1" Type="http://schemas.openxmlformats.org/officeDocument/2006/relationships/externalLinkPath" Target="file:///O:/Download/Jumlah%20Penduduk%20Menurut%20Provinsi%20di%20Indonesia%20(ribu%20jiwa),%202013%20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 t="str">
            <v>Provinsi</v>
          </cell>
          <cell r="B3">
            <v>2013</v>
          </cell>
          <cell r="C3">
            <v>2014</v>
          </cell>
          <cell r="D3">
            <v>2015</v>
          </cell>
          <cell r="E3">
            <v>2016</v>
          </cell>
          <cell r="F3">
            <v>2017</v>
          </cell>
          <cell r="G3">
            <v>2018</v>
          </cell>
          <cell r="H3">
            <v>2019</v>
          </cell>
          <cell r="I3">
            <v>2020</v>
          </cell>
          <cell r="J3">
            <v>2021</v>
          </cell>
          <cell r="K3">
            <v>2022</v>
          </cell>
        </row>
        <row r="4">
          <cell r="A4" t="str">
            <v>Aceh</v>
          </cell>
          <cell r="B4">
            <v>4811100</v>
          </cell>
          <cell r="C4">
            <v>4906800</v>
          </cell>
          <cell r="D4">
            <v>5020000</v>
          </cell>
          <cell r="E4">
            <v>5096200</v>
          </cell>
          <cell r="F4">
            <v>5189500</v>
          </cell>
          <cell r="G4">
            <v>5281300</v>
          </cell>
          <cell r="H4">
            <v>5371500</v>
          </cell>
          <cell r="I4">
            <v>5274900</v>
          </cell>
          <cell r="J4">
            <v>5333700</v>
          </cell>
          <cell r="K4">
            <v>5407900</v>
          </cell>
        </row>
        <row r="5">
          <cell r="A5" t="str">
            <v>Sumatera Utara</v>
          </cell>
          <cell r="B5">
            <v>13590300</v>
          </cell>
          <cell r="C5">
            <v>13766900</v>
          </cell>
          <cell r="D5">
            <v>13937800</v>
          </cell>
          <cell r="E5">
            <v>14102900</v>
          </cell>
          <cell r="F5">
            <v>14262100</v>
          </cell>
          <cell r="G5">
            <v>14415400</v>
          </cell>
          <cell r="H5">
            <v>14562500</v>
          </cell>
          <cell r="I5">
            <v>14799400</v>
          </cell>
          <cell r="J5">
            <v>14936200</v>
          </cell>
          <cell r="K5">
            <v>15115200</v>
          </cell>
        </row>
        <row r="6">
          <cell r="A6" t="str">
            <v>Sumatera Barat</v>
          </cell>
          <cell r="B6">
            <v>5066500</v>
          </cell>
          <cell r="C6">
            <v>5131900</v>
          </cell>
          <cell r="D6">
            <v>5196300</v>
          </cell>
          <cell r="E6">
            <v>5259500</v>
          </cell>
          <cell r="F6">
            <v>5321500</v>
          </cell>
          <cell r="G6">
            <v>5382100</v>
          </cell>
          <cell r="H6">
            <v>5441200</v>
          </cell>
          <cell r="I6">
            <v>5534500</v>
          </cell>
          <cell r="J6">
            <v>5580200</v>
          </cell>
          <cell r="K6">
            <v>5640600</v>
          </cell>
        </row>
        <row r="7">
          <cell r="A7" t="str">
            <v>Riau</v>
          </cell>
          <cell r="B7">
            <v>6033300</v>
          </cell>
          <cell r="C7">
            <v>6188400</v>
          </cell>
          <cell r="D7">
            <v>6344400</v>
          </cell>
          <cell r="E7">
            <v>6501000</v>
          </cell>
          <cell r="F7">
            <v>6657900</v>
          </cell>
          <cell r="G7">
            <v>6814900</v>
          </cell>
          <cell r="H7">
            <v>6971700</v>
          </cell>
          <cell r="I7">
            <v>6394100</v>
          </cell>
          <cell r="J7">
            <v>6493600</v>
          </cell>
          <cell r="K7">
            <v>6614400</v>
          </cell>
        </row>
        <row r="8">
          <cell r="A8" t="str">
            <v>Jambi</v>
          </cell>
          <cell r="B8">
            <v>3286100</v>
          </cell>
          <cell r="C8">
            <v>3344400</v>
          </cell>
          <cell r="D8">
            <v>3402100</v>
          </cell>
          <cell r="E8">
            <v>3458900</v>
          </cell>
          <cell r="F8">
            <v>3515000</v>
          </cell>
          <cell r="G8">
            <v>3570300</v>
          </cell>
          <cell r="H8">
            <v>3624600</v>
          </cell>
          <cell r="I8">
            <v>3548200</v>
          </cell>
          <cell r="J8">
            <v>3585100</v>
          </cell>
          <cell r="K8">
            <v>3631100</v>
          </cell>
        </row>
        <row r="9">
          <cell r="A9" t="str">
            <v>Sumatera Selatan</v>
          </cell>
          <cell r="B9">
            <v>7828700</v>
          </cell>
          <cell r="C9">
            <v>7941500</v>
          </cell>
          <cell r="D9">
            <v>8052300</v>
          </cell>
          <cell r="E9">
            <v>8052300</v>
          </cell>
          <cell r="F9">
            <v>8267000</v>
          </cell>
          <cell r="G9">
            <v>8370299.9999999991</v>
          </cell>
          <cell r="H9">
            <v>8470700</v>
          </cell>
          <cell r="I9">
            <v>8467400</v>
          </cell>
          <cell r="J9">
            <v>8550900</v>
          </cell>
          <cell r="K9">
            <v>8657000</v>
          </cell>
        </row>
        <row r="10">
          <cell r="A10" t="str">
            <v>Bengkulu</v>
          </cell>
          <cell r="B10">
            <v>1814400</v>
          </cell>
          <cell r="C10">
            <v>1844800</v>
          </cell>
          <cell r="D10">
            <v>1874900</v>
          </cell>
          <cell r="E10">
            <v>1904800</v>
          </cell>
          <cell r="F10">
            <v>1904800</v>
          </cell>
          <cell r="G10">
            <v>1963300</v>
          </cell>
          <cell r="H10">
            <v>1991800</v>
          </cell>
          <cell r="I10">
            <v>2010700</v>
          </cell>
          <cell r="J10">
            <v>2032900</v>
          </cell>
          <cell r="K10">
            <v>2060100</v>
          </cell>
        </row>
        <row r="11">
          <cell r="A11" t="str">
            <v>Lampung</v>
          </cell>
          <cell r="B11">
            <v>7932100</v>
          </cell>
          <cell r="C11">
            <v>8026200</v>
          </cell>
          <cell r="D11">
            <v>8117300</v>
          </cell>
          <cell r="E11">
            <v>8205100</v>
          </cell>
          <cell r="F11">
            <v>8289600</v>
          </cell>
          <cell r="G11">
            <v>8370500</v>
          </cell>
          <cell r="H11">
            <v>8447700</v>
          </cell>
          <cell r="I11">
            <v>9007800</v>
          </cell>
          <cell r="J11">
            <v>9081800</v>
          </cell>
          <cell r="K11">
            <v>9176600</v>
          </cell>
        </row>
        <row r="12">
          <cell r="A12" t="str">
            <v>Bangka Belitung</v>
          </cell>
          <cell r="B12">
            <v>1315100</v>
          </cell>
          <cell r="C12">
            <v>1343900</v>
          </cell>
          <cell r="D12">
            <v>1372800</v>
          </cell>
          <cell r="E12">
            <v>1401800</v>
          </cell>
          <cell r="F12">
            <v>1430900</v>
          </cell>
          <cell r="G12">
            <v>1459900</v>
          </cell>
          <cell r="H12">
            <v>1488800</v>
          </cell>
          <cell r="I12">
            <v>1455700</v>
          </cell>
          <cell r="J12">
            <v>1473200</v>
          </cell>
          <cell r="K12">
            <v>1494600</v>
          </cell>
        </row>
        <row r="13">
          <cell r="A13" t="str">
            <v>Kepulauan Riau</v>
          </cell>
          <cell r="B13">
            <v>1861400</v>
          </cell>
          <cell r="C13">
            <v>1917400</v>
          </cell>
          <cell r="D13">
            <v>1973000</v>
          </cell>
          <cell r="E13">
            <v>2028200</v>
          </cell>
          <cell r="F13">
            <v>2082699.9999999998</v>
          </cell>
          <cell r="G13">
            <v>2136500</v>
          </cell>
          <cell r="H13">
            <v>2189700</v>
          </cell>
          <cell r="I13">
            <v>2064600</v>
          </cell>
          <cell r="J13">
            <v>2118200</v>
          </cell>
          <cell r="K13">
            <v>2179800</v>
          </cell>
        </row>
        <row r="14">
          <cell r="A14" t="str">
            <v>Jakarta</v>
          </cell>
          <cell r="B14">
            <v>9969900</v>
          </cell>
          <cell r="C14">
            <v>10075300</v>
          </cell>
          <cell r="D14">
            <v>10177900</v>
          </cell>
          <cell r="E14">
            <v>10277600</v>
          </cell>
          <cell r="F14">
            <v>10374200</v>
          </cell>
          <cell r="G14">
            <v>10467600</v>
          </cell>
          <cell r="H14">
            <v>10557800</v>
          </cell>
          <cell r="I14">
            <v>10562100</v>
          </cell>
          <cell r="J14">
            <v>10609700</v>
          </cell>
          <cell r="K14">
            <v>10680000</v>
          </cell>
        </row>
        <row r="15">
          <cell r="A15" t="str">
            <v>Jawa Barat</v>
          </cell>
          <cell r="B15">
            <v>45340800</v>
          </cell>
          <cell r="C15">
            <v>46029600</v>
          </cell>
          <cell r="D15">
            <v>46709600</v>
          </cell>
          <cell r="E15">
            <v>47379400</v>
          </cell>
          <cell r="F15">
            <v>48037600</v>
          </cell>
          <cell r="G15">
            <v>48683700</v>
          </cell>
          <cell r="H15">
            <v>49316700</v>
          </cell>
          <cell r="I15">
            <v>48274200</v>
          </cell>
          <cell r="J15">
            <v>48782400</v>
          </cell>
          <cell r="K15">
            <v>49405800</v>
          </cell>
        </row>
        <row r="16">
          <cell r="A16" t="str">
            <v>Jawa Tengah</v>
          </cell>
          <cell r="B16">
            <v>33264300.000000004</v>
          </cell>
          <cell r="C16">
            <v>33522699.999999996</v>
          </cell>
          <cell r="D16">
            <v>33774100</v>
          </cell>
          <cell r="E16">
            <v>34019100</v>
          </cell>
          <cell r="F16">
            <v>34257900</v>
          </cell>
          <cell r="G16">
            <v>34490800</v>
          </cell>
          <cell r="H16">
            <v>34718200</v>
          </cell>
          <cell r="I16">
            <v>36516000</v>
          </cell>
          <cell r="J16">
            <v>36742500</v>
          </cell>
          <cell r="K16">
            <v>37032400</v>
          </cell>
        </row>
        <row r="17">
          <cell r="A17" t="str">
            <v>Yogyakarta</v>
          </cell>
          <cell r="B17">
            <v>3594900</v>
          </cell>
          <cell r="C17">
            <v>3637100</v>
          </cell>
          <cell r="D17">
            <v>3679200</v>
          </cell>
          <cell r="E17">
            <v>3720900</v>
          </cell>
          <cell r="F17">
            <v>3762200</v>
          </cell>
          <cell r="G17">
            <v>3802900</v>
          </cell>
          <cell r="H17">
            <v>3842900</v>
          </cell>
          <cell r="I17">
            <v>3668700</v>
          </cell>
          <cell r="J17">
            <v>3712900</v>
          </cell>
          <cell r="K17">
            <v>3761900</v>
          </cell>
        </row>
        <row r="18">
          <cell r="A18" t="str">
            <v>Jawa Timur</v>
          </cell>
          <cell r="B18">
            <v>38363200</v>
          </cell>
          <cell r="C18">
            <v>38610200</v>
          </cell>
          <cell r="D18">
            <v>38847600</v>
          </cell>
          <cell r="E18">
            <v>39075200</v>
          </cell>
          <cell r="F18">
            <v>39293000</v>
          </cell>
          <cell r="G18">
            <v>39500900</v>
          </cell>
          <cell r="H18">
            <v>39698600</v>
          </cell>
          <cell r="I18">
            <v>40665700</v>
          </cell>
          <cell r="J18">
            <v>40878800</v>
          </cell>
          <cell r="K18">
            <v>41150000</v>
          </cell>
        </row>
        <row r="19">
          <cell r="A19" t="str">
            <v>Banten</v>
          </cell>
          <cell r="B19">
            <v>11452500</v>
          </cell>
          <cell r="C19">
            <v>11704900</v>
          </cell>
          <cell r="D19">
            <v>11955200</v>
          </cell>
          <cell r="E19">
            <v>12203100</v>
          </cell>
          <cell r="F19">
            <v>12448200</v>
          </cell>
          <cell r="G19">
            <v>12689700</v>
          </cell>
          <cell r="H19">
            <v>12927300</v>
          </cell>
          <cell r="I19">
            <v>11904600</v>
          </cell>
          <cell r="J19">
            <v>12061500</v>
          </cell>
          <cell r="K19">
            <v>12252000</v>
          </cell>
        </row>
        <row r="20">
          <cell r="A20" t="str">
            <v>Bali</v>
          </cell>
          <cell r="B20">
            <v>4056300</v>
          </cell>
          <cell r="C20">
            <v>4104899.9999999995</v>
          </cell>
          <cell r="D20">
            <v>4152800</v>
          </cell>
          <cell r="E20">
            <v>4200100</v>
          </cell>
          <cell r="F20">
            <v>4246500</v>
          </cell>
          <cell r="G20">
            <v>4292200</v>
          </cell>
          <cell r="H20">
            <v>4336900</v>
          </cell>
          <cell r="I20">
            <v>4317400</v>
          </cell>
          <cell r="J20">
            <v>4362700</v>
          </cell>
          <cell r="K20">
            <v>4415100</v>
          </cell>
        </row>
        <row r="21">
          <cell r="A21" t="str">
            <v>Nusa Tenggara Barat</v>
          </cell>
          <cell r="B21">
            <v>4710800</v>
          </cell>
          <cell r="C21">
            <v>4773800</v>
          </cell>
          <cell r="D21">
            <v>4835600</v>
          </cell>
          <cell r="E21">
            <v>4896200</v>
          </cell>
          <cell r="F21">
            <v>4955600</v>
          </cell>
          <cell r="G21">
            <v>5013700</v>
          </cell>
          <cell r="H21">
            <v>5070400</v>
          </cell>
          <cell r="I21">
            <v>5320100</v>
          </cell>
          <cell r="J21">
            <v>5390000</v>
          </cell>
          <cell r="K21">
            <v>5473700</v>
          </cell>
        </row>
        <row r="22">
          <cell r="A22" t="str">
            <v>Nusa Tenggara Timur</v>
          </cell>
          <cell r="B22">
            <v>4954000</v>
          </cell>
          <cell r="C22">
            <v>5036900</v>
          </cell>
          <cell r="D22">
            <v>5120100</v>
          </cell>
          <cell r="E22">
            <v>5203500</v>
          </cell>
          <cell r="F22">
            <v>5287300</v>
          </cell>
          <cell r="G22">
            <v>5371500</v>
          </cell>
          <cell r="H22">
            <v>5456200</v>
          </cell>
          <cell r="I22">
            <v>5325600</v>
          </cell>
          <cell r="J22">
            <v>5387700</v>
          </cell>
          <cell r="K22">
            <v>5466300</v>
          </cell>
        </row>
        <row r="23">
          <cell r="A23" t="str">
            <v>Kalimantan Barat</v>
          </cell>
          <cell r="B23">
            <v>4641400</v>
          </cell>
          <cell r="C23">
            <v>4716100</v>
          </cell>
          <cell r="D23">
            <v>4789600</v>
          </cell>
          <cell r="E23">
            <v>4861700</v>
          </cell>
          <cell r="F23">
            <v>4932500</v>
          </cell>
          <cell r="G23">
            <v>5001700</v>
          </cell>
          <cell r="H23">
            <v>5069100</v>
          </cell>
          <cell r="I23">
            <v>5414400</v>
          </cell>
          <cell r="J23">
            <v>5470800</v>
          </cell>
          <cell r="K23">
            <v>5541400</v>
          </cell>
        </row>
        <row r="24">
          <cell r="A24" t="str">
            <v>Kalimantan Tengah</v>
          </cell>
          <cell r="B24">
            <v>2384700</v>
          </cell>
          <cell r="C24">
            <v>2439900</v>
          </cell>
          <cell r="D24">
            <v>2495000</v>
          </cell>
          <cell r="E24">
            <v>2550200</v>
          </cell>
          <cell r="F24">
            <v>2605300</v>
          </cell>
          <cell r="G24">
            <v>2660200</v>
          </cell>
          <cell r="H24">
            <v>2714900</v>
          </cell>
          <cell r="I24">
            <v>2670000</v>
          </cell>
          <cell r="J24">
            <v>2702200</v>
          </cell>
          <cell r="K24">
            <v>2741100</v>
          </cell>
        </row>
        <row r="25">
          <cell r="A25" t="str">
            <v>Kalimantan Selatan</v>
          </cell>
          <cell r="B25">
            <v>3854500</v>
          </cell>
          <cell r="C25">
            <v>3922800</v>
          </cell>
          <cell r="D25">
            <v>3989800</v>
          </cell>
          <cell r="E25">
            <v>4055500</v>
          </cell>
          <cell r="F25">
            <v>4119800</v>
          </cell>
          <cell r="G25">
            <v>4182700</v>
          </cell>
          <cell r="H25">
            <v>4244100</v>
          </cell>
          <cell r="I25">
            <v>4073600</v>
          </cell>
          <cell r="J25">
            <v>4122600.0000000005</v>
          </cell>
          <cell r="K25">
            <v>4182100.0000000005</v>
          </cell>
        </row>
        <row r="26">
          <cell r="A26" t="str">
            <v>Kalimantan Timur</v>
          </cell>
          <cell r="B26">
            <v>3870800</v>
          </cell>
          <cell r="C26">
            <v>3969600</v>
          </cell>
          <cell r="D26">
            <v>4068600</v>
          </cell>
          <cell r="E26">
            <v>4167600.0000000005</v>
          </cell>
          <cell r="F26">
            <v>4266500</v>
          </cell>
          <cell r="G26">
            <v>3648800</v>
          </cell>
          <cell r="H26">
            <v>3721400</v>
          </cell>
          <cell r="I26">
            <v>3766000</v>
          </cell>
          <cell r="J26">
            <v>3808200</v>
          </cell>
          <cell r="K26">
            <v>3859800</v>
          </cell>
        </row>
        <row r="27">
          <cell r="A27" t="str">
            <v>Kalimantan Utara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716400</v>
          </cell>
          <cell r="H27">
            <v>742200</v>
          </cell>
          <cell r="I27">
            <v>701800</v>
          </cell>
          <cell r="J27">
            <v>713600</v>
          </cell>
          <cell r="K27">
            <v>727800</v>
          </cell>
        </row>
        <row r="28">
          <cell r="A28" t="str">
            <v>Sulawesi Utara</v>
          </cell>
          <cell r="B28">
            <v>2360400</v>
          </cell>
          <cell r="C28">
            <v>2386600</v>
          </cell>
          <cell r="D28">
            <v>2412100</v>
          </cell>
          <cell r="E28">
            <v>2436900</v>
          </cell>
          <cell r="F28">
            <v>2461000</v>
          </cell>
          <cell r="G28">
            <v>2484400</v>
          </cell>
          <cell r="H28">
            <v>2507000</v>
          </cell>
          <cell r="I28">
            <v>2621900</v>
          </cell>
          <cell r="J28">
            <v>2638600</v>
          </cell>
          <cell r="K28">
            <v>2659500</v>
          </cell>
        </row>
        <row r="29">
          <cell r="A29" t="str">
            <v>Sulawesi Tengah</v>
          </cell>
          <cell r="B29">
            <v>2785500</v>
          </cell>
          <cell r="C29">
            <v>2831300</v>
          </cell>
          <cell r="D29">
            <v>2876700</v>
          </cell>
          <cell r="E29">
            <v>2921700</v>
          </cell>
          <cell r="F29">
            <v>2966300</v>
          </cell>
          <cell r="G29">
            <v>3010400</v>
          </cell>
          <cell r="H29">
            <v>3054000</v>
          </cell>
          <cell r="I29">
            <v>2985700</v>
          </cell>
          <cell r="J29">
            <v>3021900</v>
          </cell>
          <cell r="K29">
            <v>3066100</v>
          </cell>
        </row>
        <row r="30">
          <cell r="A30" t="str">
            <v>Sulawesi Selatan</v>
          </cell>
          <cell r="B30">
            <v>8342000</v>
          </cell>
          <cell r="C30">
            <v>8432200</v>
          </cell>
          <cell r="D30">
            <v>8520300</v>
          </cell>
          <cell r="E30">
            <v>8606400</v>
          </cell>
          <cell r="F30">
            <v>8690300</v>
          </cell>
          <cell r="G30">
            <v>8772000</v>
          </cell>
          <cell r="H30">
            <v>8851200</v>
          </cell>
          <cell r="I30">
            <v>9073500</v>
          </cell>
          <cell r="J30">
            <v>9139500</v>
          </cell>
          <cell r="K30">
            <v>9225800</v>
          </cell>
        </row>
        <row r="31">
          <cell r="A31" t="str">
            <v>Sulawesi Tenggara</v>
          </cell>
          <cell r="B31">
            <v>2396700</v>
          </cell>
          <cell r="C31">
            <v>2448100</v>
          </cell>
          <cell r="D31">
            <v>2499500</v>
          </cell>
          <cell r="E31">
            <v>2551000</v>
          </cell>
          <cell r="F31">
            <v>2602400</v>
          </cell>
          <cell r="G31">
            <v>2653700</v>
          </cell>
          <cell r="H31">
            <v>2704700</v>
          </cell>
          <cell r="I31">
            <v>2624900</v>
          </cell>
          <cell r="J31">
            <v>2659200</v>
          </cell>
          <cell r="K31">
            <v>2701700</v>
          </cell>
        </row>
        <row r="32">
          <cell r="A32" t="str">
            <v>Gorontalo</v>
          </cell>
          <cell r="B32">
            <v>1098000</v>
          </cell>
          <cell r="C32">
            <v>1115600</v>
          </cell>
          <cell r="D32">
            <v>1133200</v>
          </cell>
          <cell r="E32">
            <v>1150800</v>
          </cell>
          <cell r="F32">
            <v>1168200</v>
          </cell>
          <cell r="G32">
            <v>1185500</v>
          </cell>
          <cell r="H32">
            <v>1202600</v>
          </cell>
          <cell r="I32">
            <v>1171700</v>
          </cell>
          <cell r="J32">
            <v>1181000</v>
          </cell>
          <cell r="K32">
            <v>1192700</v>
          </cell>
        </row>
        <row r="33">
          <cell r="A33" t="str">
            <v>Sulawesi Barat</v>
          </cell>
          <cell r="B33">
            <v>1234300</v>
          </cell>
          <cell r="C33">
            <v>1258100</v>
          </cell>
          <cell r="D33">
            <v>1282200</v>
          </cell>
          <cell r="E33">
            <v>1306500</v>
          </cell>
          <cell r="F33">
            <v>1331000</v>
          </cell>
          <cell r="G33">
            <v>1355600</v>
          </cell>
          <cell r="H33">
            <v>1380300</v>
          </cell>
          <cell r="I33">
            <v>1419200</v>
          </cell>
          <cell r="J33">
            <v>1436800</v>
          </cell>
          <cell r="K33">
            <v>1458600</v>
          </cell>
        </row>
        <row r="34">
          <cell r="A34" t="str">
            <v>Maluku</v>
          </cell>
          <cell r="B34">
            <v>1628400</v>
          </cell>
          <cell r="C34">
            <v>1657400</v>
          </cell>
          <cell r="D34">
            <v>1686500</v>
          </cell>
          <cell r="E34">
            <v>1715500</v>
          </cell>
          <cell r="F34">
            <v>1744700</v>
          </cell>
          <cell r="G34">
            <v>1773800</v>
          </cell>
          <cell r="H34">
            <v>1802900</v>
          </cell>
          <cell r="I34">
            <v>1848900</v>
          </cell>
          <cell r="J34">
            <v>1862600</v>
          </cell>
          <cell r="K34">
            <v>1881700</v>
          </cell>
        </row>
        <row r="35">
          <cell r="A35" t="str">
            <v>Maluku Utara</v>
          </cell>
          <cell r="B35">
            <v>1114900</v>
          </cell>
          <cell r="C35">
            <v>1138700</v>
          </cell>
          <cell r="D35">
            <v>1162300</v>
          </cell>
          <cell r="E35">
            <v>1185900</v>
          </cell>
          <cell r="F35">
            <v>1209300</v>
          </cell>
          <cell r="G35">
            <v>1232600</v>
          </cell>
          <cell r="H35">
            <v>1255800</v>
          </cell>
          <cell r="I35">
            <v>1282900</v>
          </cell>
          <cell r="J35">
            <v>1299200</v>
          </cell>
          <cell r="K35">
            <v>1319300</v>
          </cell>
        </row>
        <row r="36">
          <cell r="A36" t="str">
            <v>Papua Barat</v>
          </cell>
          <cell r="B36">
            <v>828300</v>
          </cell>
          <cell r="C36">
            <v>849800</v>
          </cell>
          <cell r="D36">
            <v>871500</v>
          </cell>
          <cell r="E36">
            <v>893400</v>
          </cell>
          <cell r="F36">
            <v>915400</v>
          </cell>
          <cell r="G36">
            <v>937500</v>
          </cell>
          <cell r="H36">
            <v>959600</v>
          </cell>
          <cell r="I36">
            <v>1134100</v>
          </cell>
          <cell r="J36">
            <v>1156800</v>
          </cell>
          <cell r="K36">
            <v>1183300</v>
          </cell>
        </row>
        <row r="37">
          <cell r="A37" t="str">
            <v>Papua</v>
          </cell>
          <cell r="B37">
            <v>3032500</v>
          </cell>
          <cell r="C37">
            <v>3091000</v>
          </cell>
          <cell r="D37">
            <v>3149400</v>
          </cell>
          <cell r="E37">
            <v>3207400</v>
          </cell>
          <cell r="F37">
            <v>3265200</v>
          </cell>
          <cell r="G37">
            <v>3322500</v>
          </cell>
          <cell r="H37">
            <v>3379300</v>
          </cell>
          <cell r="I37">
            <v>4303700</v>
          </cell>
          <cell r="J37">
            <v>4355400</v>
          </cell>
          <cell r="K37">
            <v>4418600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6D73B-2350-42E5-8D03-1160ADD10C17}" name="Table1" displayName="Table1" ref="A1:N4053" totalsRowShown="0" headerRowDxfId="10">
  <autoFilter ref="A1:N4053" xr:uid="{E956D73B-2350-42E5-8D03-1160ADD10C17}"/>
  <tableColumns count="14">
    <tableColumn id="1" xr3:uid="{3305C3C5-D8D7-4286-84BC-B7A584BEBB90}" name="No"/>
    <tableColumn id="2" xr3:uid="{6E9872BC-34FD-4FA2-8FB5-FB0486290F36}" name="Province"/>
    <tableColumn id="3" xr3:uid="{7FC9449C-FB9F-41AB-B2A5-8D19A000A1CC}" name="Year"/>
    <tableColumn id="4" xr3:uid="{8DE3D3D5-AAA4-4A81-B1D7-E34FF0180A54}" name="Month"/>
    <tableColumn id="5" xr3:uid="{7010AFCA-4AF5-41A3-821C-8D976A099142}" name="Production" dataDxfId="9" dataCellStyle="Comma"/>
    <tableColumn id="11" xr3:uid="{21FA65A1-19B9-441A-8490-4E285C0DA1A8}" name="Importation" dataDxfId="8" dataCellStyle="Comma"/>
    <tableColumn id="7" xr3:uid="{43CD960E-8832-4194-8559-59E8552BDC21}" name="Demand" dataDxfId="7" dataCellStyle="Comma"/>
    <tableColumn id="9" xr3:uid="{BDD30670-86ED-454E-8A2B-60E65D03BECE}" name="Supply" dataDxfId="6" dataCellStyle="Comma">
      <calculatedColumnFormula>F2+E2</calculatedColumnFormula>
    </tableColumn>
    <tableColumn id="8" xr3:uid="{13247702-F24F-4274-AB34-B5420CD4AB5D}" name="Price" dataDxfId="5" dataCellStyle="Comma"/>
    <tableColumn id="12" xr3:uid="{B9F84A38-BA7D-4520-836F-FD4337FDF0AF}" name="Population" dataDxfId="4" dataCellStyle="Comma"/>
    <tableColumn id="10" xr3:uid="{8EA2FE09-81FC-4BAB-988D-8C198EC8F51B}" name="Religious Holiday" dataDxfId="3" dataCellStyle="Comma"/>
    <tableColumn id="6" xr3:uid="{34987AAC-3A57-4368-82D2-8921FD36DC79}" name="Latitude" dataDxfId="2" dataCellStyle="Comma"/>
    <tableColumn id="13" xr3:uid="{810AB108-6530-448B-8A76-801347615693}" name="Longitude" dataDxfId="1" dataCellStyle="Comma"/>
    <tableColumn id="14" xr3:uid="{2BE48B64-537C-4919-84D4-011E91FF1629}" name="Economy Growth (%)" dataDxfId="0" dataCellStyle="Comm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2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F37D17-577D-4D70-9F89-1EE0A0193973}">
  <we:reference id="wa104382047" version="1.0.2.6" store="en-001" storeType="OMEX"/>
  <we:alternateReferences>
    <we:reference id="wa104382047" version="1.0.2.6" store="WA104382047" storeType="OMEX"/>
  </we:alternateReferences>
  <we:properties/>
  <we:bindings>
    <we:binding id="1" type="matrix" appref="{F4208EFA-ECDA-4834-B728-08D7AC508B0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_xldudf_MAPCITE_DISTANCETO</we:customFunctionIds>
        <we:customFunctionIds>_xldudf_MAPCITE_DISTANCETOFURTHEST</we:customFunctionIds>
        <we:customFunctionIds>_xldudf_MAPCITE_DISTANCETONEAREST</we:customFunctionIds>
        <we:customFunctionIds>_xldudf_MAPCITE_FINDFURTHEST</we:customFunctionIds>
        <we:customFunctionIds>_xldudf_MAPCITE_FINDNEAREST</we:customFunctionIds>
        <we:customFunctionIds>_xldudf_MAPCITE_AVERAGEINRADIUS</we:customFunctionIds>
        <we:customFunctionIds>_xldudf_MAPCITE_COUNTINRADIUS</we:customFunctionIds>
        <we:customFunctionIds>_xldudf_MAPCITE_MAXINRADIUS</we:customFunctionIds>
        <we:customFunctionIds>_xldudf_MAPCITE_MININRADIUS</we:customFunctionIds>
        <we:customFunctionIds>_xldudf_MAPCITE_SUMINRADIUS</we:customFunctionIds>
        <we:customFunctionIds>_xldudf_MAPCITE_CO2EFREIGHT</we:customFunctionIds>
        <we:customFunctionIds>_xldudf_MAPCITE_CO2EBUSINESSTRAVEL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F05-B584-49ED-8258-139164EC8C71}">
  <dimension ref="A1:R4053"/>
  <sheetViews>
    <sheetView tabSelected="1" view="pageBreakPreview" zoomScale="60" zoomScaleNormal="70" workbookViewId="0">
      <pane ySplit="1" topLeftCell="A2" activePane="bottomLeft" state="frozen"/>
      <selection activeCell="D1" sqref="D1"/>
      <selection pane="bottomLeft" activeCell="J2" sqref="J2"/>
    </sheetView>
  </sheetViews>
  <sheetFormatPr baseColWidth="10" defaultColWidth="8.83203125" defaultRowHeight="15" x14ac:dyDescent="0.2"/>
  <cols>
    <col min="1" max="1" width="7.6640625" bestFit="1" customWidth="1"/>
    <col min="2" max="2" width="22" bestFit="1" customWidth="1"/>
    <col min="4" max="4" width="9.1640625" bestFit="1" customWidth="1"/>
    <col min="5" max="5" width="17.1640625" style="6" customWidth="1"/>
    <col min="6" max="6" width="14.83203125" style="9" customWidth="1"/>
    <col min="7" max="7" width="15" style="6" customWidth="1"/>
    <col min="8" max="8" width="13.6640625" style="11" customWidth="1"/>
    <col min="9" max="9" width="13" style="4" customWidth="1"/>
    <col min="10" max="10" width="17.6640625" style="6" customWidth="1"/>
    <col min="11" max="11" width="8.6640625" style="4" customWidth="1"/>
    <col min="12" max="13" width="11" style="6" customWidth="1"/>
    <col min="14" max="14" width="19.33203125" style="13" customWidth="1"/>
    <col min="16" max="16" width="17.6640625" style="6" customWidth="1"/>
    <col min="17" max="17" width="9.6640625" bestFit="1" customWidth="1"/>
    <col min="18" max="18" width="11.83203125" bestFit="1" customWidth="1"/>
  </cols>
  <sheetData>
    <row r="1" spans="1:18" ht="51" x14ac:dyDescent="0.2">
      <c r="A1" s="1" t="s">
        <v>39</v>
      </c>
      <c r="B1" s="2" t="s">
        <v>35</v>
      </c>
      <c r="C1" s="1" t="s">
        <v>0</v>
      </c>
      <c r="D1" s="1" t="s">
        <v>40</v>
      </c>
      <c r="E1" s="7" t="s">
        <v>36</v>
      </c>
      <c r="F1" s="8" t="s">
        <v>37</v>
      </c>
      <c r="G1" s="7" t="s">
        <v>38</v>
      </c>
      <c r="H1" s="10" t="s">
        <v>41</v>
      </c>
      <c r="I1" s="5" t="s">
        <v>42</v>
      </c>
      <c r="J1" s="7" t="s">
        <v>46</v>
      </c>
      <c r="K1" s="3" t="s">
        <v>47</v>
      </c>
      <c r="L1" s="3" t="s">
        <v>43</v>
      </c>
      <c r="M1" s="3" t="s">
        <v>44</v>
      </c>
      <c r="N1" s="14" t="s">
        <v>45</v>
      </c>
      <c r="P1"/>
    </row>
    <row r="2" spans="1:18" x14ac:dyDescent="0.2">
      <c r="A2">
        <v>1</v>
      </c>
      <c r="B2" t="s">
        <v>1</v>
      </c>
      <c r="C2">
        <v>2013</v>
      </c>
      <c r="D2">
        <v>1</v>
      </c>
      <c r="E2" s="4">
        <v>0</v>
      </c>
      <c r="F2" s="9">
        <v>0</v>
      </c>
      <c r="G2" s="6">
        <v>3262</v>
      </c>
      <c r="H2" s="9">
        <f t="shared" ref="H2:H65" si="0">F2+E2</f>
        <v>0</v>
      </c>
      <c r="I2" s="6">
        <v>12500</v>
      </c>
      <c r="J2" s="6">
        <v>4811100</v>
      </c>
      <c r="K2">
        <v>0</v>
      </c>
      <c r="L2" s="4">
        <v>4.6951349999999996</v>
      </c>
      <c r="M2" s="4">
        <v>96.749398999999997</v>
      </c>
      <c r="N2" s="6"/>
      <c r="P2"/>
      <c r="Q2" s="12"/>
      <c r="R2" s="12"/>
    </row>
    <row r="3" spans="1:18" x14ac:dyDescent="0.2">
      <c r="A3">
        <v>1</v>
      </c>
      <c r="B3" t="s">
        <v>1</v>
      </c>
      <c r="C3">
        <v>2013</v>
      </c>
      <c r="D3">
        <v>2</v>
      </c>
      <c r="E3" s="4">
        <v>0</v>
      </c>
      <c r="F3" s="9">
        <v>0</v>
      </c>
      <c r="G3" s="6">
        <v>3127</v>
      </c>
      <c r="H3" s="9">
        <f t="shared" si="0"/>
        <v>0</v>
      </c>
      <c r="I3" s="6">
        <v>12500</v>
      </c>
      <c r="J3" s="6">
        <v>4811100</v>
      </c>
      <c r="K3">
        <v>0</v>
      </c>
      <c r="L3" s="4">
        <v>4.6951349999999996</v>
      </c>
      <c r="M3" s="4">
        <v>96.749398999999997</v>
      </c>
      <c r="N3" s="6"/>
      <c r="P3"/>
      <c r="Q3" s="12"/>
      <c r="R3" s="12"/>
    </row>
    <row r="4" spans="1:18" x14ac:dyDescent="0.2">
      <c r="A4">
        <v>1</v>
      </c>
      <c r="B4" t="s">
        <v>1</v>
      </c>
      <c r="C4">
        <v>2013</v>
      </c>
      <c r="D4">
        <v>3</v>
      </c>
      <c r="E4" s="4">
        <v>0</v>
      </c>
      <c r="F4" s="9">
        <v>0</v>
      </c>
      <c r="G4" s="6">
        <v>3223</v>
      </c>
      <c r="H4" s="9">
        <f t="shared" si="0"/>
        <v>0</v>
      </c>
      <c r="I4" s="6">
        <v>12500</v>
      </c>
      <c r="J4" s="6">
        <v>4811100</v>
      </c>
      <c r="K4">
        <v>0</v>
      </c>
      <c r="L4" s="4">
        <v>4.6951349999999996</v>
      </c>
      <c r="M4" s="4">
        <v>96.749398999999997</v>
      </c>
      <c r="N4" s="6"/>
      <c r="P4"/>
      <c r="Q4" s="12"/>
      <c r="R4" s="12"/>
    </row>
    <row r="5" spans="1:18" x14ac:dyDescent="0.2">
      <c r="A5">
        <v>1</v>
      </c>
      <c r="B5" t="s">
        <v>1</v>
      </c>
      <c r="C5">
        <v>2013</v>
      </c>
      <c r="D5">
        <v>4</v>
      </c>
      <c r="E5" s="4">
        <v>0</v>
      </c>
      <c r="F5" s="9">
        <v>0</v>
      </c>
      <c r="G5" s="6">
        <v>4188</v>
      </c>
      <c r="H5" s="9">
        <f t="shared" si="0"/>
        <v>0</v>
      </c>
      <c r="I5" s="6">
        <v>12000</v>
      </c>
      <c r="J5" s="6">
        <v>4811100</v>
      </c>
      <c r="K5">
        <v>0</v>
      </c>
      <c r="L5" s="4">
        <v>4.6951349999999996</v>
      </c>
      <c r="M5" s="4">
        <v>96.749398999999997</v>
      </c>
      <c r="N5" s="6"/>
      <c r="P5"/>
      <c r="Q5" s="12"/>
      <c r="R5" s="12"/>
    </row>
    <row r="6" spans="1:18" x14ac:dyDescent="0.2">
      <c r="A6">
        <v>1</v>
      </c>
      <c r="B6" t="s">
        <v>1</v>
      </c>
      <c r="C6">
        <v>2013</v>
      </c>
      <c r="D6">
        <v>5</v>
      </c>
      <c r="E6" s="4">
        <v>0</v>
      </c>
      <c r="F6" s="9">
        <v>0</v>
      </c>
      <c r="G6" s="6">
        <v>5076</v>
      </c>
      <c r="H6" s="9">
        <f t="shared" si="0"/>
        <v>0</v>
      </c>
      <c r="I6" s="6">
        <v>12659</v>
      </c>
      <c r="J6" s="6">
        <v>4811100</v>
      </c>
      <c r="K6">
        <v>0</v>
      </c>
      <c r="L6" s="4">
        <v>4.6951349999999996</v>
      </c>
      <c r="M6" s="4">
        <v>96.749398999999997</v>
      </c>
      <c r="N6" s="6"/>
      <c r="P6"/>
      <c r="Q6" s="12"/>
      <c r="R6" s="12"/>
    </row>
    <row r="7" spans="1:18" x14ac:dyDescent="0.2">
      <c r="A7">
        <v>1</v>
      </c>
      <c r="B7" t="s">
        <v>1</v>
      </c>
      <c r="C7">
        <v>2013</v>
      </c>
      <c r="D7">
        <v>6</v>
      </c>
      <c r="E7" s="4">
        <v>0</v>
      </c>
      <c r="F7" s="9">
        <v>0</v>
      </c>
      <c r="G7" s="6">
        <v>4227</v>
      </c>
      <c r="H7" s="9">
        <f t="shared" si="0"/>
        <v>0</v>
      </c>
      <c r="I7" s="6">
        <v>13000</v>
      </c>
      <c r="J7" s="6">
        <v>4811100</v>
      </c>
      <c r="K7">
        <v>0</v>
      </c>
      <c r="L7" s="4">
        <v>4.6951349999999996</v>
      </c>
      <c r="M7" s="4">
        <v>96.749398999999997</v>
      </c>
      <c r="N7" s="6"/>
      <c r="P7"/>
      <c r="Q7" s="12"/>
      <c r="R7" s="12"/>
    </row>
    <row r="8" spans="1:18" x14ac:dyDescent="0.2">
      <c r="A8">
        <v>1</v>
      </c>
      <c r="B8" t="s">
        <v>1</v>
      </c>
      <c r="C8">
        <v>2013</v>
      </c>
      <c r="D8">
        <v>7</v>
      </c>
      <c r="E8" s="4">
        <v>0</v>
      </c>
      <c r="F8" s="9">
        <v>0</v>
      </c>
      <c r="G8" s="6">
        <v>7334</v>
      </c>
      <c r="H8" s="9">
        <f t="shared" si="0"/>
        <v>0</v>
      </c>
      <c r="I8" s="6">
        <v>14182</v>
      </c>
      <c r="J8" s="6">
        <v>4811100</v>
      </c>
      <c r="K8">
        <v>1</v>
      </c>
      <c r="L8" s="4">
        <v>4.6951349999999996</v>
      </c>
      <c r="M8" s="4">
        <v>96.749398999999997</v>
      </c>
      <c r="N8" s="6"/>
      <c r="P8"/>
      <c r="Q8" s="12"/>
      <c r="R8" s="12"/>
    </row>
    <row r="9" spans="1:18" x14ac:dyDescent="0.2">
      <c r="A9">
        <v>1</v>
      </c>
      <c r="B9" t="s">
        <v>1</v>
      </c>
      <c r="C9">
        <v>2013</v>
      </c>
      <c r="D9">
        <v>8</v>
      </c>
      <c r="E9" s="4">
        <v>0</v>
      </c>
      <c r="F9" s="9">
        <v>0</v>
      </c>
      <c r="G9" s="6">
        <v>2683</v>
      </c>
      <c r="H9" s="9">
        <f t="shared" si="0"/>
        <v>0</v>
      </c>
      <c r="I9" s="6">
        <v>13000</v>
      </c>
      <c r="J9" s="6">
        <v>4811100</v>
      </c>
      <c r="K9">
        <v>0</v>
      </c>
      <c r="L9" s="4">
        <v>4.6951349999999996</v>
      </c>
      <c r="M9" s="4">
        <v>96.749398999999997</v>
      </c>
      <c r="N9" s="6"/>
      <c r="P9"/>
      <c r="Q9" s="12"/>
      <c r="R9" s="12"/>
    </row>
    <row r="10" spans="1:18" x14ac:dyDescent="0.2">
      <c r="A10">
        <v>1</v>
      </c>
      <c r="B10" t="s">
        <v>1</v>
      </c>
      <c r="C10">
        <v>2013</v>
      </c>
      <c r="D10">
        <v>9</v>
      </c>
      <c r="E10" s="4">
        <v>0</v>
      </c>
      <c r="F10" s="9">
        <v>0</v>
      </c>
      <c r="G10" s="6">
        <v>5732</v>
      </c>
      <c r="H10" s="9">
        <f t="shared" si="0"/>
        <v>0</v>
      </c>
      <c r="I10" s="6">
        <v>13000</v>
      </c>
      <c r="J10" s="6">
        <v>4811100</v>
      </c>
      <c r="K10">
        <v>0</v>
      </c>
      <c r="L10" s="4">
        <v>4.6951349999999996</v>
      </c>
      <c r="M10" s="4">
        <v>96.749398999999997</v>
      </c>
      <c r="N10" s="6"/>
      <c r="P10"/>
      <c r="Q10" s="12"/>
      <c r="R10" s="12"/>
    </row>
    <row r="11" spans="1:18" x14ac:dyDescent="0.2">
      <c r="A11">
        <v>1</v>
      </c>
      <c r="B11" t="s">
        <v>1</v>
      </c>
      <c r="C11">
        <v>2013</v>
      </c>
      <c r="D11">
        <v>10</v>
      </c>
      <c r="E11" s="4">
        <v>0</v>
      </c>
      <c r="F11" s="9">
        <v>0</v>
      </c>
      <c r="G11" s="6">
        <v>4690</v>
      </c>
      <c r="H11" s="9">
        <f t="shared" si="0"/>
        <v>0</v>
      </c>
      <c r="I11" s="6">
        <v>12976</v>
      </c>
      <c r="J11" s="6">
        <v>4811100</v>
      </c>
      <c r="K11">
        <v>0</v>
      </c>
      <c r="L11" s="4">
        <v>4.6951349999999996</v>
      </c>
      <c r="M11" s="4">
        <v>96.749398999999997</v>
      </c>
      <c r="N11" s="6"/>
      <c r="P11"/>
      <c r="Q11" s="12"/>
      <c r="R11" s="12"/>
    </row>
    <row r="12" spans="1:18" x14ac:dyDescent="0.2">
      <c r="A12">
        <v>1</v>
      </c>
      <c r="B12" t="s">
        <v>1</v>
      </c>
      <c r="C12">
        <v>2013</v>
      </c>
      <c r="D12">
        <v>11</v>
      </c>
      <c r="E12" s="4">
        <v>0</v>
      </c>
      <c r="F12" s="9">
        <v>0</v>
      </c>
      <c r="G12" s="6">
        <v>3455</v>
      </c>
      <c r="H12" s="9">
        <f t="shared" si="0"/>
        <v>0</v>
      </c>
      <c r="I12" s="6">
        <v>12025</v>
      </c>
      <c r="J12" s="6">
        <v>4811100</v>
      </c>
      <c r="K12">
        <v>0</v>
      </c>
      <c r="L12" s="4">
        <v>4.6951349999999996</v>
      </c>
      <c r="M12" s="4">
        <v>96.749398999999997</v>
      </c>
      <c r="N12" s="6"/>
      <c r="P12"/>
      <c r="Q12" s="12"/>
      <c r="R12" s="12"/>
    </row>
    <row r="13" spans="1:18" x14ac:dyDescent="0.2">
      <c r="A13">
        <v>1</v>
      </c>
      <c r="B13" t="s">
        <v>1</v>
      </c>
      <c r="C13">
        <v>2013</v>
      </c>
      <c r="D13">
        <v>12</v>
      </c>
      <c r="E13" s="4">
        <v>0</v>
      </c>
      <c r="F13" s="9">
        <v>0</v>
      </c>
      <c r="G13" s="6">
        <v>4806</v>
      </c>
      <c r="H13" s="9">
        <f t="shared" si="0"/>
        <v>0</v>
      </c>
      <c r="I13" s="6">
        <v>12000</v>
      </c>
      <c r="J13" s="6">
        <v>4811100</v>
      </c>
      <c r="K13">
        <v>1</v>
      </c>
      <c r="L13" s="4">
        <v>4.6951349999999996</v>
      </c>
      <c r="M13" s="4">
        <v>96.749398999999997</v>
      </c>
      <c r="N13" s="6"/>
      <c r="P13"/>
      <c r="Q13" s="12"/>
      <c r="R13" s="12"/>
    </row>
    <row r="14" spans="1:18" x14ac:dyDescent="0.2">
      <c r="A14">
        <v>1</v>
      </c>
      <c r="B14" t="s">
        <v>1</v>
      </c>
      <c r="C14">
        <v>2014</v>
      </c>
      <c r="D14">
        <v>1</v>
      </c>
      <c r="E14" s="4">
        <v>0</v>
      </c>
      <c r="F14" s="9">
        <v>16.02</v>
      </c>
      <c r="G14" s="6">
        <v>3399</v>
      </c>
      <c r="H14" s="9">
        <f t="shared" si="0"/>
        <v>16.02</v>
      </c>
      <c r="I14" s="6">
        <v>12000</v>
      </c>
      <c r="J14" s="6">
        <v>4906800</v>
      </c>
      <c r="K14">
        <v>0</v>
      </c>
      <c r="L14" s="4">
        <v>4.6951349999999996</v>
      </c>
      <c r="M14" s="4">
        <v>96.749398999999997</v>
      </c>
      <c r="N14" s="6"/>
      <c r="P14"/>
      <c r="Q14" s="12"/>
      <c r="R14" s="12"/>
    </row>
    <row r="15" spans="1:18" x14ac:dyDescent="0.2">
      <c r="A15">
        <v>1</v>
      </c>
      <c r="B15" t="s">
        <v>1</v>
      </c>
      <c r="C15">
        <v>2014</v>
      </c>
      <c r="D15">
        <v>2</v>
      </c>
      <c r="E15" s="4">
        <v>0</v>
      </c>
      <c r="F15" s="9">
        <v>5.7770000000000001</v>
      </c>
      <c r="G15" s="6">
        <v>3032</v>
      </c>
      <c r="H15" s="9">
        <f t="shared" si="0"/>
        <v>5.7770000000000001</v>
      </c>
      <c r="I15" s="6">
        <v>11500</v>
      </c>
      <c r="J15" s="6">
        <v>4906800</v>
      </c>
      <c r="K15">
        <v>0</v>
      </c>
      <c r="L15" s="4">
        <v>4.6951349999999996</v>
      </c>
      <c r="M15" s="4">
        <v>96.749398999999997</v>
      </c>
      <c r="N15" s="6"/>
      <c r="P15"/>
      <c r="Q15" s="12"/>
      <c r="R15" s="12"/>
    </row>
    <row r="16" spans="1:18" x14ac:dyDescent="0.2">
      <c r="A16">
        <v>1</v>
      </c>
      <c r="B16" t="s">
        <v>1</v>
      </c>
      <c r="C16">
        <v>2014</v>
      </c>
      <c r="D16">
        <v>3</v>
      </c>
      <c r="E16" s="4">
        <v>0</v>
      </c>
      <c r="F16" s="9">
        <v>3.8250000000000002</v>
      </c>
      <c r="G16" s="6">
        <v>3405</v>
      </c>
      <c r="H16" s="9">
        <f t="shared" si="0"/>
        <v>3.8250000000000002</v>
      </c>
      <c r="I16" s="6">
        <v>11000</v>
      </c>
      <c r="J16" s="6">
        <v>4906800</v>
      </c>
      <c r="K16">
        <v>0</v>
      </c>
      <c r="L16" s="4">
        <v>4.6951349999999996</v>
      </c>
      <c r="M16" s="4">
        <v>96.749398999999997</v>
      </c>
      <c r="N16" s="6"/>
      <c r="P16"/>
      <c r="Q16" s="12"/>
      <c r="R16" s="12"/>
    </row>
    <row r="17" spans="1:18" x14ac:dyDescent="0.2">
      <c r="A17">
        <v>1</v>
      </c>
      <c r="B17" t="s">
        <v>1</v>
      </c>
      <c r="C17">
        <v>2014</v>
      </c>
      <c r="D17">
        <v>4</v>
      </c>
      <c r="E17" s="4">
        <v>0</v>
      </c>
      <c r="F17" s="9">
        <v>0</v>
      </c>
      <c r="G17" s="6">
        <v>4386</v>
      </c>
      <c r="H17" s="9">
        <f t="shared" si="0"/>
        <v>0</v>
      </c>
      <c r="I17" s="6">
        <v>11000</v>
      </c>
      <c r="J17" s="6">
        <v>4906800</v>
      </c>
      <c r="K17">
        <v>0</v>
      </c>
      <c r="L17" s="4">
        <v>4.6951349999999996</v>
      </c>
      <c r="M17" s="4">
        <v>96.749398999999997</v>
      </c>
      <c r="N17" s="6"/>
      <c r="P17"/>
      <c r="Q17" s="12"/>
      <c r="R17" s="12"/>
    </row>
    <row r="18" spans="1:18" x14ac:dyDescent="0.2">
      <c r="A18">
        <v>1</v>
      </c>
      <c r="B18" t="s">
        <v>1</v>
      </c>
      <c r="C18">
        <v>2014</v>
      </c>
      <c r="D18">
        <v>5</v>
      </c>
      <c r="E18" s="4">
        <v>0</v>
      </c>
      <c r="F18" s="9">
        <v>0</v>
      </c>
      <c r="G18" s="6">
        <v>4912</v>
      </c>
      <c r="H18" s="9">
        <f t="shared" si="0"/>
        <v>0</v>
      </c>
      <c r="I18" s="6">
        <v>11000</v>
      </c>
      <c r="J18" s="6">
        <v>4906800</v>
      </c>
      <c r="K18">
        <v>0</v>
      </c>
      <c r="L18" s="4">
        <v>4.6951349999999996</v>
      </c>
      <c r="M18" s="4">
        <v>96.749398999999997</v>
      </c>
      <c r="N18" s="6"/>
      <c r="P18"/>
      <c r="Q18" s="12"/>
      <c r="R18" s="12"/>
    </row>
    <row r="19" spans="1:18" x14ac:dyDescent="0.2">
      <c r="A19">
        <v>1</v>
      </c>
      <c r="B19" t="s">
        <v>1</v>
      </c>
      <c r="C19">
        <v>2014</v>
      </c>
      <c r="D19">
        <v>6</v>
      </c>
      <c r="E19" s="4">
        <v>0</v>
      </c>
      <c r="F19" s="9">
        <v>0</v>
      </c>
      <c r="G19" s="6">
        <v>6991</v>
      </c>
      <c r="H19" s="9">
        <f t="shared" si="0"/>
        <v>0</v>
      </c>
      <c r="I19" s="6">
        <v>11000</v>
      </c>
      <c r="J19" s="6">
        <v>4906800</v>
      </c>
      <c r="K19">
        <v>1</v>
      </c>
      <c r="L19" s="4">
        <v>4.6951349999999996</v>
      </c>
      <c r="M19" s="4">
        <v>96.749398999999997</v>
      </c>
      <c r="N19" s="6"/>
      <c r="P19"/>
      <c r="Q19" s="12"/>
      <c r="R19" s="12"/>
    </row>
    <row r="20" spans="1:18" x14ac:dyDescent="0.2">
      <c r="A20">
        <v>1</v>
      </c>
      <c r="B20" t="s">
        <v>1</v>
      </c>
      <c r="C20">
        <v>2014</v>
      </c>
      <c r="D20">
        <v>7</v>
      </c>
      <c r="E20" s="4">
        <v>0</v>
      </c>
      <c r="F20" s="9">
        <v>0</v>
      </c>
      <c r="G20" s="6">
        <v>4386</v>
      </c>
      <c r="H20" s="9">
        <f t="shared" si="0"/>
        <v>0</v>
      </c>
      <c r="I20" s="6">
        <v>11000</v>
      </c>
      <c r="J20" s="6">
        <v>4906800</v>
      </c>
      <c r="K20">
        <v>0</v>
      </c>
      <c r="L20" s="4">
        <v>4.6951349999999996</v>
      </c>
      <c r="M20" s="4">
        <v>96.749398999999997</v>
      </c>
      <c r="N20" s="6"/>
      <c r="P20"/>
      <c r="Q20" s="12"/>
      <c r="R20" s="12"/>
    </row>
    <row r="21" spans="1:18" x14ac:dyDescent="0.2">
      <c r="A21">
        <v>1</v>
      </c>
      <c r="B21" t="s">
        <v>1</v>
      </c>
      <c r="C21">
        <v>2014</v>
      </c>
      <c r="D21">
        <v>8</v>
      </c>
      <c r="E21" s="4">
        <v>0</v>
      </c>
      <c r="F21" s="9">
        <v>0</v>
      </c>
      <c r="G21" s="6">
        <v>4228</v>
      </c>
      <c r="H21" s="9">
        <f t="shared" si="0"/>
        <v>0</v>
      </c>
      <c r="I21" s="6">
        <v>11000</v>
      </c>
      <c r="J21" s="6">
        <v>4906800</v>
      </c>
      <c r="K21">
        <v>0</v>
      </c>
      <c r="L21" s="4">
        <v>4.6951349999999996</v>
      </c>
      <c r="M21" s="4">
        <v>96.749398999999997</v>
      </c>
      <c r="N21" s="6"/>
      <c r="P21"/>
      <c r="Q21" s="12"/>
      <c r="R21" s="12"/>
    </row>
    <row r="22" spans="1:18" x14ac:dyDescent="0.2">
      <c r="A22">
        <v>1</v>
      </c>
      <c r="B22" t="s">
        <v>1</v>
      </c>
      <c r="C22">
        <v>2014</v>
      </c>
      <c r="D22">
        <v>9</v>
      </c>
      <c r="E22" s="4">
        <v>0</v>
      </c>
      <c r="F22" s="9">
        <v>36.365000000000002</v>
      </c>
      <c r="G22" s="6">
        <v>4255</v>
      </c>
      <c r="H22" s="9">
        <f t="shared" si="0"/>
        <v>36.365000000000002</v>
      </c>
      <c r="I22" s="6">
        <v>11000</v>
      </c>
      <c r="J22" s="6">
        <v>4906800</v>
      </c>
      <c r="K22">
        <v>0</v>
      </c>
      <c r="L22" s="4">
        <v>4.6951349999999996</v>
      </c>
      <c r="M22" s="4">
        <v>96.749398999999997</v>
      </c>
      <c r="N22" s="6"/>
      <c r="P22"/>
      <c r="Q22" s="12"/>
      <c r="R22" s="12"/>
    </row>
    <row r="23" spans="1:18" x14ac:dyDescent="0.2">
      <c r="A23">
        <v>1</v>
      </c>
      <c r="B23" t="s">
        <v>1</v>
      </c>
      <c r="C23">
        <v>2014</v>
      </c>
      <c r="D23">
        <v>10</v>
      </c>
      <c r="E23" s="4">
        <v>0</v>
      </c>
      <c r="F23" s="9">
        <v>0</v>
      </c>
      <c r="G23" s="6">
        <v>6312</v>
      </c>
      <c r="H23" s="9">
        <f t="shared" si="0"/>
        <v>0</v>
      </c>
      <c r="I23" s="6">
        <v>11000</v>
      </c>
      <c r="J23" s="6">
        <v>4906800</v>
      </c>
      <c r="K23">
        <v>0</v>
      </c>
      <c r="L23" s="4">
        <v>4.6951349999999996</v>
      </c>
      <c r="M23" s="4">
        <v>96.749398999999997</v>
      </c>
      <c r="N23" s="6"/>
      <c r="P23"/>
      <c r="Q23" s="12"/>
      <c r="R23" s="12"/>
    </row>
    <row r="24" spans="1:18" x14ac:dyDescent="0.2">
      <c r="A24">
        <v>1</v>
      </c>
      <c r="B24" t="s">
        <v>1</v>
      </c>
      <c r="C24">
        <v>2014</v>
      </c>
      <c r="D24">
        <v>11</v>
      </c>
      <c r="E24" s="4">
        <v>0</v>
      </c>
      <c r="F24" s="9">
        <v>0</v>
      </c>
      <c r="G24" s="6">
        <v>5037</v>
      </c>
      <c r="H24" s="9">
        <f t="shared" si="0"/>
        <v>0</v>
      </c>
      <c r="I24" s="6">
        <v>11250</v>
      </c>
      <c r="J24" s="6">
        <v>4906800</v>
      </c>
      <c r="K24">
        <v>0</v>
      </c>
      <c r="L24" s="4">
        <v>4.6951349999999996</v>
      </c>
      <c r="M24" s="4">
        <v>96.749398999999997</v>
      </c>
      <c r="N24" s="6"/>
      <c r="P24"/>
      <c r="Q24" s="12"/>
      <c r="R24" s="12"/>
    </row>
    <row r="25" spans="1:18" x14ac:dyDescent="0.2">
      <c r="A25">
        <v>1</v>
      </c>
      <c r="B25" t="s">
        <v>1</v>
      </c>
      <c r="C25">
        <v>2014</v>
      </c>
      <c r="D25">
        <v>12</v>
      </c>
      <c r="E25" s="4">
        <v>0</v>
      </c>
      <c r="F25" s="9">
        <v>0</v>
      </c>
      <c r="G25" s="6">
        <v>5873</v>
      </c>
      <c r="H25" s="9">
        <f t="shared" si="0"/>
        <v>0</v>
      </c>
      <c r="I25" s="6">
        <v>11190</v>
      </c>
      <c r="J25" s="6">
        <v>4906800</v>
      </c>
      <c r="K25">
        <v>1</v>
      </c>
      <c r="L25" s="4">
        <v>4.6951349999999996</v>
      </c>
      <c r="M25" s="4">
        <v>96.749398999999997</v>
      </c>
      <c r="N25" s="6"/>
      <c r="P25"/>
      <c r="Q25" s="12"/>
      <c r="R25" s="12"/>
    </row>
    <row r="26" spans="1:18" x14ac:dyDescent="0.2">
      <c r="A26">
        <v>1</v>
      </c>
      <c r="B26" t="s">
        <v>1</v>
      </c>
      <c r="C26">
        <v>2015</v>
      </c>
      <c r="D26">
        <v>1</v>
      </c>
      <c r="E26" s="4">
        <v>0</v>
      </c>
      <c r="F26" s="9">
        <v>0</v>
      </c>
      <c r="G26" s="6">
        <v>2902</v>
      </c>
      <c r="H26" s="9">
        <f t="shared" si="0"/>
        <v>0</v>
      </c>
      <c r="I26" s="6">
        <v>11000</v>
      </c>
      <c r="J26" s="6">
        <v>5020000</v>
      </c>
      <c r="K26">
        <v>0</v>
      </c>
      <c r="L26" s="4">
        <v>4.6951349999999996</v>
      </c>
      <c r="M26" s="4">
        <v>96.749398999999997</v>
      </c>
      <c r="N26" s="6"/>
      <c r="P26"/>
      <c r="Q26" s="12"/>
      <c r="R26" s="12"/>
    </row>
    <row r="27" spans="1:18" x14ac:dyDescent="0.2">
      <c r="A27">
        <v>1</v>
      </c>
      <c r="B27" t="s">
        <v>1</v>
      </c>
      <c r="C27">
        <v>2015</v>
      </c>
      <c r="D27">
        <v>2</v>
      </c>
      <c r="E27" s="4">
        <v>0</v>
      </c>
      <c r="F27" s="9">
        <v>0</v>
      </c>
      <c r="G27" s="6">
        <v>7318</v>
      </c>
      <c r="H27" s="9">
        <f t="shared" si="0"/>
        <v>0</v>
      </c>
      <c r="I27" s="6">
        <v>11474</v>
      </c>
      <c r="J27" s="6">
        <v>5020000</v>
      </c>
      <c r="K27">
        <v>0</v>
      </c>
      <c r="L27" s="4">
        <v>4.6951349999999996</v>
      </c>
      <c r="M27" s="4">
        <v>96.749398999999997</v>
      </c>
      <c r="N27" s="6"/>
      <c r="P27"/>
      <c r="Q27" s="12"/>
      <c r="R27" s="12"/>
    </row>
    <row r="28" spans="1:18" x14ac:dyDescent="0.2">
      <c r="A28">
        <v>1</v>
      </c>
      <c r="B28" t="s">
        <v>1</v>
      </c>
      <c r="C28">
        <v>2015</v>
      </c>
      <c r="D28">
        <v>3</v>
      </c>
      <c r="E28" s="4">
        <v>0</v>
      </c>
      <c r="F28" s="9">
        <v>0</v>
      </c>
      <c r="G28" s="6">
        <v>3321</v>
      </c>
      <c r="H28" s="9">
        <f t="shared" si="0"/>
        <v>0</v>
      </c>
      <c r="I28" s="6">
        <v>12000</v>
      </c>
      <c r="J28" s="6">
        <v>5020000</v>
      </c>
      <c r="K28">
        <v>0</v>
      </c>
      <c r="L28" s="4">
        <v>4.6951349999999996</v>
      </c>
      <c r="M28" s="4">
        <v>96.749398999999997</v>
      </c>
      <c r="N28" s="6"/>
      <c r="P28"/>
      <c r="Q28" s="12"/>
      <c r="R28" s="12"/>
    </row>
    <row r="29" spans="1:18" x14ac:dyDescent="0.2">
      <c r="A29">
        <v>1</v>
      </c>
      <c r="B29" t="s">
        <v>1</v>
      </c>
      <c r="C29">
        <v>2015</v>
      </c>
      <c r="D29">
        <v>4</v>
      </c>
      <c r="E29" s="4">
        <v>0</v>
      </c>
      <c r="F29" s="9">
        <v>0</v>
      </c>
      <c r="G29" s="6">
        <v>5501</v>
      </c>
      <c r="H29" s="9">
        <f t="shared" si="0"/>
        <v>0</v>
      </c>
      <c r="I29" s="6">
        <v>12524</v>
      </c>
      <c r="J29" s="6">
        <v>5020000</v>
      </c>
      <c r="K29">
        <v>0</v>
      </c>
      <c r="L29" s="4">
        <v>4.6951349999999996</v>
      </c>
      <c r="M29" s="4">
        <v>96.749398999999997</v>
      </c>
      <c r="N29" s="6"/>
      <c r="P29"/>
      <c r="Q29" s="12"/>
      <c r="R29" s="12"/>
    </row>
    <row r="30" spans="1:18" x14ac:dyDescent="0.2">
      <c r="A30">
        <v>1</v>
      </c>
      <c r="B30" t="s">
        <v>1</v>
      </c>
      <c r="C30">
        <v>2015</v>
      </c>
      <c r="D30">
        <v>5</v>
      </c>
      <c r="E30" s="4">
        <v>0</v>
      </c>
      <c r="F30" s="9">
        <v>0</v>
      </c>
      <c r="G30" s="6">
        <v>5271</v>
      </c>
      <c r="H30" s="9">
        <f t="shared" si="0"/>
        <v>0</v>
      </c>
      <c r="I30" s="6">
        <v>13000</v>
      </c>
      <c r="J30" s="6">
        <v>5020000</v>
      </c>
      <c r="K30">
        <v>0</v>
      </c>
      <c r="L30" s="4">
        <v>4.6951349999999996</v>
      </c>
      <c r="M30" s="4">
        <v>96.749398999999997</v>
      </c>
      <c r="N30" s="6"/>
      <c r="P30"/>
      <c r="Q30" s="12"/>
      <c r="R30" s="12"/>
    </row>
    <row r="31" spans="1:18" x14ac:dyDescent="0.2">
      <c r="A31">
        <v>1</v>
      </c>
      <c r="B31" t="s">
        <v>1</v>
      </c>
      <c r="C31">
        <v>2015</v>
      </c>
      <c r="D31">
        <v>6</v>
      </c>
      <c r="E31" s="4">
        <v>0</v>
      </c>
      <c r="F31" s="9">
        <v>0</v>
      </c>
      <c r="G31" s="6">
        <v>5990</v>
      </c>
      <c r="H31" s="9">
        <f t="shared" si="0"/>
        <v>0</v>
      </c>
      <c r="I31" s="6">
        <v>14000</v>
      </c>
      <c r="J31" s="6">
        <v>5020000</v>
      </c>
      <c r="K31">
        <v>1</v>
      </c>
      <c r="L31" s="4">
        <v>4.6951349999999996</v>
      </c>
      <c r="M31" s="4">
        <v>96.749398999999997</v>
      </c>
      <c r="N31" s="6"/>
      <c r="P31"/>
      <c r="Q31" s="12"/>
      <c r="R31" s="12"/>
    </row>
    <row r="32" spans="1:18" x14ac:dyDescent="0.2">
      <c r="A32">
        <v>1</v>
      </c>
      <c r="B32" t="s">
        <v>1</v>
      </c>
      <c r="C32">
        <v>2015</v>
      </c>
      <c r="D32">
        <v>7</v>
      </c>
      <c r="E32" s="4">
        <v>0</v>
      </c>
      <c r="F32" s="9">
        <v>0</v>
      </c>
      <c r="G32" s="6">
        <v>4089</v>
      </c>
      <c r="H32" s="9">
        <f t="shared" si="0"/>
        <v>0</v>
      </c>
      <c r="I32" s="6">
        <v>13263</v>
      </c>
      <c r="J32" s="6">
        <v>5020000</v>
      </c>
      <c r="K32">
        <v>0</v>
      </c>
      <c r="L32" s="4">
        <v>4.6951349999999996</v>
      </c>
      <c r="M32" s="4">
        <v>96.749398999999997</v>
      </c>
      <c r="N32" s="6"/>
      <c r="P32"/>
      <c r="Q32" s="12"/>
      <c r="R32" s="12"/>
    </row>
    <row r="33" spans="1:18" x14ac:dyDescent="0.2">
      <c r="A33">
        <v>1</v>
      </c>
      <c r="B33" t="s">
        <v>1</v>
      </c>
      <c r="C33">
        <v>2015</v>
      </c>
      <c r="D33">
        <v>8</v>
      </c>
      <c r="E33" s="4">
        <v>0</v>
      </c>
      <c r="F33" s="9">
        <v>0</v>
      </c>
      <c r="G33" s="6">
        <v>4047</v>
      </c>
      <c r="H33" s="9">
        <f t="shared" si="0"/>
        <v>0</v>
      </c>
      <c r="I33" s="6">
        <v>13000</v>
      </c>
      <c r="J33" s="6">
        <v>5020000</v>
      </c>
      <c r="K33">
        <v>0</v>
      </c>
      <c r="L33" s="4">
        <v>4.6951349999999996</v>
      </c>
      <c r="M33" s="4">
        <v>96.749398999999997</v>
      </c>
      <c r="N33" s="6"/>
      <c r="P33"/>
      <c r="Q33" s="12"/>
      <c r="R33" s="12"/>
    </row>
    <row r="34" spans="1:18" x14ac:dyDescent="0.2">
      <c r="A34">
        <v>1</v>
      </c>
      <c r="B34" t="s">
        <v>1</v>
      </c>
      <c r="C34">
        <v>2015</v>
      </c>
      <c r="D34">
        <v>9</v>
      </c>
      <c r="E34" s="4">
        <v>0</v>
      </c>
      <c r="F34" s="9">
        <v>0</v>
      </c>
      <c r="G34" s="6">
        <v>5431</v>
      </c>
      <c r="H34" s="9">
        <f t="shared" si="0"/>
        <v>0</v>
      </c>
      <c r="I34" s="6">
        <v>13000</v>
      </c>
      <c r="J34" s="6">
        <v>5020000</v>
      </c>
      <c r="K34">
        <v>0</v>
      </c>
      <c r="L34" s="4">
        <v>4.6951349999999996</v>
      </c>
      <c r="M34" s="4">
        <v>96.749398999999997</v>
      </c>
      <c r="N34" s="6"/>
      <c r="P34"/>
      <c r="Q34" s="12"/>
      <c r="R34" s="12"/>
    </row>
    <row r="35" spans="1:18" x14ac:dyDescent="0.2">
      <c r="A35">
        <v>1</v>
      </c>
      <c r="B35" t="s">
        <v>1</v>
      </c>
      <c r="C35">
        <v>2015</v>
      </c>
      <c r="D35">
        <v>10</v>
      </c>
      <c r="E35" s="4">
        <v>0</v>
      </c>
      <c r="F35" s="9">
        <v>0</v>
      </c>
      <c r="G35" s="6">
        <v>3620</v>
      </c>
      <c r="H35" s="9">
        <f t="shared" si="0"/>
        <v>0</v>
      </c>
      <c r="I35" s="6">
        <v>13000</v>
      </c>
      <c r="J35" s="6">
        <v>5020000</v>
      </c>
      <c r="K35">
        <v>0</v>
      </c>
      <c r="L35" s="4">
        <v>4.6951349999999996</v>
      </c>
      <c r="M35" s="4">
        <v>96.749398999999997</v>
      </c>
      <c r="N35" s="6"/>
      <c r="P35"/>
      <c r="Q35" s="12"/>
      <c r="R35" s="12"/>
    </row>
    <row r="36" spans="1:18" x14ac:dyDescent="0.2">
      <c r="A36">
        <v>1</v>
      </c>
      <c r="B36" t="s">
        <v>1</v>
      </c>
      <c r="C36">
        <v>2015</v>
      </c>
      <c r="D36">
        <v>11</v>
      </c>
      <c r="E36" s="4">
        <v>0</v>
      </c>
      <c r="F36" s="9">
        <v>0</v>
      </c>
      <c r="G36" s="6">
        <v>4774</v>
      </c>
      <c r="H36" s="9">
        <f t="shared" si="0"/>
        <v>0</v>
      </c>
      <c r="I36" s="6">
        <v>13000</v>
      </c>
      <c r="J36" s="6">
        <v>5020000</v>
      </c>
      <c r="K36">
        <v>0</v>
      </c>
      <c r="L36" s="4">
        <v>4.6951349999999996</v>
      </c>
      <c r="M36" s="4">
        <v>96.749398999999997</v>
      </c>
      <c r="N36" s="6"/>
      <c r="P36"/>
      <c r="Q36" s="12"/>
      <c r="R36" s="12"/>
    </row>
    <row r="37" spans="1:18" x14ac:dyDescent="0.2">
      <c r="A37">
        <v>1</v>
      </c>
      <c r="B37" t="s">
        <v>1</v>
      </c>
      <c r="C37">
        <v>2015</v>
      </c>
      <c r="D37">
        <v>12</v>
      </c>
      <c r="E37" s="4">
        <v>0</v>
      </c>
      <c r="F37" s="9">
        <v>0</v>
      </c>
      <c r="G37" s="6">
        <v>5117</v>
      </c>
      <c r="H37" s="9">
        <f t="shared" si="0"/>
        <v>0</v>
      </c>
      <c r="I37" s="6">
        <v>13000</v>
      </c>
      <c r="J37" s="6">
        <v>5020000</v>
      </c>
      <c r="K37">
        <v>1</v>
      </c>
      <c r="L37" s="4">
        <v>4.6951349999999996</v>
      </c>
      <c r="M37" s="4">
        <v>96.749398999999997</v>
      </c>
      <c r="N37" s="6"/>
      <c r="P37"/>
      <c r="Q37" s="12"/>
      <c r="R37" s="12"/>
    </row>
    <row r="38" spans="1:18" x14ac:dyDescent="0.2">
      <c r="A38">
        <v>1</v>
      </c>
      <c r="B38" t="s">
        <v>1</v>
      </c>
      <c r="C38">
        <v>2016</v>
      </c>
      <c r="D38">
        <v>1</v>
      </c>
      <c r="E38" s="4">
        <v>0</v>
      </c>
      <c r="F38" s="9">
        <v>0</v>
      </c>
      <c r="G38" s="6">
        <v>2529</v>
      </c>
      <c r="H38" s="9">
        <f t="shared" si="0"/>
        <v>0</v>
      </c>
      <c r="I38" s="6">
        <v>13000</v>
      </c>
      <c r="J38" s="6">
        <v>5096200</v>
      </c>
      <c r="K38">
        <v>0</v>
      </c>
      <c r="L38" s="4">
        <v>4.6951349999999996</v>
      </c>
      <c r="M38" s="4">
        <v>96.749398999999997</v>
      </c>
      <c r="N38" s="13">
        <v>3.29</v>
      </c>
      <c r="P38"/>
      <c r="Q38" s="12"/>
      <c r="R38" s="12"/>
    </row>
    <row r="39" spans="1:18" x14ac:dyDescent="0.2">
      <c r="A39">
        <v>1</v>
      </c>
      <c r="B39" t="s">
        <v>1</v>
      </c>
      <c r="C39">
        <v>2016</v>
      </c>
      <c r="D39">
        <v>2</v>
      </c>
      <c r="E39" s="4">
        <v>0</v>
      </c>
      <c r="F39" s="9">
        <v>0</v>
      </c>
      <c r="G39" s="6">
        <v>5394</v>
      </c>
      <c r="H39" s="9">
        <f t="shared" si="0"/>
        <v>0</v>
      </c>
      <c r="I39" s="6">
        <v>13000</v>
      </c>
      <c r="J39" s="6">
        <v>5096200</v>
      </c>
      <c r="K39">
        <v>0</v>
      </c>
      <c r="L39" s="4">
        <v>4.6951349999999996</v>
      </c>
      <c r="M39" s="4">
        <v>96.749398999999997</v>
      </c>
      <c r="N39" s="13">
        <v>3.29</v>
      </c>
      <c r="P39"/>
      <c r="Q39" s="12"/>
      <c r="R39" s="12"/>
    </row>
    <row r="40" spans="1:18" x14ac:dyDescent="0.2">
      <c r="A40">
        <v>1</v>
      </c>
      <c r="B40" t="s">
        <v>1</v>
      </c>
      <c r="C40">
        <v>2016</v>
      </c>
      <c r="D40">
        <v>3</v>
      </c>
      <c r="E40" s="4">
        <v>0</v>
      </c>
      <c r="F40" s="9">
        <v>0</v>
      </c>
      <c r="G40" s="6">
        <v>433</v>
      </c>
      <c r="H40" s="9">
        <f t="shared" si="0"/>
        <v>0</v>
      </c>
      <c r="I40" s="6">
        <v>13000</v>
      </c>
      <c r="J40" s="6">
        <v>5096200</v>
      </c>
      <c r="K40">
        <v>0</v>
      </c>
      <c r="L40" s="4">
        <v>4.6951349999999996</v>
      </c>
      <c r="M40" s="4">
        <v>96.749398999999997</v>
      </c>
      <c r="N40" s="13">
        <v>3.29</v>
      </c>
      <c r="P40"/>
      <c r="Q40" s="12"/>
      <c r="R40" s="12"/>
    </row>
    <row r="41" spans="1:18" x14ac:dyDescent="0.2">
      <c r="A41">
        <v>1</v>
      </c>
      <c r="B41" t="s">
        <v>1</v>
      </c>
      <c r="C41">
        <v>2016</v>
      </c>
      <c r="D41">
        <v>4</v>
      </c>
      <c r="E41" s="4">
        <v>0</v>
      </c>
      <c r="F41" s="9">
        <v>0</v>
      </c>
      <c r="G41" s="6">
        <v>3451</v>
      </c>
      <c r="H41" s="9">
        <f t="shared" si="0"/>
        <v>0</v>
      </c>
      <c r="I41" s="6">
        <v>13048</v>
      </c>
      <c r="J41" s="6">
        <v>5096200</v>
      </c>
      <c r="K41">
        <v>0</v>
      </c>
      <c r="L41" s="4">
        <v>4.6951349999999996</v>
      </c>
      <c r="M41" s="4">
        <v>96.749398999999997</v>
      </c>
      <c r="N41" s="13">
        <v>3.29</v>
      </c>
      <c r="P41"/>
      <c r="Q41" s="12"/>
      <c r="R41" s="12"/>
    </row>
    <row r="42" spans="1:18" x14ac:dyDescent="0.2">
      <c r="A42">
        <v>1</v>
      </c>
      <c r="B42" t="s">
        <v>1</v>
      </c>
      <c r="C42">
        <v>2016</v>
      </c>
      <c r="D42">
        <v>5</v>
      </c>
      <c r="E42" s="4">
        <v>0</v>
      </c>
      <c r="F42" s="9">
        <v>0</v>
      </c>
      <c r="G42" s="6">
        <v>1289</v>
      </c>
      <c r="H42" s="9">
        <f t="shared" si="0"/>
        <v>0</v>
      </c>
      <c r="I42" s="6">
        <v>14500</v>
      </c>
      <c r="J42" s="6">
        <v>5096200</v>
      </c>
      <c r="K42">
        <v>0</v>
      </c>
      <c r="L42" s="4">
        <v>4.6951349999999996</v>
      </c>
      <c r="M42" s="4">
        <v>96.749398999999997</v>
      </c>
      <c r="N42" s="13">
        <v>3.29</v>
      </c>
      <c r="P42"/>
      <c r="Q42" s="12"/>
      <c r="R42" s="12"/>
    </row>
    <row r="43" spans="1:18" x14ac:dyDescent="0.2">
      <c r="A43">
        <v>1</v>
      </c>
      <c r="B43" t="s">
        <v>1</v>
      </c>
      <c r="C43">
        <v>2016</v>
      </c>
      <c r="D43">
        <v>6</v>
      </c>
      <c r="E43" s="4">
        <v>0</v>
      </c>
      <c r="F43" s="9">
        <v>0</v>
      </c>
      <c r="G43" s="6">
        <v>5237</v>
      </c>
      <c r="H43" s="9">
        <f t="shared" si="0"/>
        <v>0</v>
      </c>
      <c r="I43" s="6">
        <v>14500</v>
      </c>
      <c r="J43" s="6">
        <v>5096200</v>
      </c>
      <c r="K43">
        <v>1</v>
      </c>
      <c r="L43" s="4">
        <v>4.6951349999999996</v>
      </c>
      <c r="M43" s="4">
        <v>96.749398999999997</v>
      </c>
      <c r="N43" s="13">
        <v>3.29</v>
      </c>
      <c r="P43"/>
      <c r="Q43" s="12"/>
      <c r="R43" s="12"/>
    </row>
    <row r="44" spans="1:18" x14ac:dyDescent="0.2">
      <c r="A44">
        <v>1</v>
      </c>
      <c r="B44" t="s">
        <v>1</v>
      </c>
      <c r="C44">
        <v>2016</v>
      </c>
      <c r="D44">
        <v>7</v>
      </c>
      <c r="E44" s="4">
        <v>0</v>
      </c>
      <c r="F44" s="9">
        <v>0</v>
      </c>
      <c r="G44" s="6">
        <v>4997</v>
      </c>
      <c r="H44" s="9">
        <f t="shared" si="0"/>
        <v>0</v>
      </c>
      <c r="I44" s="6">
        <v>14500</v>
      </c>
      <c r="J44" s="6">
        <v>5096200</v>
      </c>
      <c r="K44">
        <v>0</v>
      </c>
      <c r="L44" s="4">
        <v>4.6951349999999996</v>
      </c>
      <c r="M44" s="4">
        <v>96.749398999999997</v>
      </c>
      <c r="N44" s="13">
        <v>3.29</v>
      </c>
      <c r="P44"/>
      <c r="Q44" s="12"/>
      <c r="R44" s="12"/>
    </row>
    <row r="45" spans="1:18" x14ac:dyDescent="0.2">
      <c r="A45">
        <v>1</v>
      </c>
      <c r="B45" t="s">
        <v>1</v>
      </c>
      <c r="C45">
        <v>2016</v>
      </c>
      <c r="D45">
        <v>8</v>
      </c>
      <c r="E45" s="4">
        <v>0</v>
      </c>
      <c r="F45" s="9">
        <v>0</v>
      </c>
      <c r="G45" s="6">
        <v>4938</v>
      </c>
      <c r="H45" s="9">
        <f t="shared" si="0"/>
        <v>0</v>
      </c>
      <c r="I45" s="6">
        <v>14500</v>
      </c>
      <c r="J45" s="6">
        <v>5096200</v>
      </c>
      <c r="K45">
        <v>0</v>
      </c>
      <c r="L45" s="4">
        <v>4.6951349999999996</v>
      </c>
      <c r="M45" s="4">
        <v>96.749398999999997</v>
      </c>
      <c r="N45" s="13">
        <v>3.29</v>
      </c>
      <c r="P45"/>
      <c r="Q45" s="12"/>
      <c r="R45" s="12"/>
    </row>
    <row r="46" spans="1:18" x14ac:dyDescent="0.2">
      <c r="A46">
        <v>1</v>
      </c>
      <c r="B46" t="s">
        <v>1</v>
      </c>
      <c r="C46">
        <v>2016</v>
      </c>
      <c r="D46">
        <v>9</v>
      </c>
      <c r="E46" s="4">
        <v>0</v>
      </c>
      <c r="F46" s="9">
        <v>0</v>
      </c>
      <c r="G46" s="6">
        <v>1909</v>
      </c>
      <c r="H46" s="9">
        <f t="shared" si="0"/>
        <v>0</v>
      </c>
      <c r="I46" s="6">
        <v>14500</v>
      </c>
      <c r="J46" s="6">
        <v>5096200</v>
      </c>
      <c r="K46">
        <v>0</v>
      </c>
      <c r="L46" s="4">
        <v>4.6951349999999996</v>
      </c>
      <c r="M46" s="4">
        <v>96.749398999999997</v>
      </c>
      <c r="N46" s="13">
        <v>3.29</v>
      </c>
      <c r="P46"/>
      <c r="Q46" s="12"/>
      <c r="R46" s="12"/>
    </row>
    <row r="47" spans="1:18" x14ac:dyDescent="0.2">
      <c r="A47">
        <v>1</v>
      </c>
      <c r="B47" t="s">
        <v>1</v>
      </c>
      <c r="C47">
        <v>2016</v>
      </c>
      <c r="D47">
        <v>10</v>
      </c>
      <c r="E47" s="4">
        <v>0</v>
      </c>
      <c r="F47" s="9">
        <v>0</v>
      </c>
      <c r="G47" s="6">
        <v>8337</v>
      </c>
      <c r="H47" s="9">
        <f t="shared" si="0"/>
        <v>0</v>
      </c>
      <c r="I47" s="6">
        <v>14500</v>
      </c>
      <c r="J47" s="6">
        <v>5096200</v>
      </c>
      <c r="K47">
        <v>0</v>
      </c>
      <c r="L47" s="4">
        <v>4.6951349999999996</v>
      </c>
      <c r="M47" s="4">
        <v>96.749398999999997</v>
      </c>
      <c r="N47" s="13">
        <v>3.29</v>
      </c>
      <c r="P47"/>
      <c r="Q47" s="12"/>
      <c r="R47" s="12"/>
    </row>
    <row r="48" spans="1:18" x14ac:dyDescent="0.2">
      <c r="A48">
        <v>1</v>
      </c>
      <c r="B48" t="s">
        <v>1</v>
      </c>
      <c r="C48">
        <v>2016</v>
      </c>
      <c r="D48">
        <v>11</v>
      </c>
      <c r="E48" s="4">
        <v>0</v>
      </c>
      <c r="F48" s="9">
        <v>0</v>
      </c>
      <c r="G48" s="6">
        <v>2360</v>
      </c>
      <c r="H48" s="9">
        <f t="shared" si="0"/>
        <v>0</v>
      </c>
      <c r="I48" s="6">
        <v>14500</v>
      </c>
      <c r="J48" s="6">
        <v>5096200</v>
      </c>
      <c r="K48">
        <v>0</v>
      </c>
      <c r="L48" s="4">
        <v>4.6951349999999996</v>
      </c>
      <c r="M48" s="4">
        <v>96.749398999999997</v>
      </c>
      <c r="N48" s="13">
        <v>3.29</v>
      </c>
      <c r="P48"/>
      <c r="Q48" s="12"/>
      <c r="R48" s="12"/>
    </row>
    <row r="49" spans="1:18" x14ac:dyDescent="0.2">
      <c r="A49">
        <v>1</v>
      </c>
      <c r="B49" t="s">
        <v>1</v>
      </c>
      <c r="C49">
        <v>2016</v>
      </c>
      <c r="D49">
        <v>12</v>
      </c>
      <c r="E49" s="4">
        <v>0</v>
      </c>
      <c r="F49" s="9">
        <v>0</v>
      </c>
      <c r="G49" s="6">
        <v>2362</v>
      </c>
      <c r="H49" s="9">
        <f t="shared" si="0"/>
        <v>0</v>
      </c>
      <c r="I49" s="6">
        <v>14500</v>
      </c>
      <c r="J49" s="6">
        <v>5096200</v>
      </c>
      <c r="K49">
        <v>1</v>
      </c>
      <c r="L49" s="4">
        <v>4.6951349999999996</v>
      </c>
      <c r="M49" s="4">
        <v>96.749398999999997</v>
      </c>
      <c r="N49" s="13">
        <v>3.29</v>
      </c>
      <c r="P49"/>
      <c r="Q49" s="12"/>
      <c r="R49" s="12"/>
    </row>
    <row r="50" spans="1:18" x14ac:dyDescent="0.2">
      <c r="A50">
        <v>1</v>
      </c>
      <c r="B50" t="s">
        <v>1</v>
      </c>
      <c r="C50">
        <v>2017</v>
      </c>
      <c r="D50">
        <v>1</v>
      </c>
      <c r="E50" s="4">
        <v>0</v>
      </c>
      <c r="F50" s="9">
        <v>0</v>
      </c>
      <c r="G50" s="6">
        <v>4706</v>
      </c>
      <c r="H50" s="9">
        <f t="shared" si="0"/>
        <v>0</v>
      </c>
      <c r="I50" s="6">
        <v>14500</v>
      </c>
      <c r="J50" s="6">
        <v>5189500</v>
      </c>
      <c r="K50">
        <v>0</v>
      </c>
      <c r="L50" s="4">
        <v>4.6951349999999996</v>
      </c>
      <c r="M50" s="4">
        <v>96.749398999999997</v>
      </c>
      <c r="N50" s="13">
        <v>4.18</v>
      </c>
      <c r="P50"/>
      <c r="Q50" s="12"/>
      <c r="R50" s="12"/>
    </row>
    <row r="51" spans="1:18" x14ac:dyDescent="0.2">
      <c r="A51">
        <v>1</v>
      </c>
      <c r="B51" t="s">
        <v>1</v>
      </c>
      <c r="C51">
        <v>2017</v>
      </c>
      <c r="D51">
        <v>2</v>
      </c>
      <c r="E51" s="4">
        <v>0</v>
      </c>
      <c r="F51" s="9">
        <v>0</v>
      </c>
      <c r="G51" s="6">
        <v>2703</v>
      </c>
      <c r="H51" s="9">
        <f t="shared" si="0"/>
        <v>0</v>
      </c>
      <c r="I51" s="6">
        <v>14500</v>
      </c>
      <c r="J51" s="6">
        <v>5189500</v>
      </c>
      <c r="K51">
        <v>0</v>
      </c>
      <c r="L51" s="4">
        <v>4.6951349999999996</v>
      </c>
      <c r="M51" s="4">
        <v>96.749398999999997</v>
      </c>
      <c r="N51" s="13">
        <v>4.18</v>
      </c>
      <c r="P51"/>
      <c r="Q51" s="12"/>
      <c r="R51" s="12"/>
    </row>
    <row r="52" spans="1:18" x14ac:dyDescent="0.2">
      <c r="A52">
        <v>1</v>
      </c>
      <c r="B52" t="s">
        <v>1</v>
      </c>
      <c r="C52">
        <v>2017</v>
      </c>
      <c r="D52">
        <v>3</v>
      </c>
      <c r="E52" s="4">
        <v>0</v>
      </c>
      <c r="F52" s="9">
        <v>0</v>
      </c>
      <c r="G52" s="6">
        <v>2112</v>
      </c>
      <c r="H52" s="9">
        <f t="shared" si="0"/>
        <v>0</v>
      </c>
      <c r="I52" s="6">
        <v>14500</v>
      </c>
      <c r="J52" s="6">
        <v>5189500</v>
      </c>
      <c r="K52">
        <v>0</v>
      </c>
      <c r="L52" s="4">
        <v>4.6951349999999996</v>
      </c>
      <c r="M52" s="4">
        <v>96.749398999999997</v>
      </c>
      <c r="N52" s="13">
        <v>4.18</v>
      </c>
      <c r="P52"/>
      <c r="Q52" s="12"/>
      <c r="R52" s="12"/>
    </row>
    <row r="53" spans="1:18" x14ac:dyDescent="0.2">
      <c r="A53">
        <v>1</v>
      </c>
      <c r="B53" t="s">
        <v>1</v>
      </c>
      <c r="C53">
        <v>2017</v>
      </c>
      <c r="D53">
        <v>4</v>
      </c>
      <c r="E53" s="4">
        <v>0</v>
      </c>
      <c r="F53" s="9">
        <v>0</v>
      </c>
      <c r="G53" s="6">
        <v>1509</v>
      </c>
      <c r="H53" s="9">
        <f t="shared" si="0"/>
        <v>0</v>
      </c>
      <c r="I53" s="6">
        <v>14500</v>
      </c>
      <c r="J53" s="6">
        <v>5189500</v>
      </c>
      <c r="K53">
        <v>0</v>
      </c>
      <c r="L53" s="4">
        <v>4.6951349999999996</v>
      </c>
      <c r="M53" s="4">
        <v>96.749398999999997</v>
      </c>
      <c r="N53" s="13">
        <v>4.18</v>
      </c>
      <c r="P53"/>
      <c r="Q53" s="12"/>
      <c r="R53" s="12"/>
    </row>
    <row r="54" spans="1:18" x14ac:dyDescent="0.2">
      <c r="A54">
        <v>1</v>
      </c>
      <c r="B54" t="s">
        <v>1</v>
      </c>
      <c r="C54">
        <v>2017</v>
      </c>
      <c r="D54">
        <v>5</v>
      </c>
      <c r="E54" s="4">
        <v>0</v>
      </c>
      <c r="F54" s="9">
        <v>0</v>
      </c>
      <c r="G54" s="6">
        <v>1453</v>
      </c>
      <c r="H54" s="9">
        <f t="shared" si="0"/>
        <v>0</v>
      </c>
      <c r="I54" s="6">
        <v>14500</v>
      </c>
      <c r="J54" s="6">
        <v>5189500</v>
      </c>
      <c r="K54">
        <v>1</v>
      </c>
      <c r="L54" s="4">
        <v>4.6951349999999996</v>
      </c>
      <c r="M54" s="4">
        <v>96.749398999999997</v>
      </c>
      <c r="N54" s="13">
        <v>4.18</v>
      </c>
      <c r="P54"/>
      <c r="Q54" s="12"/>
      <c r="R54" s="12"/>
    </row>
    <row r="55" spans="1:18" x14ac:dyDescent="0.2">
      <c r="A55">
        <v>1</v>
      </c>
      <c r="B55" t="s">
        <v>1</v>
      </c>
      <c r="C55">
        <v>2017</v>
      </c>
      <c r="D55">
        <v>6</v>
      </c>
      <c r="E55" s="4">
        <v>0</v>
      </c>
      <c r="F55" s="9">
        <v>0</v>
      </c>
      <c r="G55" s="6">
        <v>2689</v>
      </c>
      <c r="H55" s="9">
        <f t="shared" si="0"/>
        <v>0</v>
      </c>
      <c r="I55" s="6">
        <v>14500</v>
      </c>
      <c r="J55" s="6">
        <v>5189500</v>
      </c>
      <c r="K55">
        <v>0</v>
      </c>
      <c r="L55" s="4">
        <v>4.6951349999999996</v>
      </c>
      <c r="M55" s="4">
        <v>96.749398999999997</v>
      </c>
      <c r="N55" s="13">
        <v>4.18</v>
      </c>
      <c r="P55"/>
      <c r="Q55" s="12"/>
      <c r="R55" s="12"/>
    </row>
    <row r="56" spans="1:18" x14ac:dyDescent="0.2">
      <c r="A56">
        <v>1</v>
      </c>
      <c r="B56" t="s">
        <v>1</v>
      </c>
      <c r="C56">
        <v>2017</v>
      </c>
      <c r="D56">
        <v>7</v>
      </c>
      <c r="E56" s="4">
        <v>0</v>
      </c>
      <c r="F56" s="9">
        <v>0</v>
      </c>
      <c r="G56" s="6">
        <v>2993</v>
      </c>
      <c r="H56" s="9">
        <f t="shared" si="0"/>
        <v>0</v>
      </c>
      <c r="I56" s="6">
        <v>14500</v>
      </c>
      <c r="J56" s="6">
        <v>5189500</v>
      </c>
      <c r="K56">
        <v>0</v>
      </c>
      <c r="L56" s="4">
        <v>4.6951349999999996</v>
      </c>
      <c r="M56" s="4">
        <v>96.749398999999997</v>
      </c>
      <c r="N56" s="13">
        <v>4.18</v>
      </c>
      <c r="P56"/>
      <c r="Q56" s="12"/>
      <c r="R56" s="12"/>
    </row>
    <row r="57" spans="1:18" x14ac:dyDescent="0.2">
      <c r="A57">
        <v>1</v>
      </c>
      <c r="B57" t="s">
        <v>1</v>
      </c>
      <c r="C57">
        <v>2017</v>
      </c>
      <c r="D57">
        <v>8</v>
      </c>
      <c r="E57" s="4">
        <v>0</v>
      </c>
      <c r="F57" s="9">
        <v>0</v>
      </c>
      <c r="G57" s="6">
        <v>5737</v>
      </c>
      <c r="H57" s="9">
        <f t="shared" si="0"/>
        <v>0</v>
      </c>
      <c r="I57" s="6">
        <v>14500</v>
      </c>
      <c r="J57" s="6">
        <v>5189500</v>
      </c>
      <c r="K57">
        <v>0</v>
      </c>
      <c r="L57" s="4">
        <v>4.6951349999999996</v>
      </c>
      <c r="M57" s="4">
        <v>96.749398999999997</v>
      </c>
      <c r="N57" s="13">
        <v>4.18</v>
      </c>
      <c r="P57"/>
      <c r="Q57" s="12"/>
      <c r="R57" s="12"/>
    </row>
    <row r="58" spans="1:18" x14ac:dyDescent="0.2">
      <c r="A58">
        <v>1</v>
      </c>
      <c r="B58" t="s">
        <v>1</v>
      </c>
      <c r="C58">
        <v>2017</v>
      </c>
      <c r="D58">
        <v>9</v>
      </c>
      <c r="E58" s="4">
        <v>0</v>
      </c>
      <c r="F58" s="9">
        <v>0</v>
      </c>
      <c r="G58" s="6">
        <v>5560</v>
      </c>
      <c r="H58" s="9">
        <f t="shared" si="0"/>
        <v>0</v>
      </c>
      <c r="I58" s="6">
        <v>14500</v>
      </c>
      <c r="J58" s="6">
        <v>5189500</v>
      </c>
      <c r="K58">
        <v>0</v>
      </c>
      <c r="L58" s="4">
        <v>4.6951349999999996</v>
      </c>
      <c r="M58" s="4">
        <v>96.749398999999997</v>
      </c>
      <c r="N58" s="13">
        <v>4.18</v>
      </c>
      <c r="P58"/>
      <c r="Q58" s="12"/>
      <c r="R58" s="12"/>
    </row>
    <row r="59" spans="1:18" x14ac:dyDescent="0.2">
      <c r="A59">
        <v>1</v>
      </c>
      <c r="B59" t="s">
        <v>1</v>
      </c>
      <c r="C59">
        <v>2017</v>
      </c>
      <c r="D59">
        <v>10</v>
      </c>
      <c r="E59" s="4">
        <v>0</v>
      </c>
      <c r="F59" s="9">
        <v>0</v>
      </c>
      <c r="G59" s="6">
        <v>7217</v>
      </c>
      <c r="H59" s="9">
        <f t="shared" si="0"/>
        <v>0</v>
      </c>
      <c r="I59" s="6">
        <v>14500</v>
      </c>
      <c r="J59" s="6">
        <v>5189500</v>
      </c>
      <c r="K59">
        <v>0</v>
      </c>
      <c r="L59" s="4">
        <v>4.6951349999999996</v>
      </c>
      <c r="M59" s="4">
        <v>96.749398999999997</v>
      </c>
      <c r="N59" s="13">
        <v>4.18</v>
      </c>
      <c r="P59"/>
      <c r="Q59" s="12"/>
      <c r="R59" s="12"/>
    </row>
    <row r="60" spans="1:18" x14ac:dyDescent="0.2">
      <c r="A60">
        <v>1</v>
      </c>
      <c r="B60" t="s">
        <v>1</v>
      </c>
      <c r="C60">
        <v>2017</v>
      </c>
      <c r="D60">
        <v>11</v>
      </c>
      <c r="E60" s="4">
        <v>0</v>
      </c>
      <c r="F60" s="9">
        <v>0</v>
      </c>
      <c r="G60" s="6">
        <v>1886</v>
      </c>
      <c r="H60" s="9">
        <f t="shared" si="0"/>
        <v>0</v>
      </c>
      <c r="I60" s="6">
        <v>14500</v>
      </c>
      <c r="J60" s="6">
        <v>5189500</v>
      </c>
      <c r="K60">
        <v>0</v>
      </c>
      <c r="L60" s="4">
        <v>4.6951349999999996</v>
      </c>
      <c r="M60" s="4">
        <v>96.749398999999997</v>
      </c>
      <c r="N60" s="13">
        <v>4.18</v>
      </c>
      <c r="P60"/>
      <c r="Q60" s="12"/>
      <c r="R60" s="12"/>
    </row>
    <row r="61" spans="1:18" x14ac:dyDescent="0.2">
      <c r="A61">
        <v>1</v>
      </c>
      <c r="B61" t="s">
        <v>1</v>
      </c>
      <c r="C61">
        <v>2017</v>
      </c>
      <c r="D61">
        <v>12</v>
      </c>
      <c r="E61" s="4">
        <v>0</v>
      </c>
      <c r="F61" s="9">
        <v>0</v>
      </c>
      <c r="G61" s="6">
        <v>3513</v>
      </c>
      <c r="H61" s="9">
        <f t="shared" si="0"/>
        <v>0</v>
      </c>
      <c r="I61" s="6">
        <v>14500</v>
      </c>
      <c r="J61" s="6">
        <v>5189500</v>
      </c>
      <c r="K61">
        <v>1</v>
      </c>
      <c r="L61" s="4">
        <v>4.6951349999999996</v>
      </c>
      <c r="M61" s="4">
        <v>96.749398999999997</v>
      </c>
      <c r="N61" s="13">
        <v>4.18</v>
      </c>
      <c r="P61"/>
      <c r="Q61" s="12"/>
      <c r="R61" s="12"/>
    </row>
    <row r="62" spans="1:18" x14ac:dyDescent="0.2">
      <c r="A62">
        <v>1</v>
      </c>
      <c r="B62" t="s">
        <v>1</v>
      </c>
      <c r="C62">
        <v>2018</v>
      </c>
      <c r="D62">
        <v>1</v>
      </c>
      <c r="E62" s="4">
        <v>0</v>
      </c>
      <c r="F62" s="9">
        <v>0</v>
      </c>
      <c r="G62" s="6">
        <v>3699</v>
      </c>
      <c r="H62" s="9">
        <f t="shared" si="0"/>
        <v>0</v>
      </c>
      <c r="I62" s="6">
        <v>14500</v>
      </c>
      <c r="J62" s="6">
        <f>VLOOKUP(Table1[[#This Row],[Province]],[1]Sheet1!$A$4:$B$37,2,FALSE)</f>
        <v>4811100</v>
      </c>
      <c r="K62">
        <v>0</v>
      </c>
      <c r="L62" s="4">
        <v>4.6951349999999996</v>
      </c>
      <c r="M62" s="4">
        <v>96.749398999999997</v>
      </c>
      <c r="N62" s="13">
        <v>4.6100000000000003</v>
      </c>
      <c r="P62"/>
      <c r="Q62" s="12"/>
      <c r="R62" s="12"/>
    </row>
    <row r="63" spans="1:18" x14ac:dyDescent="0.2">
      <c r="A63">
        <v>1</v>
      </c>
      <c r="B63" t="s">
        <v>1</v>
      </c>
      <c r="C63">
        <v>2018</v>
      </c>
      <c r="D63">
        <v>2</v>
      </c>
      <c r="E63" s="4">
        <v>0</v>
      </c>
      <c r="F63" s="9">
        <v>0</v>
      </c>
      <c r="G63" s="6">
        <v>2728</v>
      </c>
      <c r="H63" s="9">
        <f t="shared" si="0"/>
        <v>0</v>
      </c>
      <c r="I63" s="6">
        <v>14500</v>
      </c>
      <c r="J63" s="6">
        <f>VLOOKUP(Table1[[#This Row],[Province]],[1]Sheet1!$A$4:$B$37,2,FALSE)</f>
        <v>4811100</v>
      </c>
      <c r="K63">
        <v>0</v>
      </c>
      <c r="L63" s="4">
        <v>4.6951349999999996</v>
      </c>
      <c r="M63" s="4">
        <v>96.749398999999997</v>
      </c>
      <c r="N63" s="13">
        <v>4.6100000000000003</v>
      </c>
      <c r="P63"/>
      <c r="Q63" s="12"/>
      <c r="R63" s="12"/>
    </row>
    <row r="64" spans="1:18" x14ac:dyDescent="0.2">
      <c r="A64">
        <v>1</v>
      </c>
      <c r="B64" t="s">
        <v>1</v>
      </c>
      <c r="C64">
        <v>2018</v>
      </c>
      <c r="D64">
        <v>3</v>
      </c>
      <c r="E64" s="4">
        <v>0</v>
      </c>
      <c r="F64" s="9">
        <v>0</v>
      </c>
      <c r="G64" s="6">
        <v>3280</v>
      </c>
      <c r="H64" s="9">
        <f t="shared" si="0"/>
        <v>0</v>
      </c>
      <c r="I64" s="6">
        <v>14500</v>
      </c>
      <c r="J64" s="6">
        <f>VLOOKUP(Table1[[#This Row],[Province]],[1]Sheet1!$A$4:$B$37,2,FALSE)</f>
        <v>4811100</v>
      </c>
      <c r="K64">
        <v>0</v>
      </c>
      <c r="L64" s="4">
        <v>4.6951349999999996</v>
      </c>
      <c r="M64" s="4">
        <v>96.749398999999997</v>
      </c>
      <c r="N64" s="13">
        <v>4.6100000000000003</v>
      </c>
      <c r="P64"/>
      <c r="Q64" s="12"/>
      <c r="R64" s="12"/>
    </row>
    <row r="65" spans="1:18" x14ac:dyDescent="0.2">
      <c r="A65">
        <v>1</v>
      </c>
      <c r="B65" t="s">
        <v>1</v>
      </c>
      <c r="C65">
        <v>2018</v>
      </c>
      <c r="D65">
        <v>4</v>
      </c>
      <c r="E65" s="4">
        <v>0</v>
      </c>
      <c r="F65" s="9">
        <v>0</v>
      </c>
      <c r="G65" s="6">
        <v>2542</v>
      </c>
      <c r="H65" s="9">
        <f t="shared" si="0"/>
        <v>0</v>
      </c>
      <c r="I65" s="6">
        <v>14500</v>
      </c>
      <c r="J65" s="6">
        <f>VLOOKUP(Table1[[#This Row],[Province]],[1]Sheet1!$A$4:$B$37,2,FALSE)</f>
        <v>4811100</v>
      </c>
      <c r="K65">
        <v>0</v>
      </c>
      <c r="L65" s="4">
        <v>4.6951349999999996</v>
      </c>
      <c r="M65" s="4">
        <v>96.749398999999997</v>
      </c>
      <c r="N65" s="13">
        <v>4.6100000000000003</v>
      </c>
      <c r="P65"/>
      <c r="Q65" s="12"/>
      <c r="R65" s="12"/>
    </row>
    <row r="66" spans="1:18" x14ac:dyDescent="0.2">
      <c r="A66">
        <v>1</v>
      </c>
      <c r="B66" t="s">
        <v>1</v>
      </c>
      <c r="C66">
        <v>2018</v>
      </c>
      <c r="D66">
        <v>5</v>
      </c>
      <c r="E66" s="4">
        <v>0</v>
      </c>
      <c r="F66" s="9">
        <v>0</v>
      </c>
      <c r="G66" s="6">
        <v>485</v>
      </c>
      <c r="H66" s="9">
        <f t="shared" ref="H66:H129" si="1">F66+E66</f>
        <v>0</v>
      </c>
      <c r="I66" s="6">
        <v>14500</v>
      </c>
      <c r="J66" s="6">
        <f>VLOOKUP(Table1[[#This Row],[Province]],[1]Sheet1!$A$4:$B$37,2,FALSE)</f>
        <v>4811100</v>
      </c>
      <c r="K66">
        <v>1</v>
      </c>
      <c r="L66" s="4">
        <v>4.6951349999999996</v>
      </c>
      <c r="M66" s="4">
        <v>96.749398999999997</v>
      </c>
      <c r="N66" s="13">
        <v>4.6100000000000003</v>
      </c>
      <c r="P66"/>
      <c r="Q66" s="12"/>
      <c r="R66" s="12"/>
    </row>
    <row r="67" spans="1:18" x14ac:dyDescent="0.2">
      <c r="A67">
        <v>1</v>
      </c>
      <c r="B67" t="s">
        <v>1</v>
      </c>
      <c r="C67">
        <v>2018</v>
      </c>
      <c r="D67">
        <v>6</v>
      </c>
      <c r="E67" s="4">
        <v>0</v>
      </c>
      <c r="F67" s="9">
        <v>0</v>
      </c>
      <c r="G67" s="6">
        <v>3083</v>
      </c>
      <c r="H67" s="9">
        <f t="shared" si="1"/>
        <v>0</v>
      </c>
      <c r="I67" s="6">
        <v>14500</v>
      </c>
      <c r="J67" s="6">
        <f>VLOOKUP(Table1[[#This Row],[Province]],[1]Sheet1!$A$4:$B$37,2,FALSE)</f>
        <v>4811100</v>
      </c>
      <c r="K67">
        <v>0</v>
      </c>
      <c r="L67" s="4">
        <v>4.6951349999999996</v>
      </c>
      <c r="M67" s="4">
        <v>96.749398999999997</v>
      </c>
      <c r="N67" s="13">
        <v>4.6100000000000003</v>
      </c>
      <c r="P67"/>
      <c r="Q67" s="12"/>
      <c r="R67" s="12"/>
    </row>
    <row r="68" spans="1:18" x14ac:dyDescent="0.2">
      <c r="A68">
        <v>1</v>
      </c>
      <c r="B68" t="s">
        <v>1</v>
      </c>
      <c r="C68">
        <v>2018</v>
      </c>
      <c r="D68">
        <v>7</v>
      </c>
      <c r="E68" s="4">
        <v>0</v>
      </c>
      <c r="F68" s="9">
        <v>0</v>
      </c>
      <c r="G68" s="6">
        <v>4318</v>
      </c>
      <c r="H68" s="9">
        <f t="shared" si="1"/>
        <v>0</v>
      </c>
      <c r="I68" s="6">
        <v>14500</v>
      </c>
      <c r="J68" s="6">
        <f>VLOOKUP(Table1[[#This Row],[Province]],[1]Sheet1!$A$4:$B$37,2,FALSE)</f>
        <v>4811100</v>
      </c>
      <c r="K68">
        <v>0</v>
      </c>
      <c r="L68" s="4">
        <v>4.6951349999999996</v>
      </c>
      <c r="M68" s="4">
        <v>96.749398999999997</v>
      </c>
      <c r="N68" s="13">
        <v>4.6100000000000003</v>
      </c>
      <c r="P68"/>
      <c r="Q68" s="12"/>
      <c r="R68" s="12"/>
    </row>
    <row r="69" spans="1:18" x14ac:dyDescent="0.2">
      <c r="A69">
        <v>1</v>
      </c>
      <c r="B69" t="s">
        <v>1</v>
      </c>
      <c r="C69">
        <v>2018</v>
      </c>
      <c r="D69">
        <v>8</v>
      </c>
      <c r="E69" s="4">
        <v>0</v>
      </c>
      <c r="F69" s="9">
        <v>0.436</v>
      </c>
      <c r="G69" s="6">
        <v>6314</v>
      </c>
      <c r="H69" s="9">
        <f t="shared" si="1"/>
        <v>0.436</v>
      </c>
      <c r="I69" s="6">
        <v>14500</v>
      </c>
      <c r="J69" s="6">
        <f>VLOOKUP(Table1[[#This Row],[Province]],[1]Sheet1!$A$4:$B$37,2,FALSE)</f>
        <v>4811100</v>
      </c>
      <c r="K69">
        <v>0</v>
      </c>
      <c r="L69" s="4">
        <v>4.6951349999999996</v>
      </c>
      <c r="M69" s="4">
        <v>96.749398999999997</v>
      </c>
      <c r="N69" s="13">
        <v>4.6100000000000003</v>
      </c>
      <c r="P69"/>
      <c r="Q69" s="12"/>
      <c r="R69" s="12"/>
    </row>
    <row r="70" spans="1:18" x14ac:dyDescent="0.2">
      <c r="A70">
        <v>1</v>
      </c>
      <c r="B70" t="s">
        <v>1</v>
      </c>
      <c r="C70">
        <v>2018</v>
      </c>
      <c r="D70">
        <v>9</v>
      </c>
      <c r="E70" s="4">
        <v>0</v>
      </c>
      <c r="F70" s="9">
        <v>0</v>
      </c>
      <c r="G70" s="6">
        <v>3844</v>
      </c>
      <c r="H70" s="9">
        <f t="shared" si="1"/>
        <v>0</v>
      </c>
      <c r="I70" s="6">
        <v>14500</v>
      </c>
      <c r="J70" s="6">
        <f>VLOOKUP(Table1[[#This Row],[Province]],[1]Sheet1!$A$4:$B$37,2,FALSE)</f>
        <v>4811100</v>
      </c>
      <c r="K70">
        <v>0</v>
      </c>
      <c r="L70" s="4">
        <v>4.6951349999999996</v>
      </c>
      <c r="M70" s="4">
        <v>96.749398999999997</v>
      </c>
      <c r="N70" s="13">
        <v>4.6100000000000003</v>
      </c>
      <c r="P70"/>
      <c r="Q70" s="12"/>
      <c r="R70" s="12"/>
    </row>
    <row r="71" spans="1:18" x14ac:dyDescent="0.2">
      <c r="A71">
        <v>1</v>
      </c>
      <c r="B71" t="s">
        <v>1</v>
      </c>
      <c r="C71">
        <v>2018</v>
      </c>
      <c r="D71">
        <v>10</v>
      </c>
      <c r="E71" s="4">
        <v>0</v>
      </c>
      <c r="F71" s="9">
        <v>0</v>
      </c>
      <c r="G71" s="6">
        <v>3842</v>
      </c>
      <c r="H71" s="9">
        <f t="shared" si="1"/>
        <v>0</v>
      </c>
      <c r="I71" s="6">
        <v>14500</v>
      </c>
      <c r="J71" s="6">
        <f>VLOOKUP(Table1[[#This Row],[Province]],[1]Sheet1!$A$4:$B$37,2,FALSE)</f>
        <v>4811100</v>
      </c>
      <c r="K71">
        <v>0</v>
      </c>
      <c r="L71" s="4">
        <v>4.6951349999999996</v>
      </c>
      <c r="M71" s="4">
        <v>96.749398999999997</v>
      </c>
      <c r="N71" s="13">
        <v>4.6100000000000003</v>
      </c>
      <c r="P71"/>
      <c r="Q71" s="12"/>
      <c r="R71" s="12"/>
    </row>
    <row r="72" spans="1:18" x14ac:dyDescent="0.2">
      <c r="A72">
        <v>1</v>
      </c>
      <c r="B72" t="s">
        <v>1</v>
      </c>
      <c r="C72">
        <v>2018</v>
      </c>
      <c r="D72">
        <v>11</v>
      </c>
      <c r="E72" s="4">
        <v>0</v>
      </c>
      <c r="F72" s="9">
        <v>0</v>
      </c>
      <c r="G72" s="6">
        <v>2925</v>
      </c>
      <c r="H72" s="9">
        <f t="shared" si="1"/>
        <v>0</v>
      </c>
      <c r="I72" s="6">
        <v>14500</v>
      </c>
      <c r="J72" s="6">
        <f>VLOOKUP(Table1[[#This Row],[Province]],[1]Sheet1!$A$4:$B$37,2,FALSE)</f>
        <v>4811100</v>
      </c>
      <c r="K72">
        <v>0</v>
      </c>
      <c r="L72" s="4">
        <v>4.6951349999999996</v>
      </c>
      <c r="M72" s="4">
        <v>96.749398999999997</v>
      </c>
      <c r="N72" s="13">
        <v>4.6100000000000003</v>
      </c>
      <c r="P72"/>
      <c r="Q72" s="12"/>
      <c r="R72" s="12"/>
    </row>
    <row r="73" spans="1:18" x14ac:dyDescent="0.2">
      <c r="A73">
        <v>1</v>
      </c>
      <c r="B73" t="s">
        <v>1</v>
      </c>
      <c r="C73">
        <v>2018</v>
      </c>
      <c r="D73">
        <v>12</v>
      </c>
      <c r="E73" s="4">
        <v>0</v>
      </c>
      <c r="F73" s="9">
        <v>0</v>
      </c>
      <c r="G73" s="6">
        <v>4620</v>
      </c>
      <c r="H73" s="9">
        <f t="shared" si="1"/>
        <v>0</v>
      </c>
      <c r="I73" s="6">
        <v>14500</v>
      </c>
      <c r="J73" s="6">
        <f>VLOOKUP(Table1[[#This Row],[Province]],[1]Sheet1!$A$4:$B$37,2,FALSE)</f>
        <v>4811100</v>
      </c>
      <c r="K73">
        <v>1</v>
      </c>
      <c r="L73" s="4">
        <v>4.6951349999999996</v>
      </c>
      <c r="M73" s="4">
        <v>96.749398999999997</v>
      </c>
      <c r="N73" s="13">
        <v>4.6100000000000003</v>
      </c>
      <c r="P73"/>
      <c r="Q73" s="12"/>
      <c r="R73" s="12"/>
    </row>
    <row r="74" spans="1:18" x14ac:dyDescent="0.2">
      <c r="A74">
        <v>1</v>
      </c>
      <c r="B74" t="s">
        <v>1</v>
      </c>
      <c r="C74">
        <v>2019</v>
      </c>
      <c r="D74">
        <v>1</v>
      </c>
      <c r="E74" s="4">
        <v>0</v>
      </c>
      <c r="F74" s="9">
        <v>0</v>
      </c>
      <c r="G74" s="6">
        <v>2628</v>
      </c>
      <c r="H74" s="9">
        <f t="shared" si="1"/>
        <v>0</v>
      </c>
      <c r="I74" s="6">
        <v>14500</v>
      </c>
      <c r="J74" s="6">
        <f>VLOOKUP(Table1[[#This Row],[Province]],[1]Sheet1!$A$4:$B$37,2,FALSE)</f>
        <v>4811100</v>
      </c>
      <c r="K74">
        <v>0</v>
      </c>
      <c r="L74" s="4">
        <v>4.6951349999999996</v>
      </c>
      <c r="M74" s="4">
        <v>96.749398999999997</v>
      </c>
      <c r="N74" s="13">
        <v>4.1399999999999997</v>
      </c>
      <c r="P74"/>
      <c r="Q74" s="12"/>
      <c r="R74" s="12"/>
    </row>
    <row r="75" spans="1:18" x14ac:dyDescent="0.2">
      <c r="A75">
        <v>1</v>
      </c>
      <c r="B75" t="s">
        <v>1</v>
      </c>
      <c r="C75">
        <v>2019</v>
      </c>
      <c r="D75">
        <v>2</v>
      </c>
      <c r="E75" s="4">
        <v>0</v>
      </c>
      <c r="F75" s="9">
        <v>0</v>
      </c>
      <c r="G75" s="6">
        <v>3213</v>
      </c>
      <c r="H75" s="9">
        <f t="shared" si="1"/>
        <v>0</v>
      </c>
      <c r="I75" s="6">
        <v>14500</v>
      </c>
      <c r="J75" s="6">
        <f>VLOOKUP(Table1[[#This Row],[Province]],[1]Sheet1!$A$4:$B$37,2,FALSE)</f>
        <v>4811100</v>
      </c>
      <c r="K75">
        <v>0</v>
      </c>
      <c r="L75" s="4">
        <v>4.6951349999999996</v>
      </c>
      <c r="M75" s="4">
        <v>96.749398999999997</v>
      </c>
      <c r="N75" s="13">
        <v>4.1399999999999997</v>
      </c>
      <c r="P75"/>
      <c r="Q75" s="12"/>
      <c r="R75" s="12"/>
    </row>
    <row r="76" spans="1:18" x14ac:dyDescent="0.2">
      <c r="A76">
        <v>1</v>
      </c>
      <c r="B76" t="s">
        <v>1</v>
      </c>
      <c r="C76">
        <v>2019</v>
      </c>
      <c r="D76">
        <v>3</v>
      </c>
      <c r="E76" s="4">
        <v>0</v>
      </c>
      <c r="F76" s="9">
        <v>0</v>
      </c>
      <c r="G76" s="6">
        <v>5249</v>
      </c>
      <c r="H76" s="9">
        <f t="shared" si="1"/>
        <v>0</v>
      </c>
      <c r="I76" s="6">
        <v>12212</v>
      </c>
      <c r="J76" s="6">
        <f>VLOOKUP(Table1[[#This Row],[Province]],[1]Sheet1!$A$4:$B$37,2,FALSE)</f>
        <v>4811100</v>
      </c>
      <c r="K76">
        <v>0</v>
      </c>
      <c r="L76" s="4">
        <v>4.6951349999999996</v>
      </c>
      <c r="M76" s="4">
        <v>96.749398999999997</v>
      </c>
      <c r="N76" s="13">
        <v>4.1399999999999997</v>
      </c>
      <c r="P76"/>
      <c r="Q76" s="12"/>
      <c r="R76" s="12"/>
    </row>
    <row r="77" spans="1:18" x14ac:dyDescent="0.2">
      <c r="A77">
        <v>1</v>
      </c>
      <c r="B77" t="s">
        <v>1</v>
      </c>
      <c r="C77">
        <v>2019</v>
      </c>
      <c r="D77">
        <v>4</v>
      </c>
      <c r="E77" s="4">
        <v>0</v>
      </c>
      <c r="F77" s="9">
        <v>0</v>
      </c>
      <c r="G77" s="6">
        <v>2935</v>
      </c>
      <c r="H77" s="9">
        <f t="shared" si="1"/>
        <v>0</v>
      </c>
      <c r="I77" s="6">
        <v>12854</v>
      </c>
      <c r="J77" s="6">
        <f>VLOOKUP(Table1[[#This Row],[Province]],[1]Sheet1!$A$4:$B$37,2,FALSE)</f>
        <v>4811100</v>
      </c>
      <c r="K77">
        <v>0</v>
      </c>
      <c r="L77" s="4">
        <v>4.6951349999999996</v>
      </c>
      <c r="M77" s="4">
        <v>96.749398999999997</v>
      </c>
      <c r="N77" s="13">
        <v>4.1399999999999997</v>
      </c>
      <c r="P77"/>
      <c r="Q77" s="12"/>
      <c r="R77" s="12"/>
    </row>
    <row r="78" spans="1:18" x14ac:dyDescent="0.2">
      <c r="A78">
        <v>1</v>
      </c>
      <c r="B78" t="s">
        <v>1</v>
      </c>
      <c r="C78">
        <v>2019</v>
      </c>
      <c r="D78">
        <v>5</v>
      </c>
      <c r="E78" s="4">
        <v>0</v>
      </c>
      <c r="F78" s="9">
        <v>0</v>
      </c>
      <c r="G78" s="6">
        <v>3674</v>
      </c>
      <c r="H78" s="9">
        <f t="shared" si="1"/>
        <v>0</v>
      </c>
      <c r="I78" s="6">
        <v>13073</v>
      </c>
      <c r="J78" s="6">
        <f>VLOOKUP(Table1[[#This Row],[Province]],[1]Sheet1!$A$4:$B$37,2,FALSE)</f>
        <v>4811100</v>
      </c>
      <c r="K78">
        <v>1</v>
      </c>
      <c r="L78" s="4">
        <v>4.6951349999999996</v>
      </c>
      <c r="M78" s="4">
        <v>96.749398999999997</v>
      </c>
      <c r="N78" s="13">
        <v>4.1399999999999997</v>
      </c>
      <c r="P78"/>
      <c r="Q78" s="12"/>
      <c r="R78" s="12"/>
    </row>
    <row r="79" spans="1:18" x14ac:dyDescent="0.2">
      <c r="A79">
        <v>1</v>
      </c>
      <c r="B79" t="s">
        <v>1</v>
      </c>
      <c r="C79">
        <v>2019</v>
      </c>
      <c r="D79">
        <v>6</v>
      </c>
      <c r="E79" s="4">
        <v>0</v>
      </c>
      <c r="F79" s="9">
        <v>0</v>
      </c>
      <c r="G79" s="6">
        <v>4827</v>
      </c>
      <c r="H79" s="9">
        <f t="shared" si="1"/>
        <v>0</v>
      </c>
      <c r="I79" s="6">
        <v>12917</v>
      </c>
      <c r="J79" s="6">
        <f>VLOOKUP(Table1[[#This Row],[Province]],[1]Sheet1!$A$4:$B$37,2,FALSE)</f>
        <v>4811100</v>
      </c>
      <c r="K79">
        <v>0</v>
      </c>
      <c r="L79" s="4">
        <v>4.6951349999999996</v>
      </c>
      <c r="M79" s="4">
        <v>96.749398999999997</v>
      </c>
      <c r="N79" s="13">
        <v>4.1399999999999997</v>
      </c>
      <c r="P79"/>
      <c r="Q79" s="12"/>
      <c r="R79" s="12"/>
    </row>
    <row r="80" spans="1:18" x14ac:dyDescent="0.2">
      <c r="A80">
        <v>1</v>
      </c>
      <c r="B80" t="s">
        <v>1</v>
      </c>
      <c r="C80">
        <v>2019</v>
      </c>
      <c r="D80">
        <v>7</v>
      </c>
      <c r="E80" s="4">
        <v>0</v>
      </c>
      <c r="F80" s="9">
        <v>0</v>
      </c>
      <c r="G80" s="6">
        <v>3155</v>
      </c>
      <c r="H80" s="9">
        <f t="shared" si="1"/>
        <v>0</v>
      </c>
      <c r="I80" s="6">
        <v>13008</v>
      </c>
      <c r="J80" s="6">
        <f>VLOOKUP(Table1[[#This Row],[Province]],[1]Sheet1!$A$4:$B$37,2,FALSE)</f>
        <v>4811100</v>
      </c>
      <c r="K80">
        <v>0</v>
      </c>
      <c r="L80" s="4">
        <v>4.6951349999999996</v>
      </c>
      <c r="M80" s="4">
        <v>96.749398999999997</v>
      </c>
      <c r="N80" s="13">
        <v>4.1399999999999997</v>
      </c>
      <c r="P80"/>
      <c r="Q80" s="12"/>
      <c r="R80" s="12"/>
    </row>
    <row r="81" spans="1:18" x14ac:dyDescent="0.2">
      <c r="A81">
        <v>1</v>
      </c>
      <c r="B81" t="s">
        <v>1</v>
      </c>
      <c r="C81">
        <v>2019</v>
      </c>
      <c r="D81">
        <v>8</v>
      </c>
      <c r="E81" s="4">
        <v>0</v>
      </c>
      <c r="F81" s="9">
        <v>0</v>
      </c>
      <c r="G81" s="6">
        <v>8002</v>
      </c>
      <c r="H81" s="9">
        <f t="shared" si="1"/>
        <v>0</v>
      </c>
      <c r="I81" s="6">
        <v>13000</v>
      </c>
      <c r="J81" s="6">
        <f>VLOOKUP(Table1[[#This Row],[Province]],[1]Sheet1!$A$4:$B$37,2,FALSE)</f>
        <v>4811100</v>
      </c>
      <c r="K81">
        <v>0</v>
      </c>
      <c r="L81" s="4">
        <v>4.6951349999999996</v>
      </c>
      <c r="M81" s="4">
        <v>96.749398999999997</v>
      </c>
      <c r="N81" s="13">
        <v>4.1399999999999997</v>
      </c>
      <c r="P81"/>
      <c r="Q81" s="12"/>
      <c r="R81" s="12"/>
    </row>
    <row r="82" spans="1:18" x14ac:dyDescent="0.2">
      <c r="A82">
        <v>1</v>
      </c>
      <c r="B82" t="s">
        <v>1</v>
      </c>
      <c r="C82">
        <v>2019</v>
      </c>
      <c r="D82">
        <v>9</v>
      </c>
      <c r="E82" s="4">
        <v>0</v>
      </c>
      <c r="F82" s="9">
        <v>0</v>
      </c>
      <c r="G82" s="6">
        <v>3075</v>
      </c>
      <c r="H82" s="9">
        <f t="shared" si="1"/>
        <v>0</v>
      </c>
      <c r="I82" s="6">
        <v>13000</v>
      </c>
      <c r="J82" s="6">
        <f>VLOOKUP(Table1[[#This Row],[Province]],[1]Sheet1!$A$4:$B$37,2,FALSE)</f>
        <v>4811100</v>
      </c>
      <c r="K82">
        <v>0</v>
      </c>
      <c r="L82" s="4">
        <v>4.6951349999999996</v>
      </c>
      <c r="M82" s="4">
        <v>96.749398999999997</v>
      </c>
      <c r="N82" s="13">
        <v>4.1399999999999997</v>
      </c>
      <c r="P82"/>
      <c r="Q82" s="12"/>
      <c r="R82" s="12"/>
    </row>
    <row r="83" spans="1:18" x14ac:dyDescent="0.2">
      <c r="A83">
        <v>1</v>
      </c>
      <c r="B83" t="s">
        <v>1</v>
      </c>
      <c r="C83">
        <v>2019</v>
      </c>
      <c r="D83">
        <v>10</v>
      </c>
      <c r="E83" s="4">
        <v>0</v>
      </c>
      <c r="F83" s="9">
        <v>0</v>
      </c>
      <c r="G83" s="6">
        <v>6635</v>
      </c>
      <c r="H83" s="9">
        <f t="shared" si="1"/>
        <v>0</v>
      </c>
      <c r="I83" s="6">
        <v>12983</v>
      </c>
      <c r="J83" s="6">
        <f>VLOOKUP(Table1[[#This Row],[Province]],[1]Sheet1!$A$4:$B$37,2,FALSE)</f>
        <v>4811100</v>
      </c>
      <c r="K83">
        <v>0</v>
      </c>
      <c r="L83" s="4">
        <v>4.6951349999999996</v>
      </c>
      <c r="M83" s="4">
        <v>96.749398999999997</v>
      </c>
      <c r="N83" s="13">
        <v>4.1399999999999997</v>
      </c>
      <c r="P83"/>
      <c r="Q83" s="12"/>
      <c r="R83" s="12"/>
    </row>
    <row r="84" spans="1:18" x14ac:dyDescent="0.2">
      <c r="A84">
        <v>1</v>
      </c>
      <c r="B84" t="s">
        <v>1</v>
      </c>
      <c r="C84">
        <v>2019</v>
      </c>
      <c r="D84">
        <v>11</v>
      </c>
      <c r="E84" s="4">
        <v>0</v>
      </c>
      <c r="F84" s="9">
        <v>0</v>
      </c>
      <c r="G84" s="6">
        <v>3172</v>
      </c>
      <c r="H84" s="9">
        <f t="shared" si="1"/>
        <v>0</v>
      </c>
      <c r="I84" s="6">
        <v>12971</v>
      </c>
      <c r="J84" s="6">
        <f>VLOOKUP(Table1[[#This Row],[Province]],[1]Sheet1!$A$4:$B$37,2,FALSE)</f>
        <v>4811100</v>
      </c>
      <c r="K84">
        <v>0</v>
      </c>
      <c r="L84" s="4">
        <v>4.6951349999999996</v>
      </c>
      <c r="M84" s="4">
        <v>96.749398999999997</v>
      </c>
      <c r="N84" s="13">
        <v>4.1399999999999997</v>
      </c>
      <c r="P84"/>
      <c r="Q84" s="12"/>
      <c r="R84" s="12"/>
    </row>
    <row r="85" spans="1:18" x14ac:dyDescent="0.2">
      <c r="A85">
        <v>1</v>
      </c>
      <c r="B85" t="s">
        <v>1</v>
      </c>
      <c r="C85">
        <v>2019</v>
      </c>
      <c r="D85">
        <v>12</v>
      </c>
      <c r="E85" s="4">
        <v>0</v>
      </c>
      <c r="F85" s="9">
        <v>0</v>
      </c>
      <c r="G85" s="6">
        <v>6010</v>
      </c>
      <c r="H85" s="9">
        <f t="shared" si="1"/>
        <v>0</v>
      </c>
      <c r="I85" s="6">
        <v>13625</v>
      </c>
      <c r="J85" s="6">
        <f>VLOOKUP(Table1[[#This Row],[Province]],[1]Sheet1!$A$4:$B$37,2,FALSE)</f>
        <v>4811100</v>
      </c>
      <c r="K85">
        <v>1</v>
      </c>
      <c r="L85" s="4">
        <v>4.6951349999999996</v>
      </c>
      <c r="M85" s="4">
        <v>96.749398999999997</v>
      </c>
      <c r="N85" s="13">
        <v>4.1399999999999997</v>
      </c>
      <c r="P85"/>
      <c r="Q85" s="12"/>
      <c r="R85" s="12"/>
    </row>
    <row r="86" spans="1:18" x14ac:dyDescent="0.2">
      <c r="A86">
        <v>1</v>
      </c>
      <c r="B86" t="s">
        <v>1</v>
      </c>
      <c r="C86">
        <v>2020</v>
      </c>
      <c r="D86">
        <v>1</v>
      </c>
      <c r="E86" s="4">
        <v>0</v>
      </c>
      <c r="F86" s="9">
        <v>0</v>
      </c>
      <c r="G86" s="6">
        <v>4229</v>
      </c>
      <c r="H86" s="9">
        <f t="shared" si="1"/>
        <v>0</v>
      </c>
      <c r="I86" s="6">
        <v>13785</v>
      </c>
      <c r="J86" s="6">
        <f>VLOOKUP(Table1[[#This Row],[Province]],[1]Sheet1!$A$4:$B$37,2,FALSE)</f>
        <v>4811100</v>
      </c>
      <c r="K86">
        <v>0</v>
      </c>
      <c r="L86" s="4">
        <v>4.6951349999999996</v>
      </c>
      <c r="M86" s="4">
        <v>96.749398999999997</v>
      </c>
      <c r="N86" s="13">
        <v>-0.37</v>
      </c>
      <c r="P86"/>
      <c r="Q86" s="12"/>
      <c r="R86" s="12"/>
    </row>
    <row r="87" spans="1:18" x14ac:dyDescent="0.2">
      <c r="A87">
        <v>1</v>
      </c>
      <c r="B87" t="s">
        <v>1</v>
      </c>
      <c r="C87">
        <v>2020</v>
      </c>
      <c r="D87">
        <v>2</v>
      </c>
      <c r="E87" s="4">
        <v>0</v>
      </c>
      <c r="F87" s="9">
        <v>0</v>
      </c>
      <c r="G87" s="6">
        <v>2503</v>
      </c>
      <c r="H87" s="9">
        <f t="shared" si="1"/>
        <v>0</v>
      </c>
      <c r="I87" s="6">
        <v>14677</v>
      </c>
      <c r="J87" s="6">
        <f>VLOOKUP(Table1[[#This Row],[Province]],[1]Sheet1!$A$4:$B$37,2,FALSE)</f>
        <v>4811100</v>
      </c>
      <c r="K87">
        <v>0</v>
      </c>
      <c r="L87" s="4">
        <v>4.6951349999999996</v>
      </c>
      <c r="M87" s="4">
        <v>96.749398999999997</v>
      </c>
      <c r="N87" s="13">
        <v>-0.37</v>
      </c>
      <c r="P87"/>
      <c r="Q87" s="12"/>
      <c r="R87" s="12"/>
    </row>
    <row r="88" spans="1:18" x14ac:dyDescent="0.2">
      <c r="A88">
        <v>1</v>
      </c>
      <c r="B88" t="s">
        <v>1</v>
      </c>
      <c r="C88">
        <v>2020</v>
      </c>
      <c r="D88">
        <v>3</v>
      </c>
      <c r="E88" s="4">
        <v>0</v>
      </c>
      <c r="F88" s="9">
        <v>0</v>
      </c>
      <c r="G88" s="6">
        <v>2183</v>
      </c>
      <c r="H88" s="9">
        <f t="shared" si="1"/>
        <v>0</v>
      </c>
      <c r="I88" s="6">
        <v>17258</v>
      </c>
      <c r="J88" s="6">
        <f>VLOOKUP(Table1[[#This Row],[Province]],[1]Sheet1!$A$4:$B$37,2,FALSE)</f>
        <v>4811100</v>
      </c>
      <c r="K88">
        <v>0</v>
      </c>
      <c r="L88" s="4">
        <v>4.6951349999999996</v>
      </c>
      <c r="M88" s="4">
        <v>96.749398999999997</v>
      </c>
      <c r="N88" s="13">
        <v>-0.37</v>
      </c>
      <c r="P88"/>
      <c r="Q88" s="12"/>
      <c r="R88" s="12"/>
    </row>
    <row r="89" spans="1:18" x14ac:dyDescent="0.2">
      <c r="A89">
        <v>1</v>
      </c>
      <c r="B89" t="s">
        <v>1</v>
      </c>
      <c r="C89">
        <v>2020</v>
      </c>
      <c r="D89">
        <v>4</v>
      </c>
      <c r="E89" s="4">
        <v>0</v>
      </c>
      <c r="F89" s="9">
        <v>0</v>
      </c>
      <c r="G89" s="6">
        <v>1382</v>
      </c>
      <c r="H89" s="9">
        <f t="shared" si="1"/>
        <v>0</v>
      </c>
      <c r="I89" s="6">
        <v>18826</v>
      </c>
      <c r="J89" s="6">
        <f>VLOOKUP(Table1[[#This Row],[Province]],[1]Sheet1!$A$4:$B$37,2,FALSE)</f>
        <v>4811100</v>
      </c>
      <c r="K89">
        <v>1</v>
      </c>
      <c r="L89" s="4">
        <v>4.6951349999999996</v>
      </c>
      <c r="M89" s="4">
        <v>96.749398999999997</v>
      </c>
      <c r="N89" s="13">
        <v>-0.37</v>
      </c>
      <c r="P89"/>
      <c r="Q89" s="12"/>
      <c r="R89" s="12"/>
    </row>
    <row r="90" spans="1:18" x14ac:dyDescent="0.2">
      <c r="A90">
        <v>1</v>
      </c>
      <c r="B90" t="s">
        <v>1</v>
      </c>
      <c r="C90">
        <v>2020</v>
      </c>
      <c r="D90">
        <v>5</v>
      </c>
      <c r="E90" s="4">
        <v>0</v>
      </c>
      <c r="F90" s="9">
        <v>0</v>
      </c>
      <c r="G90" s="6">
        <v>429</v>
      </c>
      <c r="H90" s="9">
        <f t="shared" si="1"/>
        <v>0</v>
      </c>
      <c r="I90" s="6">
        <v>16835</v>
      </c>
      <c r="J90" s="6">
        <f>VLOOKUP(Table1[[#This Row],[Province]],[1]Sheet1!$A$4:$B$37,2,FALSE)</f>
        <v>4811100</v>
      </c>
      <c r="K90">
        <v>0</v>
      </c>
      <c r="L90" s="4">
        <v>4.6951349999999996</v>
      </c>
      <c r="M90" s="4">
        <v>96.749398999999997</v>
      </c>
      <c r="N90" s="13">
        <v>-0.37</v>
      </c>
      <c r="P90"/>
      <c r="Q90" s="12"/>
      <c r="R90" s="12"/>
    </row>
    <row r="91" spans="1:18" x14ac:dyDescent="0.2">
      <c r="A91">
        <v>1</v>
      </c>
      <c r="B91" t="s">
        <v>1</v>
      </c>
      <c r="C91">
        <v>2020</v>
      </c>
      <c r="D91">
        <v>6</v>
      </c>
      <c r="E91" s="4">
        <v>0</v>
      </c>
      <c r="F91" s="9">
        <v>0</v>
      </c>
      <c r="G91" s="6">
        <v>2885</v>
      </c>
      <c r="H91" s="9">
        <f t="shared" si="1"/>
        <v>0</v>
      </c>
      <c r="I91" s="6">
        <v>15140</v>
      </c>
      <c r="J91" s="6">
        <f>VLOOKUP(Table1[[#This Row],[Province]],[1]Sheet1!$A$4:$B$37,2,FALSE)</f>
        <v>4811100</v>
      </c>
      <c r="K91">
        <v>0</v>
      </c>
      <c r="L91" s="4">
        <v>4.6951349999999996</v>
      </c>
      <c r="M91" s="4">
        <v>96.749398999999997</v>
      </c>
      <c r="N91" s="13">
        <v>-0.37</v>
      </c>
      <c r="P91"/>
      <c r="Q91" s="12"/>
      <c r="R91" s="12"/>
    </row>
    <row r="92" spans="1:18" x14ac:dyDescent="0.2">
      <c r="A92">
        <v>1</v>
      </c>
      <c r="B92" t="s">
        <v>1</v>
      </c>
      <c r="C92">
        <v>2020</v>
      </c>
      <c r="D92">
        <v>7</v>
      </c>
      <c r="E92" s="4">
        <v>0</v>
      </c>
      <c r="F92" s="9">
        <v>0</v>
      </c>
      <c r="G92" s="6">
        <v>639</v>
      </c>
      <c r="H92" s="9">
        <f t="shared" si="1"/>
        <v>0</v>
      </c>
      <c r="I92" s="6">
        <v>13706</v>
      </c>
      <c r="J92" s="6">
        <f>VLOOKUP(Table1[[#This Row],[Province]],[1]Sheet1!$A$4:$B$37,2,FALSE)</f>
        <v>4811100</v>
      </c>
      <c r="K92">
        <v>0</v>
      </c>
      <c r="L92" s="4">
        <v>4.6951349999999996</v>
      </c>
      <c r="M92" s="4">
        <v>96.749398999999997</v>
      </c>
      <c r="N92" s="13">
        <v>-0.37</v>
      </c>
      <c r="P92"/>
      <c r="Q92" s="12"/>
      <c r="R92" s="12"/>
    </row>
    <row r="93" spans="1:18" x14ac:dyDescent="0.2">
      <c r="A93">
        <v>1</v>
      </c>
      <c r="B93" t="s">
        <v>1</v>
      </c>
      <c r="C93">
        <v>2020</v>
      </c>
      <c r="D93">
        <v>8</v>
      </c>
      <c r="E93" s="4">
        <v>0</v>
      </c>
      <c r="F93" s="9">
        <v>0</v>
      </c>
      <c r="G93" s="6">
        <v>1275</v>
      </c>
      <c r="H93" s="9">
        <f t="shared" si="1"/>
        <v>0</v>
      </c>
      <c r="I93" s="6">
        <v>13453</v>
      </c>
      <c r="J93" s="6">
        <f>VLOOKUP(Table1[[#This Row],[Province]],[1]Sheet1!$A$4:$B$37,2,FALSE)</f>
        <v>4811100</v>
      </c>
      <c r="K93">
        <v>0</v>
      </c>
      <c r="L93" s="4">
        <v>4.6951349999999996</v>
      </c>
      <c r="M93" s="4">
        <v>96.749398999999997</v>
      </c>
      <c r="N93" s="13">
        <v>-0.37</v>
      </c>
      <c r="P93"/>
      <c r="Q93" s="12"/>
      <c r="R93" s="12"/>
    </row>
    <row r="94" spans="1:18" x14ac:dyDescent="0.2">
      <c r="A94">
        <v>1</v>
      </c>
      <c r="B94" t="s">
        <v>1</v>
      </c>
      <c r="C94">
        <v>2020</v>
      </c>
      <c r="D94">
        <v>9</v>
      </c>
      <c r="E94" s="4">
        <v>0</v>
      </c>
      <c r="F94" s="9">
        <v>0</v>
      </c>
      <c r="G94" s="6">
        <v>3946</v>
      </c>
      <c r="H94" s="9">
        <f t="shared" si="1"/>
        <v>0</v>
      </c>
      <c r="I94" s="6">
        <v>13927</v>
      </c>
      <c r="J94" s="6">
        <f>VLOOKUP(Table1[[#This Row],[Province]],[1]Sheet1!$A$4:$B$37,2,FALSE)</f>
        <v>4811100</v>
      </c>
      <c r="K94">
        <v>0</v>
      </c>
      <c r="L94" s="4">
        <v>4.6951349999999996</v>
      </c>
      <c r="M94" s="4">
        <v>96.749398999999997</v>
      </c>
      <c r="N94" s="13">
        <v>-0.37</v>
      </c>
      <c r="P94"/>
      <c r="Q94" s="12"/>
      <c r="R94" s="12"/>
    </row>
    <row r="95" spans="1:18" x14ac:dyDescent="0.2">
      <c r="A95">
        <v>1</v>
      </c>
      <c r="B95" t="s">
        <v>1</v>
      </c>
      <c r="C95">
        <v>2020</v>
      </c>
      <c r="D95">
        <v>10</v>
      </c>
      <c r="E95" s="4">
        <v>0</v>
      </c>
      <c r="F95" s="9">
        <v>0</v>
      </c>
      <c r="G95" s="6">
        <v>2072</v>
      </c>
      <c r="H95" s="9">
        <f t="shared" si="1"/>
        <v>0</v>
      </c>
      <c r="I95" s="6">
        <v>14000</v>
      </c>
      <c r="J95" s="6">
        <f>VLOOKUP(Table1[[#This Row],[Province]],[1]Sheet1!$A$4:$B$37,2,FALSE)</f>
        <v>4811100</v>
      </c>
      <c r="K95">
        <v>0</v>
      </c>
      <c r="L95" s="4">
        <v>4.6951349999999996</v>
      </c>
      <c r="M95" s="4">
        <v>96.749398999999997</v>
      </c>
      <c r="N95" s="13">
        <v>-0.37</v>
      </c>
      <c r="P95"/>
      <c r="Q95" s="12"/>
      <c r="R95" s="12"/>
    </row>
    <row r="96" spans="1:18" x14ac:dyDescent="0.2">
      <c r="A96">
        <v>1</v>
      </c>
      <c r="B96" t="s">
        <v>1</v>
      </c>
      <c r="C96">
        <v>2020</v>
      </c>
      <c r="D96">
        <v>11</v>
      </c>
      <c r="E96" s="4">
        <v>0</v>
      </c>
      <c r="F96" s="9">
        <v>0</v>
      </c>
      <c r="G96" s="6">
        <v>6883</v>
      </c>
      <c r="H96" s="9">
        <f t="shared" si="1"/>
        <v>0</v>
      </c>
      <c r="I96" s="6">
        <v>14000</v>
      </c>
      <c r="J96" s="6">
        <f>VLOOKUP(Table1[[#This Row],[Province]],[1]Sheet1!$A$4:$B$37,2,FALSE)</f>
        <v>4811100</v>
      </c>
      <c r="K96">
        <v>0</v>
      </c>
      <c r="L96" s="4">
        <v>4.6951349999999996</v>
      </c>
      <c r="M96" s="4">
        <v>96.749398999999997</v>
      </c>
      <c r="N96" s="13">
        <v>-0.37</v>
      </c>
      <c r="P96"/>
      <c r="Q96" s="12"/>
      <c r="R96" s="12"/>
    </row>
    <row r="97" spans="1:18" x14ac:dyDescent="0.2">
      <c r="A97">
        <v>1</v>
      </c>
      <c r="B97" t="s">
        <v>1</v>
      </c>
      <c r="C97">
        <v>2020</v>
      </c>
      <c r="D97">
        <v>12</v>
      </c>
      <c r="E97" s="4">
        <v>0</v>
      </c>
      <c r="F97" s="9">
        <v>0</v>
      </c>
      <c r="G97" s="6">
        <v>3828</v>
      </c>
      <c r="H97" s="9">
        <f t="shared" si="1"/>
        <v>0</v>
      </c>
      <c r="I97" s="6">
        <v>13982</v>
      </c>
      <c r="J97" s="6">
        <f>VLOOKUP(Table1[[#This Row],[Province]],[1]Sheet1!$A$4:$B$37,2,FALSE)</f>
        <v>4811100</v>
      </c>
      <c r="K97">
        <v>1</v>
      </c>
      <c r="L97" s="4">
        <v>4.6951349999999996</v>
      </c>
      <c r="M97" s="4">
        <v>96.749398999999997</v>
      </c>
      <c r="N97" s="13">
        <v>-0.37</v>
      </c>
      <c r="P97"/>
      <c r="Q97" s="12"/>
      <c r="R97" s="12"/>
    </row>
    <row r="98" spans="1:18" x14ac:dyDescent="0.2">
      <c r="A98">
        <v>1</v>
      </c>
      <c r="B98" t="s">
        <v>1</v>
      </c>
      <c r="C98">
        <v>2021</v>
      </c>
      <c r="D98">
        <v>1</v>
      </c>
      <c r="E98" s="4">
        <v>0</v>
      </c>
      <c r="F98" s="9">
        <v>0</v>
      </c>
      <c r="G98" s="6">
        <v>5325</v>
      </c>
      <c r="H98" s="9">
        <f t="shared" si="1"/>
        <v>0</v>
      </c>
      <c r="I98" s="6">
        <v>14000</v>
      </c>
      <c r="J98" s="6">
        <f>VLOOKUP(Table1[[#This Row],[Province]],[1]Sheet1!$A$4:$B$37,2,FALSE)</f>
        <v>4811100</v>
      </c>
      <c r="K98">
        <v>0</v>
      </c>
      <c r="L98" s="4">
        <v>4.6951349999999996</v>
      </c>
      <c r="M98" s="4">
        <v>96.749398999999997</v>
      </c>
      <c r="N98" s="13">
        <v>2.81</v>
      </c>
      <c r="P98"/>
      <c r="Q98" s="12"/>
      <c r="R98" s="12"/>
    </row>
    <row r="99" spans="1:18" x14ac:dyDescent="0.2">
      <c r="A99">
        <v>1</v>
      </c>
      <c r="B99" t="s">
        <v>1</v>
      </c>
      <c r="C99">
        <v>2021</v>
      </c>
      <c r="D99">
        <v>2</v>
      </c>
      <c r="E99" s="4">
        <v>0</v>
      </c>
      <c r="F99" s="9">
        <v>0</v>
      </c>
      <c r="G99" s="6">
        <v>6917</v>
      </c>
      <c r="H99" s="9">
        <f t="shared" si="1"/>
        <v>0</v>
      </c>
      <c r="I99" s="6">
        <v>14000</v>
      </c>
      <c r="J99" s="6">
        <f>VLOOKUP(Table1[[#This Row],[Province]],[1]Sheet1!$A$4:$B$37,2,FALSE)</f>
        <v>4811100</v>
      </c>
      <c r="K99">
        <v>0</v>
      </c>
      <c r="L99" s="4">
        <v>4.6951349999999996</v>
      </c>
      <c r="M99" s="4">
        <v>96.749398999999997</v>
      </c>
      <c r="N99" s="13">
        <v>2.81</v>
      </c>
      <c r="P99"/>
      <c r="Q99" s="12"/>
      <c r="R99" s="12"/>
    </row>
    <row r="100" spans="1:18" x14ac:dyDescent="0.2">
      <c r="A100">
        <v>1</v>
      </c>
      <c r="B100" t="s">
        <v>1</v>
      </c>
      <c r="C100">
        <v>2021</v>
      </c>
      <c r="D100">
        <v>3</v>
      </c>
      <c r="E100" s="4">
        <v>0</v>
      </c>
      <c r="F100" s="9">
        <v>0</v>
      </c>
      <c r="G100" s="6">
        <v>5678</v>
      </c>
      <c r="H100" s="9">
        <f t="shared" si="1"/>
        <v>0</v>
      </c>
      <c r="I100" s="6">
        <v>14000</v>
      </c>
      <c r="J100" s="6">
        <f>VLOOKUP(Table1[[#This Row],[Province]],[1]Sheet1!$A$4:$B$37,2,FALSE)</f>
        <v>4811100</v>
      </c>
      <c r="K100">
        <v>0</v>
      </c>
      <c r="L100" s="4">
        <v>4.6951349999999996</v>
      </c>
      <c r="M100" s="4">
        <v>96.749398999999997</v>
      </c>
      <c r="N100" s="13">
        <v>2.81</v>
      </c>
      <c r="P100"/>
      <c r="Q100" s="12"/>
      <c r="R100" s="12"/>
    </row>
    <row r="101" spans="1:18" x14ac:dyDescent="0.2">
      <c r="A101">
        <v>1</v>
      </c>
      <c r="B101" t="s">
        <v>1</v>
      </c>
      <c r="C101">
        <v>2021</v>
      </c>
      <c r="D101">
        <v>4</v>
      </c>
      <c r="E101" s="4">
        <v>0</v>
      </c>
      <c r="F101" s="9">
        <v>0</v>
      </c>
      <c r="G101" s="6">
        <v>6263</v>
      </c>
      <c r="H101" s="9">
        <f t="shared" si="1"/>
        <v>0</v>
      </c>
      <c r="I101" s="6">
        <v>13363</v>
      </c>
      <c r="J101" s="6">
        <f>VLOOKUP(Table1[[#This Row],[Province]],[1]Sheet1!$A$4:$B$37,2,FALSE)</f>
        <v>4811100</v>
      </c>
      <c r="K101">
        <v>1</v>
      </c>
      <c r="L101" s="4">
        <v>4.6951349999999996</v>
      </c>
      <c r="M101" s="4">
        <v>96.749398999999997</v>
      </c>
      <c r="N101" s="13">
        <v>2.81</v>
      </c>
      <c r="P101"/>
      <c r="Q101" s="12"/>
      <c r="R101" s="12"/>
    </row>
    <row r="102" spans="1:18" x14ac:dyDescent="0.2">
      <c r="A102">
        <v>1</v>
      </c>
      <c r="B102" t="s">
        <v>1</v>
      </c>
      <c r="C102">
        <v>2021</v>
      </c>
      <c r="D102">
        <v>5</v>
      </c>
      <c r="E102" s="4">
        <v>0</v>
      </c>
      <c r="F102" s="9">
        <v>0</v>
      </c>
      <c r="G102" s="6">
        <v>5837</v>
      </c>
      <c r="H102" s="9">
        <f t="shared" si="1"/>
        <v>0</v>
      </c>
      <c r="I102" s="6">
        <v>13390</v>
      </c>
      <c r="J102" s="6">
        <f>VLOOKUP(Table1[[#This Row],[Province]],[1]Sheet1!$A$4:$B$37,2,FALSE)</f>
        <v>4811100</v>
      </c>
      <c r="K102">
        <v>0</v>
      </c>
      <c r="L102" s="4">
        <v>4.6951349999999996</v>
      </c>
      <c r="M102" s="4">
        <v>96.749398999999997</v>
      </c>
      <c r="N102" s="13">
        <v>2.81</v>
      </c>
      <c r="P102"/>
      <c r="Q102" s="12"/>
      <c r="R102" s="12"/>
    </row>
    <row r="103" spans="1:18" x14ac:dyDescent="0.2">
      <c r="A103">
        <v>1</v>
      </c>
      <c r="B103" t="s">
        <v>1</v>
      </c>
      <c r="C103">
        <v>2021</v>
      </c>
      <c r="D103">
        <v>6</v>
      </c>
      <c r="E103" s="4">
        <v>0</v>
      </c>
      <c r="F103" s="9">
        <v>0</v>
      </c>
      <c r="G103" s="6">
        <v>6458</v>
      </c>
      <c r="H103" s="9">
        <f t="shared" si="1"/>
        <v>0</v>
      </c>
      <c r="I103" s="6">
        <v>13400</v>
      </c>
      <c r="J103" s="6">
        <f>VLOOKUP(Table1[[#This Row],[Province]],[1]Sheet1!$A$4:$B$37,2,FALSE)</f>
        <v>4811100</v>
      </c>
      <c r="K103">
        <v>0</v>
      </c>
      <c r="L103" s="4">
        <v>4.6951349999999996</v>
      </c>
      <c r="M103" s="4">
        <v>96.749398999999997</v>
      </c>
      <c r="N103" s="13">
        <v>2.81</v>
      </c>
      <c r="P103"/>
      <c r="Q103" s="12"/>
      <c r="R103" s="12"/>
    </row>
    <row r="104" spans="1:18" x14ac:dyDescent="0.2">
      <c r="A104">
        <v>1</v>
      </c>
      <c r="B104" t="s">
        <v>1</v>
      </c>
      <c r="C104">
        <v>2021</v>
      </c>
      <c r="D104">
        <v>7</v>
      </c>
      <c r="E104" s="4">
        <v>0</v>
      </c>
      <c r="F104" s="9">
        <v>0</v>
      </c>
      <c r="G104" s="6">
        <v>4208</v>
      </c>
      <c r="H104" s="9">
        <f t="shared" si="1"/>
        <v>0</v>
      </c>
      <c r="I104" s="6">
        <v>13200</v>
      </c>
      <c r="J104" s="6">
        <f>VLOOKUP(Table1[[#This Row],[Province]],[1]Sheet1!$A$4:$B$37,2,FALSE)</f>
        <v>4811100</v>
      </c>
      <c r="K104">
        <v>0</v>
      </c>
      <c r="L104" s="4">
        <v>4.6951349999999996</v>
      </c>
      <c r="M104" s="4">
        <v>96.749398999999997</v>
      </c>
      <c r="N104" s="13">
        <v>2.81</v>
      </c>
      <c r="P104"/>
      <c r="Q104" s="12"/>
      <c r="R104" s="12"/>
    </row>
    <row r="105" spans="1:18" x14ac:dyDescent="0.2">
      <c r="A105">
        <v>1</v>
      </c>
      <c r="B105" t="s">
        <v>1</v>
      </c>
      <c r="C105">
        <v>2021</v>
      </c>
      <c r="D105">
        <v>8</v>
      </c>
      <c r="E105" s="4">
        <v>0</v>
      </c>
      <c r="F105" s="9">
        <v>0</v>
      </c>
      <c r="G105" s="6">
        <v>5851</v>
      </c>
      <c r="H105" s="9">
        <f t="shared" si="1"/>
        <v>0</v>
      </c>
      <c r="I105" s="6">
        <v>13200</v>
      </c>
      <c r="J105" s="6">
        <f>VLOOKUP(Table1[[#This Row],[Province]],[1]Sheet1!$A$4:$B$37,2,FALSE)</f>
        <v>4811100</v>
      </c>
      <c r="K105">
        <v>0</v>
      </c>
      <c r="L105" s="4">
        <v>4.6951349999999996</v>
      </c>
      <c r="M105" s="4">
        <v>96.749398999999997</v>
      </c>
      <c r="N105" s="13">
        <v>2.81</v>
      </c>
      <c r="P105"/>
      <c r="Q105" s="12"/>
      <c r="R105" s="12"/>
    </row>
    <row r="106" spans="1:18" x14ac:dyDescent="0.2">
      <c r="A106">
        <v>1</v>
      </c>
      <c r="B106" t="s">
        <v>1</v>
      </c>
      <c r="C106">
        <v>2021</v>
      </c>
      <c r="D106">
        <v>9</v>
      </c>
      <c r="E106" s="4">
        <v>0</v>
      </c>
      <c r="F106" s="9">
        <v>0</v>
      </c>
      <c r="G106" s="6">
        <v>4701</v>
      </c>
      <c r="H106" s="9">
        <f t="shared" si="1"/>
        <v>0</v>
      </c>
      <c r="I106" s="6">
        <v>13205</v>
      </c>
      <c r="J106" s="6">
        <f>VLOOKUP(Table1[[#This Row],[Province]],[1]Sheet1!$A$4:$B$37,2,FALSE)</f>
        <v>4811100</v>
      </c>
      <c r="K106">
        <v>0</v>
      </c>
      <c r="L106" s="4">
        <v>4.6951349999999996</v>
      </c>
      <c r="M106" s="4">
        <v>96.749398999999997</v>
      </c>
      <c r="N106" s="13">
        <v>2.81</v>
      </c>
      <c r="P106"/>
      <c r="Q106" s="12"/>
      <c r="R106" s="12"/>
    </row>
    <row r="107" spans="1:18" x14ac:dyDescent="0.2">
      <c r="A107">
        <v>1</v>
      </c>
      <c r="B107" t="s">
        <v>1</v>
      </c>
      <c r="C107">
        <v>2021</v>
      </c>
      <c r="D107">
        <v>10</v>
      </c>
      <c r="E107" s="4">
        <v>0</v>
      </c>
      <c r="F107" s="9">
        <v>0</v>
      </c>
      <c r="G107" s="6">
        <v>5518</v>
      </c>
      <c r="H107" s="9">
        <f t="shared" si="1"/>
        <v>0</v>
      </c>
      <c r="I107" s="6">
        <v>13168</v>
      </c>
      <c r="J107" s="6">
        <f>VLOOKUP(Table1[[#This Row],[Province]],[1]Sheet1!$A$4:$B$37,2,FALSE)</f>
        <v>4811100</v>
      </c>
      <c r="K107">
        <v>0</v>
      </c>
      <c r="L107" s="4">
        <v>4.6951349999999996</v>
      </c>
      <c r="M107" s="4">
        <v>96.749398999999997</v>
      </c>
      <c r="N107" s="13">
        <v>2.81</v>
      </c>
      <c r="P107"/>
      <c r="Q107" s="12"/>
      <c r="R107" s="12"/>
    </row>
    <row r="108" spans="1:18" x14ac:dyDescent="0.2">
      <c r="A108">
        <v>1</v>
      </c>
      <c r="B108" t="s">
        <v>1</v>
      </c>
      <c r="C108">
        <v>2021</v>
      </c>
      <c r="D108">
        <v>11</v>
      </c>
      <c r="E108" s="4">
        <v>0</v>
      </c>
      <c r="F108" s="9">
        <v>0</v>
      </c>
      <c r="G108" s="6">
        <v>4492</v>
      </c>
      <c r="H108" s="9">
        <f t="shared" si="1"/>
        <v>0</v>
      </c>
      <c r="I108" s="6">
        <v>13120</v>
      </c>
      <c r="J108" s="6">
        <f>VLOOKUP(Table1[[#This Row],[Province]],[1]Sheet1!$A$4:$B$37,2,FALSE)</f>
        <v>4811100</v>
      </c>
      <c r="K108">
        <v>0</v>
      </c>
      <c r="L108" s="4">
        <v>4.6951349999999996</v>
      </c>
      <c r="M108" s="4">
        <v>96.749398999999997</v>
      </c>
      <c r="N108" s="13">
        <v>2.81</v>
      </c>
      <c r="P108"/>
      <c r="Q108" s="12"/>
      <c r="R108" s="12"/>
    </row>
    <row r="109" spans="1:18" x14ac:dyDescent="0.2">
      <c r="A109">
        <v>1</v>
      </c>
      <c r="B109" t="s">
        <v>1</v>
      </c>
      <c r="C109">
        <v>2021</v>
      </c>
      <c r="D109">
        <v>12</v>
      </c>
      <c r="E109" s="4">
        <v>0</v>
      </c>
      <c r="F109" s="9">
        <v>0</v>
      </c>
      <c r="G109" s="6">
        <v>4583</v>
      </c>
      <c r="H109" s="9">
        <f t="shared" si="1"/>
        <v>0</v>
      </c>
      <c r="I109" s="6">
        <v>13125</v>
      </c>
      <c r="J109" s="6">
        <f>VLOOKUP(Table1[[#This Row],[Province]],[1]Sheet1!$A$4:$B$37,2,FALSE)</f>
        <v>4811100</v>
      </c>
      <c r="K109">
        <v>1</v>
      </c>
      <c r="L109" s="4">
        <v>4.6951349999999996</v>
      </c>
      <c r="M109" s="4">
        <v>96.749398999999997</v>
      </c>
      <c r="N109" s="13">
        <v>2.81</v>
      </c>
      <c r="P109"/>
      <c r="Q109" s="12"/>
      <c r="R109" s="12"/>
    </row>
    <row r="110" spans="1:18" x14ac:dyDescent="0.2">
      <c r="A110">
        <v>1</v>
      </c>
      <c r="B110" t="s">
        <v>1</v>
      </c>
      <c r="C110">
        <v>2022</v>
      </c>
      <c r="D110">
        <v>1</v>
      </c>
      <c r="E110" s="6">
        <v>0</v>
      </c>
      <c r="F110" s="9">
        <v>0</v>
      </c>
      <c r="G110" s="6">
        <v>5304</v>
      </c>
      <c r="H110" s="9">
        <f t="shared" si="1"/>
        <v>0</v>
      </c>
      <c r="I110" s="6">
        <v>14000</v>
      </c>
      <c r="J110" s="6">
        <f>VLOOKUP(Table1[[#This Row],[Province]],[1]Sheet1!$A$4:$B$37,2,FALSE)</f>
        <v>4811100</v>
      </c>
      <c r="K110">
        <v>0</v>
      </c>
      <c r="L110" s="4">
        <v>4.6951349999999996</v>
      </c>
      <c r="M110" s="4">
        <v>96.749398999999997</v>
      </c>
      <c r="N110" s="13">
        <v>4.21</v>
      </c>
      <c r="P110"/>
      <c r="Q110" s="12"/>
      <c r="R110" s="12"/>
    </row>
    <row r="111" spans="1:18" x14ac:dyDescent="0.2">
      <c r="A111">
        <v>1</v>
      </c>
      <c r="B111" t="s">
        <v>1</v>
      </c>
      <c r="C111">
        <v>2022</v>
      </c>
      <c r="D111">
        <v>2</v>
      </c>
      <c r="E111" s="6">
        <v>0</v>
      </c>
      <c r="F111" s="9">
        <v>0</v>
      </c>
      <c r="G111" s="6">
        <v>5033</v>
      </c>
      <c r="H111" s="9">
        <f t="shared" si="1"/>
        <v>0</v>
      </c>
      <c r="I111" s="6">
        <v>14461</v>
      </c>
      <c r="J111" s="6">
        <f>VLOOKUP(Table1[[#This Row],[Province]],[1]Sheet1!$A$4:$B$37,2,FALSE)</f>
        <v>4811100</v>
      </c>
      <c r="K111">
        <v>0</v>
      </c>
      <c r="L111" s="4">
        <v>4.6951349999999996</v>
      </c>
      <c r="M111" s="4">
        <v>96.749398999999997</v>
      </c>
      <c r="N111" s="13">
        <v>4.21</v>
      </c>
      <c r="P111"/>
      <c r="Q111" s="12"/>
      <c r="R111" s="12"/>
    </row>
    <row r="112" spans="1:18" x14ac:dyDescent="0.2">
      <c r="A112">
        <v>1</v>
      </c>
      <c r="B112" t="s">
        <v>1</v>
      </c>
      <c r="C112">
        <v>2022</v>
      </c>
      <c r="D112">
        <v>3</v>
      </c>
      <c r="E112" s="6">
        <v>0</v>
      </c>
      <c r="F112" s="9">
        <v>0</v>
      </c>
      <c r="G112" s="6">
        <v>7962</v>
      </c>
      <c r="H112" s="9">
        <f t="shared" si="1"/>
        <v>0</v>
      </c>
      <c r="I112" s="6">
        <v>14593</v>
      </c>
      <c r="J112" s="6">
        <f>VLOOKUP(Table1[[#This Row],[Province]],[1]Sheet1!$A$4:$B$37,2,FALSE)</f>
        <v>4811100</v>
      </c>
      <c r="K112">
        <v>0</v>
      </c>
      <c r="L112" s="4">
        <v>4.6951349999999996</v>
      </c>
      <c r="M112" s="4">
        <v>96.749398999999997</v>
      </c>
      <c r="N112" s="13">
        <v>4.21</v>
      </c>
      <c r="P112"/>
      <c r="Q112" s="12"/>
      <c r="R112" s="12"/>
    </row>
    <row r="113" spans="1:18" x14ac:dyDescent="0.2">
      <c r="A113">
        <v>1</v>
      </c>
      <c r="B113" t="s">
        <v>1</v>
      </c>
      <c r="C113">
        <v>2022</v>
      </c>
      <c r="D113">
        <v>4</v>
      </c>
      <c r="E113" s="6">
        <v>0</v>
      </c>
      <c r="F113" s="9">
        <v>0</v>
      </c>
      <c r="G113" s="6">
        <v>3220</v>
      </c>
      <c r="H113" s="9">
        <f t="shared" si="1"/>
        <v>0</v>
      </c>
      <c r="I113" s="6">
        <v>14953</v>
      </c>
      <c r="J113" s="6">
        <f>VLOOKUP(Table1[[#This Row],[Province]],[1]Sheet1!$A$4:$B$37,2,FALSE)</f>
        <v>4811100</v>
      </c>
      <c r="K113">
        <v>1</v>
      </c>
      <c r="L113" s="4">
        <v>4.6951349999999996</v>
      </c>
      <c r="M113" s="4">
        <v>96.749398999999997</v>
      </c>
      <c r="N113" s="13">
        <v>4.21</v>
      </c>
      <c r="P113"/>
      <c r="Q113" s="12"/>
      <c r="R113" s="12"/>
    </row>
    <row r="114" spans="1:18" x14ac:dyDescent="0.2">
      <c r="A114">
        <v>1</v>
      </c>
      <c r="B114" t="s">
        <v>1</v>
      </c>
      <c r="C114">
        <v>2022</v>
      </c>
      <c r="D114">
        <v>5</v>
      </c>
      <c r="E114" s="6">
        <v>0</v>
      </c>
      <c r="F114" s="9">
        <v>0</v>
      </c>
      <c r="G114" s="6">
        <v>4822</v>
      </c>
      <c r="H114" s="9">
        <f t="shared" si="1"/>
        <v>0</v>
      </c>
      <c r="I114" s="6">
        <v>14927</v>
      </c>
      <c r="J114" s="6">
        <f>VLOOKUP(Table1[[#This Row],[Province]],[1]Sheet1!$A$4:$B$37,2,FALSE)</f>
        <v>4811100</v>
      </c>
      <c r="K114">
        <v>0</v>
      </c>
      <c r="L114" s="4">
        <v>4.6951349999999996</v>
      </c>
      <c r="M114" s="4">
        <v>96.749398999999997</v>
      </c>
      <c r="N114" s="13">
        <v>4.21</v>
      </c>
      <c r="P114"/>
      <c r="Q114" s="12"/>
      <c r="R114" s="12"/>
    </row>
    <row r="115" spans="1:18" x14ac:dyDescent="0.2">
      <c r="A115">
        <v>1</v>
      </c>
      <c r="B115" t="s">
        <v>1</v>
      </c>
      <c r="C115">
        <v>2022</v>
      </c>
      <c r="D115">
        <v>6</v>
      </c>
      <c r="E115" s="6">
        <v>0</v>
      </c>
      <c r="F115" s="9">
        <v>0</v>
      </c>
      <c r="G115" s="6">
        <v>5615</v>
      </c>
      <c r="H115" s="9">
        <f t="shared" si="1"/>
        <v>0</v>
      </c>
      <c r="I115" s="6">
        <v>14814</v>
      </c>
      <c r="J115" s="6">
        <f>VLOOKUP(Table1[[#This Row],[Province]],[1]Sheet1!$A$4:$B$37,2,FALSE)</f>
        <v>4811100</v>
      </c>
      <c r="K115">
        <v>0</v>
      </c>
      <c r="L115" s="4">
        <v>4.6951349999999996</v>
      </c>
      <c r="M115" s="4">
        <v>96.749398999999997</v>
      </c>
      <c r="N115" s="13">
        <v>4.21</v>
      </c>
      <c r="P115"/>
      <c r="Q115" s="12"/>
      <c r="R115" s="12"/>
    </row>
    <row r="116" spans="1:18" x14ac:dyDescent="0.2">
      <c r="A116">
        <v>1</v>
      </c>
      <c r="B116" t="s">
        <v>1</v>
      </c>
      <c r="C116">
        <v>2022</v>
      </c>
      <c r="D116">
        <v>7</v>
      </c>
      <c r="E116" s="6">
        <v>0</v>
      </c>
      <c r="F116" s="9">
        <v>0</v>
      </c>
      <c r="G116" s="6">
        <v>4916</v>
      </c>
      <c r="H116" s="9">
        <f t="shared" si="1"/>
        <v>0</v>
      </c>
      <c r="I116" s="6">
        <v>14588</v>
      </c>
      <c r="J116" s="6">
        <f>VLOOKUP(Table1[[#This Row],[Province]],[1]Sheet1!$A$4:$B$37,2,FALSE)</f>
        <v>4811100</v>
      </c>
      <c r="K116">
        <v>0</v>
      </c>
      <c r="L116" s="4">
        <v>4.6951349999999996</v>
      </c>
      <c r="M116" s="4">
        <v>96.749398999999997</v>
      </c>
      <c r="N116" s="13">
        <v>4.21</v>
      </c>
      <c r="P116"/>
      <c r="Q116" s="12"/>
      <c r="R116" s="12"/>
    </row>
    <row r="117" spans="1:18" x14ac:dyDescent="0.2">
      <c r="A117">
        <v>1</v>
      </c>
      <c r="B117" t="s">
        <v>1</v>
      </c>
      <c r="C117">
        <v>2022</v>
      </c>
      <c r="D117">
        <v>8</v>
      </c>
      <c r="E117" s="6">
        <v>0</v>
      </c>
      <c r="F117" s="9">
        <v>0</v>
      </c>
      <c r="G117" s="6">
        <v>6386</v>
      </c>
      <c r="H117" s="9">
        <f t="shared" si="1"/>
        <v>0</v>
      </c>
      <c r="I117" s="6">
        <v>14586</v>
      </c>
      <c r="J117" s="6">
        <f>VLOOKUP(Table1[[#This Row],[Province]],[1]Sheet1!$A$4:$B$37,2,FALSE)</f>
        <v>4811100</v>
      </c>
      <c r="K117">
        <v>0</v>
      </c>
      <c r="L117" s="4">
        <v>4.6951349999999996</v>
      </c>
      <c r="M117" s="4">
        <v>96.749398999999997</v>
      </c>
      <c r="N117" s="13">
        <v>4.21</v>
      </c>
      <c r="P117"/>
      <c r="Q117" s="12"/>
      <c r="R117" s="12"/>
    </row>
    <row r="118" spans="1:18" x14ac:dyDescent="0.2">
      <c r="A118">
        <v>1</v>
      </c>
      <c r="B118" t="s">
        <v>1</v>
      </c>
      <c r="C118">
        <v>2022</v>
      </c>
      <c r="D118">
        <v>9</v>
      </c>
      <c r="E118" s="6">
        <v>0</v>
      </c>
      <c r="F118" s="9">
        <v>0</v>
      </c>
      <c r="G118" s="6">
        <v>6740</v>
      </c>
      <c r="H118" s="9">
        <f t="shared" si="1"/>
        <v>0</v>
      </c>
      <c r="I118" s="6">
        <v>13804</v>
      </c>
      <c r="J118" s="6">
        <f>VLOOKUP(Table1[[#This Row],[Province]],[1]Sheet1!$A$4:$B$37,2,FALSE)</f>
        <v>4811100</v>
      </c>
      <c r="K118">
        <v>0</v>
      </c>
      <c r="L118" s="4">
        <v>4.6951349999999996</v>
      </c>
      <c r="M118" s="4">
        <v>96.749398999999997</v>
      </c>
      <c r="N118" s="13">
        <v>4.21</v>
      </c>
      <c r="P118"/>
      <c r="Q118" s="12"/>
      <c r="R118" s="12"/>
    </row>
    <row r="119" spans="1:18" x14ac:dyDescent="0.2">
      <c r="A119">
        <v>1</v>
      </c>
      <c r="B119" t="s">
        <v>1</v>
      </c>
      <c r="C119">
        <v>2022</v>
      </c>
      <c r="D119">
        <v>10</v>
      </c>
      <c r="E119" s="6">
        <v>0</v>
      </c>
      <c r="F119" s="9">
        <v>0</v>
      </c>
      <c r="G119" s="6">
        <v>3263</v>
      </c>
      <c r="H119" s="9">
        <f t="shared" si="1"/>
        <v>0</v>
      </c>
      <c r="I119" s="6">
        <v>13780</v>
      </c>
      <c r="J119" s="6">
        <f>VLOOKUP(Table1[[#This Row],[Province]],[1]Sheet1!$A$4:$B$37,2,FALSE)</f>
        <v>4811100</v>
      </c>
      <c r="K119">
        <v>0</v>
      </c>
      <c r="L119" s="4">
        <v>4.6951349999999996</v>
      </c>
      <c r="M119" s="4">
        <v>96.749398999999997</v>
      </c>
      <c r="N119" s="13">
        <v>4.21</v>
      </c>
      <c r="P119"/>
      <c r="Q119" s="12"/>
      <c r="R119" s="12"/>
    </row>
    <row r="120" spans="1:18" x14ac:dyDescent="0.2">
      <c r="A120">
        <v>1</v>
      </c>
      <c r="B120" t="s">
        <v>1</v>
      </c>
      <c r="C120">
        <v>2022</v>
      </c>
      <c r="D120">
        <v>11</v>
      </c>
      <c r="E120" s="6">
        <v>0</v>
      </c>
      <c r="F120" s="9">
        <v>0</v>
      </c>
      <c r="G120" s="6">
        <v>3838</v>
      </c>
      <c r="H120" s="9">
        <f t="shared" si="1"/>
        <v>0</v>
      </c>
      <c r="I120" s="6">
        <v>14500</v>
      </c>
      <c r="J120" s="6">
        <f>VLOOKUP(Table1[[#This Row],[Province]],[1]Sheet1!$A$4:$B$37,2,FALSE)</f>
        <v>4811100</v>
      </c>
      <c r="K120">
        <v>0</v>
      </c>
      <c r="L120" s="4">
        <v>4.6951349999999996</v>
      </c>
      <c r="M120" s="4">
        <v>96.749398999999997</v>
      </c>
      <c r="N120" s="13">
        <v>4.21</v>
      </c>
      <c r="P120"/>
      <c r="Q120" s="12"/>
      <c r="R120" s="12"/>
    </row>
    <row r="121" spans="1:18" x14ac:dyDescent="0.2">
      <c r="A121">
        <v>1</v>
      </c>
      <c r="B121" t="s">
        <v>1</v>
      </c>
      <c r="C121">
        <v>2022</v>
      </c>
      <c r="D121">
        <v>12</v>
      </c>
      <c r="E121" s="6">
        <v>0</v>
      </c>
      <c r="F121" s="9">
        <v>0</v>
      </c>
      <c r="G121" s="6">
        <v>5366</v>
      </c>
      <c r="H121" s="9">
        <f t="shared" si="1"/>
        <v>0</v>
      </c>
      <c r="I121" s="6">
        <v>14527</v>
      </c>
      <c r="J121" s="6">
        <f>VLOOKUP(Table1[[#This Row],[Province]],[1]Sheet1!$A$4:$B$37,2,FALSE)</f>
        <v>4811100</v>
      </c>
      <c r="K121">
        <v>1</v>
      </c>
      <c r="L121" s="4">
        <v>4.6951349999999996</v>
      </c>
      <c r="M121" s="4">
        <v>96.749398999999997</v>
      </c>
      <c r="N121" s="13">
        <v>4.21</v>
      </c>
      <c r="P121"/>
      <c r="Q121" s="12"/>
      <c r="R121" s="12"/>
    </row>
    <row r="122" spans="1:18" x14ac:dyDescent="0.2">
      <c r="A122">
        <v>2</v>
      </c>
      <c r="B122" t="s">
        <v>33</v>
      </c>
      <c r="C122">
        <v>2013</v>
      </c>
      <c r="D122">
        <v>1</v>
      </c>
      <c r="E122" s="4">
        <v>899</v>
      </c>
      <c r="F122" s="9">
        <v>5.94</v>
      </c>
      <c r="G122" s="6">
        <v>9227</v>
      </c>
      <c r="H122" s="9">
        <f t="shared" si="1"/>
        <v>904.94</v>
      </c>
      <c r="I122" s="6">
        <v>12071</v>
      </c>
      <c r="J122" s="6">
        <f>VLOOKUP(Table1[[#This Row],[Province]],[1]Sheet1!$A$4:$B$37,2,FALSE)</f>
        <v>13590300</v>
      </c>
      <c r="K122">
        <v>0</v>
      </c>
      <c r="L122" s="4">
        <v>2.1153550000000001</v>
      </c>
      <c r="M122" s="4">
        <v>99.545096999999998</v>
      </c>
      <c r="N122" s="6"/>
      <c r="P122"/>
      <c r="Q122" s="12"/>
      <c r="R122" s="12"/>
    </row>
    <row r="123" spans="1:18" x14ac:dyDescent="0.2">
      <c r="A123">
        <v>2</v>
      </c>
      <c r="B123" t="s">
        <v>33</v>
      </c>
      <c r="C123">
        <v>2013</v>
      </c>
      <c r="D123">
        <v>2</v>
      </c>
      <c r="E123" s="4">
        <v>4265</v>
      </c>
      <c r="F123" s="9">
        <v>14.461</v>
      </c>
      <c r="G123" s="6">
        <v>8845</v>
      </c>
      <c r="H123" s="9">
        <f t="shared" si="1"/>
        <v>4279.4610000000002</v>
      </c>
      <c r="I123" s="6">
        <v>12000</v>
      </c>
      <c r="J123" s="6">
        <f>VLOOKUP(Table1[[#This Row],[Province]],[1]Sheet1!$A$4:$B$37,2,FALSE)</f>
        <v>13590300</v>
      </c>
      <c r="K123">
        <v>0</v>
      </c>
      <c r="L123" s="4">
        <v>2.1153550000000001</v>
      </c>
      <c r="M123" s="4">
        <v>99.545096999999998</v>
      </c>
      <c r="N123" s="6"/>
      <c r="P123"/>
      <c r="Q123" s="12"/>
      <c r="R123" s="12"/>
    </row>
    <row r="124" spans="1:18" x14ac:dyDescent="0.2">
      <c r="A124">
        <v>2</v>
      </c>
      <c r="B124" t="s">
        <v>33</v>
      </c>
      <c r="C124">
        <v>2013</v>
      </c>
      <c r="D124">
        <v>3</v>
      </c>
      <c r="E124" s="4">
        <v>4800</v>
      </c>
      <c r="F124" s="9">
        <v>2.3820000000000001</v>
      </c>
      <c r="G124" s="6">
        <v>9118</v>
      </c>
      <c r="H124" s="9">
        <f t="shared" si="1"/>
        <v>4802.3819999999996</v>
      </c>
      <c r="I124" s="6">
        <v>12045</v>
      </c>
      <c r="J124" s="6">
        <f>VLOOKUP(Table1[[#This Row],[Province]],[1]Sheet1!$A$4:$B$37,2,FALSE)</f>
        <v>13590300</v>
      </c>
      <c r="K124">
        <v>0</v>
      </c>
      <c r="L124" s="4">
        <v>2.1153550000000001</v>
      </c>
      <c r="M124" s="4">
        <v>99.545096999999998</v>
      </c>
      <c r="N124" s="6"/>
      <c r="P124"/>
      <c r="Q124" s="12"/>
      <c r="R124" s="12"/>
    </row>
    <row r="125" spans="1:18" x14ac:dyDescent="0.2">
      <c r="A125">
        <v>2</v>
      </c>
      <c r="B125" t="s">
        <v>33</v>
      </c>
      <c r="C125">
        <v>2013</v>
      </c>
      <c r="D125">
        <v>4</v>
      </c>
      <c r="E125" s="4">
        <v>8809</v>
      </c>
      <c r="F125" s="9">
        <v>28.039000000000001</v>
      </c>
      <c r="G125" s="6">
        <v>11848</v>
      </c>
      <c r="H125" s="9">
        <f t="shared" si="1"/>
        <v>8837.0390000000007</v>
      </c>
      <c r="I125" s="6">
        <v>12000</v>
      </c>
      <c r="J125" s="6">
        <f>VLOOKUP(Table1[[#This Row],[Province]],[1]Sheet1!$A$4:$B$37,2,FALSE)</f>
        <v>13590300</v>
      </c>
      <c r="K125">
        <v>0</v>
      </c>
      <c r="L125" s="4">
        <v>2.1153550000000001</v>
      </c>
      <c r="M125" s="4">
        <v>99.545096999999998</v>
      </c>
      <c r="N125" s="6"/>
      <c r="P125"/>
      <c r="Q125" s="12"/>
      <c r="R125" s="12"/>
    </row>
    <row r="126" spans="1:18" x14ac:dyDescent="0.2">
      <c r="A126">
        <v>2</v>
      </c>
      <c r="B126" t="s">
        <v>33</v>
      </c>
      <c r="C126">
        <v>2013</v>
      </c>
      <c r="D126">
        <v>5</v>
      </c>
      <c r="E126" s="4">
        <v>9152</v>
      </c>
      <c r="F126" s="9">
        <v>12.584</v>
      </c>
      <c r="G126" s="6">
        <v>14360</v>
      </c>
      <c r="H126" s="9">
        <f t="shared" si="1"/>
        <v>9164.5840000000007</v>
      </c>
      <c r="I126" s="6">
        <v>12327</v>
      </c>
      <c r="J126" s="6">
        <f>VLOOKUP(Table1[[#This Row],[Province]],[1]Sheet1!$A$4:$B$37,2,FALSE)</f>
        <v>13590300</v>
      </c>
      <c r="K126">
        <v>0</v>
      </c>
      <c r="L126" s="4">
        <v>2.1153550000000001</v>
      </c>
      <c r="M126" s="4">
        <v>99.545096999999998</v>
      </c>
      <c r="N126" s="6"/>
      <c r="P126"/>
      <c r="Q126" s="12"/>
      <c r="R126" s="12"/>
    </row>
    <row r="127" spans="1:18" x14ac:dyDescent="0.2">
      <c r="A127">
        <v>2</v>
      </c>
      <c r="B127" t="s">
        <v>33</v>
      </c>
      <c r="C127">
        <v>2013</v>
      </c>
      <c r="D127">
        <v>6</v>
      </c>
      <c r="E127" s="4">
        <v>5158</v>
      </c>
      <c r="F127" s="9">
        <v>5.8769999999999998</v>
      </c>
      <c r="G127" s="6">
        <v>11957</v>
      </c>
      <c r="H127" s="9">
        <f t="shared" si="1"/>
        <v>5163.8770000000004</v>
      </c>
      <c r="I127" s="6">
        <v>12237</v>
      </c>
      <c r="J127" s="6">
        <f>VLOOKUP(Table1[[#This Row],[Province]],[1]Sheet1!$A$4:$B$37,2,FALSE)</f>
        <v>13590300</v>
      </c>
      <c r="K127">
        <v>0</v>
      </c>
      <c r="L127" s="4">
        <v>2.1153550000000001</v>
      </c>
      <c r="M127" s="4">
        <v>99.545096999999998</v>
      </c>
      <c r="N127" s="6"/>
      <c r="P127"/>
      <c r="Q127" s="12"/>
      <c r="R127" s="12"/>
    </row>
    <row r="128" spans="1:18" x14ac:dyDescent="0.2">
      <c r="A128">
        <v>2</v>
      </c>
      <c r="B128" t="s">
        <v>33</v>
      </c>
      <c r="C128">
        <v>2013</v>
      </c>
      <c r="D128">
        <v>7</v>
      </c>
      <c r="E128" s="4">
        <v>1757</v>
      </c>
      <c r="F128" s="9">
        <v>53.405999999999999</v>
      </c>
      <c r="G128" s="6">
        <v>20748</v>
      </c>
      <c r="H128" s="9">
        <f t="shared" si="1"/>
        <v>1810.4059999999999</v>
      </c>
      <c r="I128" s="6">
        <v>13579</v>
      </c>
      <c r="J128" s="6">
        <f>VLOOKUP(Table1[[#This Row],[Province]],[1]Sheet1!$A$4:$B$37,2,FALSE)</f>
        <v>13590300</v>
      </c>
      <c r="K128">
        <v>1</v>
      </c>
      <c r="L128" s="4">
        <v>2.1153550000000001</v>
      </c>
      <c r="M128" s="4">
        <v>99.545096999999998</v>
      </c>
      <c r="N128" s="6"/>
      <c r="P128"/>
      <c r="Q128" s="12"/>
      <c r="R128" s="12"/>
    </row>
    <row r="129" spans="1:18" x14ac:dyDescent="0.2">
      <c r="A129">
        <v>2</v>
      </c>
      <c r="B129" t="s">
        <v>33</v>
      </c>
      <c r="C129">
        <v>2013</v>
      </c>
      <c r="D129">
        <v>8</v>
      </c>
      <c r="E129" s="4">
        <v>1378</v>
      </c>
      <c r="F129" s="9">
        <v>5.0999999999999996</v>
      </c>
      <c r="G129" s="6">
        <v>7589</v>
      </c>
      <c r="H129" s="9">
        <f t="shared" si="1"/>
        <v>1383.1</v>
      </c>
      <c r="I129" s="6">
        <v>12038</v>
      </c>
      <c r="J129" s="6">
        <f>VLOOKUP(Table1[[#This Row],[Province]],[1]Sheet1!$A$4:$B$37,2,FALSE)</f>
        <v>13590300</v>
      </c>
      <c r="K129">
        <v>0</v>
      </c>
      <c r="L129" s="4">
        <v>2.1153550000000001</v>
      </c>
      <c r="M129" s="4">
        <v>99.545096999999998</v>
      </c>
      <c r="N129" s="6"/>
      <c r="P129"/>
      <c r="Q129" s="12"/>
      <c r="R129" s="12"/>
    </row>
    <row r="130" spans="1:18" x14ac:dyDescent="0.2">
      <c r="A130">
        <v>2</v>
      </c>
      <c r="B130" t="s">
        <v>33</v>
      </c>
      <c r="C130">
        <v>2013</v>
      </c>
      <c r="D130">
        <v>9</v>
      </c>
      <c r="E130" s="4">
        <v>1129</v>
      </c>
      <c r="F130" s="9">
        <v>2.5249999999999999</v>
      </c>
      <c r="G130" s="6">
        <v>16216</v>
      </c>
      <c r="H130" s="9">
        <f t="shared" ref="H130:H193" si="2">F130+E130</f>
        <v>1131.5250000000001</v>
      </c>
      <c r="I130" s="6">
        <v>12000</v>
      </c>
      <c r="J130" s="6">
        <f>VLOOKUP(Table1[[#This Row],[Province]],[1]Sheet1!$A$4:$B$37,2,FALSE)</f>
        <v>13590300</v>
      </c>
      <c r="K130">
        <v>0</v>
      </c>
      <c r="L130" s="4">
        <v>2.1153550000000001</v>
      </c>
      <c r="M130" s="4">
        <v>99.545096999999998</v>
      </c>
      <c r="N130" s="6"/>
      <c r="P130"/>
      <c r="Q130" s="12"/>
      <c r="R130" s="12"/>
    </row>
    <row r="131" spans="1:18" x14ac:dyDescent="0.2">
      <c r="A131">
        <v>2</v>
      </c>
      <c r="B131" t="s">
        <v>33</v>
      </c>
      <c r="C131">
        <v>2013</v>
      </c>
      <c r="D131">
        <v>10</v>
      </c>
      <c r="E131" s="4">
        <v>0</v>
      </c>
      <c r="F131" s="9">
        <v>13.279</v>
      </c>
      <c r="G131" s="6">
        <v>13268</v>
      </c>
      <c r="H131" s="9">
        <f t="shared" si="2"/>
        <v>13.279</v>
      </c>
      <c r="I131" s="6">
        <v>12000</v>
      </c>
      <c r="J131" s="6">
        <f>VLOOKUP(Table1[[#This Row],[Province]],[1]Sheet1!$A$4:$B$37,2,FALSE)</f>
        <v>13590300</v>
      </c>
      <c r="K131">
        <v>0</v>
      </c>
      <c r="L131" s="4">
        <v>2.1153550000000001</v>
      </c>
      <c r="M131" s="4">
        <v>99.545096999999998</v>
      </c>
      <c r="N131" s="6"/>
      <c r="P131"/>
      <c r="Q131" s="12"/>
      <c r="R131" s="12"/>
    </row>
    <row r="132" spans="1:18" x14ac:dyDescent="0.2">
      <c r="A132">
        <v>2</v>
      </c>
      <c r="B132" t="s">
        <v>33</v>
      </c>
      <c r="C132">
        <v>2013</v>
      </c>
      <c r="D132">
        <v>11</v>
      </c>
      <c r="E132" s="4">
        <v>0</v>
      </c>
      <c r="F132" s="9">
        <v>59.360999999999997</v>
      </c>
      <c r="G132" s="6">
        <v>9773</v>
      </c>
      <c r="H132" s="9">
        <f t="shared" si="2"/>
        <v>59.360999999999997</v>
      </c>
      <c r="I132" s="6">
        <v>11208</v>
      </c>
      <c r="J132" s="6">
        <f>VLOOKUP(Table1[[#This Row],[Province]],[1]Sheet1!$A$4:$B$37,2,FALSE)</f>
        <v>13590300</v>
      </c>
      <c r="K132">
        <v>0</v>
      </c>
      <c r="L132" s="4">
        <v>2.1153550000000001</v>
      </c>
      <c r="M132" s="4">
        <v>99.545096999999998</v>
      </c>
      <c r="N132" s="6"/>
      <c r="P132"/>
      <c r="Q132" s="12"/>
      <c r="R132" s="12"/>
    </row>
    <row r="133" spans="1:18" x14ac:dyDescent="0.2">
      <c r="A133">
        <v>2</v>
      </c>
      <c r="B133" t="s">
        <v>33</v>
      </c>
      <c r="C133">
        <v>2013</v>
      </c>
      <c r="D133">
        <v>12</v>
      </c>
      <c r="E133" s="4">
        <v>0</v>
      </c>
      <c r="F133" s="9">
        <v>47.451999999999998</v>
      </c>
      <c r="G133" s="6">
        <v>13595</v>
      </c>
      <c r="H133" s="9">
        <f t="shared" si="2"/>
        <v>47.451999999999998</v>
      </c>
      <c r="I133" s="6">
        <v>11000</v>
      </c>
      <c r="J133" s="6">
        <f>VLOOKUP(Table1[[#This Row],[Province]],[1]Sheet1!$A$4:$B$37,2,FALSE)</f>
        <v>13590300</v>
      </c>
      <c r="K133">
        <v>1</v>
      </c>
      <c r="L133" s="4">
        <v>2.1153550000000001</v>
      </c>
      <c r="M133" s="4">
        <v>99.545096999999998</v>
      </c>
      <c r="N133" s="6"/>
      <c r="P133"/>
      <c r="Q133" s="12"/>
      <c r="R133" s="12"/>
    </row>
    <row r="134" spans="1:18" x14ac:dyDescent="0.2">
      <c r="A134">
        <v>2</v>
      </c>
      <c r="B134" t="s">
        <v>33</v>
      </c>
      <c r="C134">
        <v>2014</v>
      </c>
      <c r="D134">
        <v>1</v>
      </c>
      <c r="E134" s="4">
        <v>781</v>
      </c>
      <c r="F134" s="9">
        <v>31.346</v>
      </c>
      <c r="G134" s="6">
        <v>9517</v>
      </c>
      <c r="H134" s="9">
        <f t="shared" si="2"/>
        <v>812.346</v>
      </c>
      <c r="I134" s="6">
        <v>11000</v>
      </c>
      <c r="J134" s="6">
        <f>VLOOKUP(Table1[[#This Row],[Province]],[1]Sheet1!$A$4:$B$37,2,FALSE)</f>
        <v>13590300</v>
      </c>
      <c r="K134">
        <v>0</v>
      </c>
      <c r="L134" s="4">
        <v>2.1153550000000001</v>
      </c>
      <c r="M134" s="4">
        <v>99.545096999999998</v>
      </c>
      <c r="N134" s="6"/>
      <c r="P134"/>
      <c r="Q134" s="12"/>
      <c r="R134" s="12"/>
    </row>
    <row r="135" spans="1:18" x14ac:dyDescent="0.2">
      <c r="A135">
        <v>2</v>
      </c>
      <c r="B135" t="s">
        <v>33</v>
      </c>
      <c r="C135">
        <v>2014</v>
      </c>
      <c r="D135">
        <v>2</v>
      </c>
      <c r="E135" s="4">
        <v>3703</v>
      </c>
      <c r="F135" s="9">
        <v>16.161999999999999</v>
      </c>
      <c r="G135" s="6">
        <v>8490</v>
      </c>
      <c r="H135" s="9">
        <f t="shared" si="2"/>
        <v>3719.1619999999998</v>
      </c>
      <c r="I135" s="6">
        <v>11000</v>
      </c>
      <c r="J135" s="6">
        <f>VLOOKUP(Table1[[#This Row],[Province]],[1]Sheet1!$A$4:$B$37,2,FALSE)</f>
        <v>13590300</v>
      </c>
      <c r="K135">
        <v>0</v>
      </c>
      <c r="L135" s="4">
        <v>2.1153550000000001</v>
      </c>
      <c r="M135" s="4">
        <v>99.545096999999998</v>
      </c>
      <c r="N135" s="6"/>
      <c r="P135"/>
      <c r="Q135" s="12"/>
      <c r="R135" s="12"/>
    </row>
    <row r="136" spans="1:18" x14ac:dyDescent="0.2">
      <c r="A136">
        <v>2</v>
      </c>
      <c r="B136" t="s">
        <v>33</v>
      </c>
      <c r="C136">
        <v>2014</v>
      </c>
      <c r="D136">
        <v>3</v>
      </c>
      <c r="E136" s="4">
        <v>4167</v>
      </c>
      <c r="F136" s="9">
        <v>44.423999999999999</v>
      </c>
      <c r="G136" s="6">
        <v>9533</v>
      </c>
      <c r="H136" s="9">
        <f t="shared" si="2"/>
        <v>4211.424</v>
      </c>
      <c r="I136" s="6">
        <v>10500</v>
      </c>
      <c r="J136" s="6">
        <f>VLOOKUP(Table1[[#This Row],[Province]],[1]Sheet1!$A$4:$B$37,2,FALSE)</f>
        <v>13590300</v>
      </c>
      <c r="K136">
        <v>0</v>
      </c>
      <c r="L136" s="4">
        <v>2.1153550000000001</v>
      </c>
      <c r="M136" s="4">
        <v>99.545096999999998</v>
      </c>
      <c r="N136" s="6"/>
      <c r="P136"/>
      <c r="Q136" s="12"/>
      <c r="R136" s="12"/>
    </row>
    <row r="137" spans="1:18" x14ac:dyDescent="0.2">
      <c r="A137">
        <v>2</v>
      </c>
      <c r="B137" t="s">
        <v>33</v>
      </c>
      <c r="C137">
        <v>2014</v>
      </c>
      <c r="D137">
        <v>4</v>
      </c>
      <c r="E137" s="4">
        <v>7648</v>
      </c>
      <c r="F137" s="9">
        <v>27.46</v>
      </c>
      <c r="G137" s="6">
        <v>12280</v>
      </c>
      <c r="H137" s="9">
        <f t="shared" si="2"/>
        <v>7675.46</v>
      </c>
      <c r="I137" s="6">
        <v>10400</v>
      </c>
      <c r="J137" s="6">
        <f>VLOOKUP(Table1[[#This Row],[Province]],[1]Sheet1!$A$4:$B$37,2,FALSE)</f>
        <v>13590300</v>
      </c>
      <c r="K137">
        <v>0</v>
      </c>
      <c r="L137" s="4">
        <v>2.1153550000000001</v>
      </c>
      <c r="M137" s="4">
        <v>99.545096999999998</v>
      </c>
      <c r="N137" s="6"/>
      <c r="P137"/>
      <c r="Q137" s="12"/>
      <c r="R137" s="12"/>
    </row>
    <row r="138" spans="1:18" x14ac:dyDescent="0.2">
      <c r="A138">
        <v>2</v>
      </c>
      <c r="B138" t="s">
        <v>33</v>
      </c>
      <c r="C138">
        <v>2014</v>
      </c>
      <c r="D138">
        <v>5</v>
      </c>
      <c r="E138" s="4">
        <v>7947</v>
      </c>
      <c r="F138" s="9">
        <v>117.229</v>
      </c>
      <c r="G138" s="6">
        <v>13754</v>
      </c>
      <c r="H138" s="9">
        <f t="shared" si="2"/>
        <v>8064.2290000000003</v>
      </c>
      <c r="I138" s="6">
        <v>10463</v>
      </c>
      <c r="J138" s="6">
        <f>VLOOKUP(Table1[[#This Row],[Province]],[1]Sheet1!$A$4:$B$37,2,FALSE)</f>
        <v>13590300</v>
      </c>
      <c r="K138">
        <v>0</v>
      </c>
      <c r="L138" s="4">
        <v>2.1153550000000001</v>
      </c>
      <c r="M138" s="4">
        <v>99.545096999999998</v>
      </c>
      <c r="N138" s="6"/>
      <c r="P138"/>
      <c r="Q138" s="12"/>
      <c r="R138" s="12"/>
    </row>
    <row r="139" spans="1:18" x14ac:dyDescent="0.2">
      <c r="A139">
        <v>2</v>
      </c>
      <c r="B139" t="s">
        <v>33</v>
      </c>
      <c r="C139">
        <v>2014</v>
      </c>
      <c r="D139">
        <v>6</v>
      </c>
      <c r="E139" s="4">
        <v>4479</v>
      </c>
      <c r="F139" s="9">
        <v>48.009</v>
      </c>
      <c r="G139" s="6">
        <v>19574</v>
      </c>
      <c r="H139" s="9">
        <f t="shared" si="2"/>
        <v>4527.009</v>
      </c>
      <c r="I139" s="6">
        <v>10659</v>
      </c>
      <c r="J139" s="6">
        <f>VLOOKUP(Table1[[#This Row],[Province]],[1]Sheet1!$A$4:$B$37,2,FALSE)</f>
        <v>13590300</v>
      </c>
      <c r="K139">
        <v>1</v>
      </c>
      <c r="L139" s="4">
        <v>2.1153550000000001</v>
      </c>
      <c r="M139" s="4">
        <v>99.545096999999998</v>
      </c>
      <c r="N139" s="6"/>
      <c r="P139"/>
      <c r="Q139" s="12"/>
      <c r="R139" s="12"/>
    </row>
    <row r="140" spans="1:18" x14ac:dyDescent="0.2">
      <c r="A140">
        <v>2</v>
      </c>
      <c r="B140" t="s">
        <v>33</v>
      </c>
      <c r="C140">
        <v>2014</v>
      </c>
      <c r="D140">
        <v>7</v>
      </c>
      <c r="E140" s="4">
        <v>1525</v>
      </c>
      <c r="F140" s="9">
        <v>23.613</v>
      </c>
      <c r="G140" s="6">
        <v>12280</v>
      </c>
      <c r="H140" s="9">
        <f t="shared" si="2"/>
        <v>1548.6130000000001</v>
      </c>
      <c r="I140" s="6">
        <v>10440</v>
      </c>
      <c r="J140" s="6">
        <f>VLOOKUP(Table1[[#This Row],[Province]],[1]Sheet1!$A$4:$B$37,2,FALSE)</f>
        <v>13590300</v>
      </c>
      <c r="K140">
        <v>0</v>
      </c>
      <c r="L140" s="4">
        <v>2.1153550000000001</v>
      </c>
      <c r="M140" s="4">
        <v>99.545096999999998</v>
      </c>
      <c r="N140" s="6"/>
      <c r="P140"/>
      <c r="Q140" s="12"/>
      <c r="R140" s="12"/>
    </row>
    <row r="141" spans="1:18" x14ac:dyDescent="0.2">
      <c r="A141">
        <v>2</v>
      </c>
      <c r="B141" t="s">
        <v>33</v>
      </c>
      <c r="C141">
        <v>2014</v>
      </c>
      <c r="D141">
        <v>8</v>
      </c>
      <c r="E141" s="4">
        <v>1196</v>
      </c>
      <c r="F141" s="9">
        <v>0</v>
      </c>
      <c r="G141" s="6">
        <v>11837</v>
      </c>
      <c r="H141" s="9">
        <f t="shared" si="2"/>
        <v>1196</v>
      </c>
      <c r="I141" s="6">
        <v>10417</v>
      </c>
      <c r="J141" s="6">
        <f>VLOOKUP(Table1[[#This Row],[Province]],[1]Sheet1!$A$4:$B$37,2,FALSE)</f>
        <v>13590300</v>
      </c>
      <c r="K141">
        <v>0</v>
      </c>
      <c r="L141" s="4">
        <v>2.1153550000000001</v>
      </c>
      <c r="M141" s="4">
        <v>99.545096999999998</v>
      </c>
      <c r="N141" s="6"/>
      <c r="P141"/>
      <c r="Q141" s="12"/>
      <c r="R141" s="12"/>
    </row>
    <row r="142" spans="1:18" x14ac:dyDescent="0.2">
      <c r="A142">
        <v>2</v>
      </c>
      <c r="B142" t="s">
        <v>33</v>
      </c>
      <c r="C142">
        <v>2014</v>
      </c>
      <c r="D142">
        <v>9</v>
      </c>
      <c r="E142" s="4">
        <v>981</v>
      </c>
      <c r="F142" s="9">
        <v>39.026000000000003</v>
      </c>
      <c r="G142" s="6">
        <v>11914</v>
      </c>
      <c r="H142" s="9">
        <f t="shared" si="2"/>
        <v>1020.026</v>
      </c>
      <c r="I142" s="6">
        <v>10417</v>
      </c>
      <c r="J142" s="6">
        <f>VLOOKUP(Table1[[#This Row],[Province]],[1]Sheet1!$A$4:$B$37,2,FALSE)</f>
        <v>13590300</v>
      </c>
      <c r="K142">
        <v>0</v>
      </c>
      <c r="L142" s="4">
        <v>2.1153550000000001</v>
      </c>
      <c r="M142" s="4">
        <v>99.545096999999998</v>
      </c>
      <c r="N142" s="6"/>
      <c r="P142"/>
      <c r="Q142" s="12"/>
      <c r="R142" s="12"/>
    </row>
    <row r="143" spans="1:18" x14ac:dyDescent="0.2">
      <c r="A143">
        <v>2</v>
      </c>
      <c r="B143" t="s">
        <v>33</v>
      </c>
      <c r="C143">
        <v>2014</v>
      </c>
      <c r="D143">
        <v>10</v>
      </c>
      <c r="E143" s="4">
        <v>0</v>
      </c>
      <c r="F143" s="9">
        <v>70.872</v>
      </c>
      <c r="G143" s="6">
        <v>17674</v>
      </c>
      <c r="H143" s="9">
        <f t="shared" si="2"/>
        <v>70.872</v>
      </c>
      <c r="I143" s="6">
        <v>9917</v>
      </c>
      <c r="J143" s="6">
        <f>VLOOKUP(Table1[[#This Row],[Province]],[1]Sheet1!$A$4:$B$37,2,FALSE)</f>
        <v>13590300</v>
      </c>
      <c r="K143">
        <v>0</v>
      </c>
      <c r="L143" s="4">
        <v>2.1153550000000001</v>
      </c>
      <c r="M143" s="4">
        <v>99.545096999999998</v>
      </c>
      <c r="N143" s="6"/>
      <c r="P143"/>
      <c r="Q143" s="12"/>
      <c r="R143" s="12"/>
    </row>
    <row r="144" spans="1:18" x14ac:dyDescent="0.2">
      <c r="A144">
        <v>2</v>
      </c>
      <c r="B144" t="s">
        <v>33</v>
      </c>
      <c r="C144">
        <v>2014</v>
      </c>
      <c r="D144">
        <v>11</v>
      </c>
      <c r="E144" s="4">
        <v>0</v>
      </c>
      <c r="F144" s="9">
        <v>39.871000000000002</v>
      </c>
      <c r="G144" s="6">
        <v>14103</v>
      </c>
      <c r="H144" s="9">
        <f t="shared" si="2"/>
        <v>39.871000000000002</v>
      </c>
      <c r="I144" s="6">
        <v>10292</v>
      </c>
      <c r="J144" s="6">
        <f>VLOOKUP(Table1[[#This Row],[Province]],[1]Sheet1!$A$4:$B$37,2,FALSE)</f>
        <v>13590300</v>
      </c>
      <c r="K144">
        <v>0</v>
      </c>
      <c r="L144" s="4">
        <v>2.1153550000000001</v>
      </c>
      <c r="M144" s="4">
        <v>99.545096999999998</v>
      </c>
      <c r="N144" s="6"/>
      <c r="P144"/>
      <c r="Q144" s="12"/>
      <c r="R144" s="12"/>
    </row>
    <row r="145" spans="1:18" x14ac:dyDescent="0.2">
      <c r="A145">
        <v>2</v>
      </c>
      <c r="B145" t="s">
        <v>33</v>
      </c>
      <c r="C145">
        <v>2014</v>
      </c>
      <c r="D145">
        <v>12</v>
      </c>
      <c r="E145" s="4">
        <v>0</v>
      </c>
      <c r="F145" s="9">
        <v>88.388000000000005</v>
      </c>
      <c r="G145" s="6">
        <v>16446</v>
      </c>
      <c r="H145" s="9">
        <f t="shared" si="2"/>
        <v>88.388000000000005</v>
      </c>
      <c r="I145" s="6">
        <v>10905</v>
      </c>
      <c r="J145" s="6">
        <f>VLOOKUP(Table1[[#This Row],[Province]],[1]Sheet1!$A$4:$B$37,2,FALSE)</f>
        <v>13590300</v>
      </c>
      <c r="K145">
        <v>1</v>
      </c>
      <c r="L145" s="4">
        <v>2.1153550000000001</v>
      </c>
      <c r="M145" s="4">
        <v>99.545096999999998</v>
      </c>
      <c r="N145" s="6"/>
      <c r="P145"/>
      <c r="Q145" s="12"/>
      <c r="R145" s="12"/>
    </row>
    <row r="146" spans="1:18" x14ac:dyDescent="0.2">
      <c r="A146">
        <v>2</v>
      </c>
      <c r="B146" t="s">
        <v>33</v>
      </c>
      <c r="C146">
        <v>2015</v>
      </c>
      <c r="D146">
        <v>1</v>
      </c>
      <c r="E146" s="4">
        <v>233</v>
      </c>
      <c r="F146" s="9">
        <v>116.057</v>
      </c>
      <c r="G146" s="6">
        <v>8083</v>
      </c>
      <c r="H146" s="9">
        <f t="shared" si="2"/>
        <v>349.05700000000002</v>
      </c>
      <c r="I146" s="6">
        <v>10465</v>
      </c>
      <c r="J146" s="6">
        <f>VLOOKUP(Table1[[#This Row],[Province]],[1]Sheet1!$A$4:$B$37,2,FALSE)</f>
        <v>13590300</v>
      </c>
      <c r="K146">
        <v>0</v>
      </c>
      <c r="L146" s="4">
        <v>2.1153550000000001</v>
      </c>
      <c r="M146" s="4">
        <v>99.545096999999998</v>
      </c>
      <c r="N146" s="6"/>
      <c r="P146"/>
      <c r="Q146" s="12"/>
      <c r="R146" s="12"/>
    </row>
    <row r="147" spans="1:18" x14ac:dyDescent="0.2">
      <c r="A147">
        <v>2</v>
      </c>
      <c r="B147" t="s">
        <v>33</v>
      </c>
      <c r="C147">
        <v>2015</v>
      </c>
      <c r="D147">
        <v>2</v>
      </c>
      <c r="E147" s="4">
        <v>2457</v>
      </c>
      <c r="F147" s="9">
        <v>74.436999999999998</v>
      </c>
      <c r="G147" s="6">
        <v>20387</v>
      </c>
      <c r="H147" s="9">
        <f t="shared" si="2"/>
        <v>2531.4369999999999</v>
      </c>
      <c r="I147" s="6">
        <v>10562</v>
      </c>
      <c r="J147" s="6">
        <f>VLOOKUP(Table1[[#This Row],[Province]],[1]Sheet1!$A$4:$B$37,2,FALSE)</f>
        <v>13590300</v>
      </c>
      <c r="K147">
        <v>0</v>
      </c>
      <c r="L147" s="4">
        <v>2.1153550000000001</v>
      </c>
      <c r="M147" s="4">
        <v>99.545096999999998</v>
      </c>
      <c r="N147" s="6"/>
      <c r="P147"/>
      <c r="Q147" s="12"/>
      <c r="R147" s="12"/>
    </row>
    <row r="148" spans="1:18" x14ac:dyDescent="0.2">
      <c r="A148">
        <v>2</v>
      </c>
      <c r="B148" t="s">
        <v>33</v>
      </c>
      <c r="C148">
        <v>2015</v>
      </c>
      <c r="D148">
        <v>3</v>
      </c>
      <c r="E148" s="4">
        <v>3065</v>
      </c>
      <c r="F148" s="9">
        <v>18.736999999999998</v>
      </c>
      <c r="G148" s="6">
        <v>9251</v>
      </c>
      <c r="H148" s="9">
        <f t="shared" si="2"/>
        <v>3083.7370000000001</v>
      </c>
      <c r="I148" s="6">
        <v>11000</v>
      </c>
      <c r="J148" s="6">
        <f>VLOOKUP(Table1[[#This Row],[Province]],[1]Sheet1!$A$4:$B$37,2,FALSE)</f>
        <v>13590300</v>
      </c>
      <c r="K148">
        <v>0</v>
      </c>
      <c r="L148" s="4">
        <v>2.1153550000000001</v>
      </c>
      <c r="M148" s="4">
        <v>99.545096999999998</v>
      </c>
      <c r="N148" s="6"/>
      <c r="P148"/>
      <c r="Q148" s="12"/>
      <c r="R148" s="12"/>
    </row>
    <row r="149" spans="1:18" x14ac:dyDescent="0.2">
      <c r="A149">
        <v>2</v>
      </c>
      <c r="B149" t="s">
        <v>33</v>
      </c>
      <c r="C149">
        <v>2015</v>
      </c>
      <c r="D149">
        <v>4</v>
      </c>
      <c r="E149" s="4">
        <v>6219</v>
      </c>
      <c r="F149" s="9">
        <v>49.21</v>
      </c>
      <c r="G149" s="6">
        <v>15325</v>
      </c>
      <c r="H149" s="9">
        <f t="shared" si="2"/>
        <v>6268.21</v>
      </c>
      <c r="I149" s="6">
        <v>11286</v>
      </c>
      <c r="J149" s="6">
        <f>VLOOKUP(Table1[[#This Row],[Province]],[1]Sheet1!$A$4:$B$37,2,FALSE)</f>
        <v>13590300</v>
      </c>
      <c r="K149">
        <v>0</v>
      </c>
      <c r="L149" s="4">
        <v>2.1153550000000001</v>
      </c>
      <c r="M149" s="4">
        <v>99.545096999999998</v>
      </c>
      <c r="N149" s="6"/>
      <c r="P149"/>
      <c r="Q149" s="12"/>
      <c r="R149" s="12"/>
    </row>
    <row r="150" spans="1:18" x14ac:dyDescent="0.2">
      <c r="A150">
        <v>2</v>
      </c>
      <c r="B150" t="s">
        <v>33</v>
      </c>
      <c r="C150">
        <v>2015</v>
      </c>
      <c r="D150">
        <v>5</v>
      </c>
      <c r="E150" s="4">
        <v>5960</v>
      </c>
      <c r="F150" s="9">
        <v>144.01300000000001</v>
      </c>
      <c r="G150" s="6">
        <v>14684</v>
      </c>
      <c r="H150" s="9">
        <f t="shared" si="2"/>
        <v>6104.0129999999999</v>
      </c>
      <c r="I150" s="6">
        <v>12259</v>
      </c>
      <c r="J150" s="6">
        <f>VLOOKUP(Table1[[#This Row],[Province]],[1]Sheet1!$A$4:$B$37,2,FALSE)</f>
        <v>13590300</v>
      </c>
      <c r="K150">
        <v>0</v>
      </c>
      <c r="L150" s="4">
        <v>2.1153550000000001</v>
      </c>
      <c r="M150" s="4">
        <v>99.545096999999998</v>
      </c>
      <c r="N150" s="6"/>
      <c r="P150"/>
      <c r="Q150" s="12"/>
      <c r="R150" s="12"/>
    </row>
    <row r="151" spans="1:18" x14ac:dyDescent="0.2">
      <c r="A151">
        <v>2</v>
      </c>
      <c r="B151" t="s">
        <v>33</v>
      </c>
      <c r="C151">
        <v>2015</v>
      </c>
      <c r="D151">
        <v>6</v>
      </c>
      <c r="E151" s="4">
        <v>6504</v>
      </c>
      <c r="F151" s="9">
        <v>117.43899999999999</v>
      </c>
      <c r="G151" s="6">
        <v>16687</v>
      </c>
      <c r="H151" s="9">
        <f t="shared" si="2"/>
        <v>6621.4390000000003</v>
      </c>
      <c r="I151" s="6">
        <v>13024</v>
      </c>
      <c r="J151" s="6">
        <f>VLOOKUP(Table1[[#This Row],[Province]],[1]Sheet1!$A$4:$B$37,2,FALSE)</f>
        <v>13590300</v>
      </c>
      <c r="K151">
        <v>1</v>
      </c>
      <c r="L151" s="4">
        <v>2.1153550000000001</v>
      </c>
      <c r="M151" s="4">
        <v>99.545096999999998</v>
      </c>
      <c r="N151" s="6"/>
      <c r="P151"/>
      <c r="Q151" s="12"/>
      <c r="R151" s="12"/>
    </row>
    <row r="152" spans="1:18" x14ac:dyDescent="0.2">
      <c r="A152">
        <v>2</v>
      </c>
      <c r="B152" t="s">
        <v>33</v>
      </c>
      <c r="C152">
        <v>2015</v>
      </c>
      <c r="D152">
        <v>7</v>
      </c>
      <c r="E152" s="4">
        <v>2404</v>
      </c>
      <c r="F152" s="9">
        <v>83.546999999999997</v>
      </c>
      <c r="G152" s="6">
        <v>11391</v>
      </c>
      <c r="H152" s="9">
        <f t="shared" si="2"/>
        <v>2487.547</v>
      </c>
      <c r="I152" s="6">
        <v>12645</v>
      </c>
      <c r="J152" s="6">
        <f>VLOOKUP(Table1[[#This Row],[Province]],[1]Sheet1!$A$4:$B$37,2,FALSE)</f>
        <v>13590300</v>
      </c>
      <c r="K152">
        <v>0</v>
      </c>
      <c r="L152" s="4">
        <v>2.1153550000000001</v>
      </c>
      <c r="M152" s="4">
        <v>99.545096999999998</v>
      </c>
      <c r="N152" s="6"/>
      <c r="P152"/>
      <c r="Q152" s="12"/>
      <c r="R152" s="12"/>
    </row>
    <row r="153" spans="1:18" x14ac:dyDescent="0.2">
      <c r="A153">
        <v>2</v>
      </c>
      <c r="B153" t="s">
        <v>33</v>
      </c>
      <c r="C153">
        <v>2015</v>
      </c>
      <c r="D153">
        <v>8</v>
      </c>
      <c r="E153" s="4">
        <v>1321</v>
      </c>
      <c r="F153" s="9">
        <v>39.591000000000001</v>
      </c>
      <c r="G153" s="6">
        <v>11274</v>
      </c>
      <c r="H153" s="9">
        <f t="shared" si="2"/>
        <v>1360.5909999999999</v>
      </c>
      <c r="I153" s="6">
        <v>12600</v>
      </c>
      <c r="J153" s="6">
        <f>VLOOKUP(Table1[[#This Row],[Province]],[1]Sheet1!$A$4:$B$37,2,FALSE)</f>
        <v>13590300</v>
      </c>
      <c r="K153">
        <v>0</v>
      </c>
      <c r="L153" s="4">
        <v>2.1153550000000001</v>
      </c>
      <c r="M153" s="4">
        <v>99.545096999999998</v>
      </c>
      <c r="N153" s="6"/>
      <c r="P153"/>
      <c r="Q153" s="12"/>
      <c r="R153" s="12"/>
    </row>
    <row r="154" spans="1:18" x14ac:dyDescent="0.2">
      <c r="A154">
        <v>2</v>
      </c>
      <c r="B154" t="s">
        <v>33</v>
      </c>
      <c r="C154">
        <v>2015</v>
      </c>
      <c r="D154">
        <v>9</v>
      </c>
      <c r="E154" s="4">
        <v>1189</v>
      </c>
      <c r="F154" s="9">
        <v>44.146000000000001</v>
      </c>
      <c r="G154" s="6">
        <v>15130</v>
      </c>
      <c r="H154" s="9">
        <f t="shared" si="2"/>
        <v>1233.146</v>
      </c>
      <c r="I154" s="6">
        <v>12397</v>
      </c>
      <c r="J154" s="6">
        <f>VLOOKUP(Table1[[#This Row],[Province]],[1]Sheet1!$A$4:$B$37,2,FALSE)</f>
        <v>13590300</v>
      </c>
      <c r="K154">
        <v>0</v>
      </c>
      <c r="L154" s="4">
        <v>2.1153550000000001</v>
      </c>
      <c r="M154" s="4">
        <v>99.545096999999998</v>
      </c>
      <c r="N154" s="6"/>
      <c r="P154"/>
      <c r="Q154" s="12"/>
      <c r="R154" s="12"/>
    </row>
    <row r="155" spans="1:18" x14ac:dyDescent="0.2">
      <c r="A155">
        <v>2</v>
      </c>
      <c r="B155" t="s">
        <v>33</v>
      </c>
      <c r="C155">
        <v>2015</v>
      </c>
      <c r="D155">
        <v>10</v>
      </c>
      <c r="E155" s="4">
        <v>110</v>
      </c>
      <c r="F155" s="9">
        <v>53.143999999999998</v>
      </c>
      <c r="G155" s="6">
        <v>10085</v>
      </c>
      <c r="H155" s="9">
        <f t="shared" si="2"/>
        <v>163.14400000000001</v>
      </c>
      <c r="I155" s="6">
        <v>12333</v>
      </c>
      <c r="J155" s="6">
        <f>VLOOKUP(Table1[[#This Row],[Province]],[1]Sheet1!$A$4:$B$37,2,FALSE)</f>
        <v>13590300</v>
      </c>
      <c r="K155">
        <v>0</v>
      </c>
      <c r="L155" s="4">
        <v>2.1153550000000001</v>
      </c>
      <c r="M155" s="4">
        <v>99.545096999999998</v>
      </c>
      <c r="N155" s="6"/>
      <c r="P155"/>
      <c r="Q155" s="12"/>
      <c r="R155" s="12"/>
    </row>
    <row r="156" spans="1:18" x14ac:dyDescent="0.2">
      <c r="A156">
        <v>2</v>
      </c>
      <c r="B156" t="s">
        <v>33</v>
      </c>
      <c r="C156">
        <v>2015</v>
      </c>
      <c r="D156">
        <v>11</v>
      </c>
      <c r="E156" s="4">
        <v>109</v>
      </c>
      <c r="F156" s="9">
        <v>88.974999999999994</v>
      </c>
      <c r="G156" s="6">
        <v>13298</v>
      </c>
      <c r="H156" s="9">
        <f t="shared" si="2"/>
        <v>197.97499999999999</v>
      </c>
      <c r="I156" s="6">
        <v>12333</v>
      </c>
      <c r="J156" s="6">
        <f>VLOOKUP(Table1[[#This Row],[Province]],[1]Sheet1!$A$4:$B$37,2,FALSE)</f>
        <v>13590300</v>
      </c>
      <c r="K156">
        <v>0</v>
      </c>
      <c r="L156" s="4">
        <v>2.1153550000000001</v>
      </c>
      <c r="M156" s="4">
        <v>99.545096999999998</v>
      </c>
      <c r="N156" s="6"/>
      <c r="P156"/>
      <c r="Q156" s="12"/>
      <c r="R156" s="12"/>
    </row>
    <row r="157" spans="1:18" x14ac:dyDescent="0.2">
      <c r="A157">
        <v>2</v>
      </c>
      <c r="B157" t="s">
        <v>33</v>
      </c>
      <c r="C157">
        <v>2015</v>
      </c>
      <c r="D157">
        <v>12</v>
      </c>
      <c r="E157" s="4">
        <v>108</v>
      </c>
      <c r="F157" s="9">
        <v>111.608</v>
      </c>
      <c r="G157" s="6">
        <v>14254</v>
      </c>
      <c r="H157" s="9">
        <f t="shared" si="2"/>
        <v>219.608</v>
      </c>
      <c r="I157" s="6">
        <v>12429</v>
      </c>
      <c r="J157" s="6">
        <f>VLOOKUP(Table1[[#This Row],[Province]],[1]Sheet1!$A$4:$B$37,2,FALSE)</f>
        <v>13590300</v>
      </c>
      <c r="K157">
        <v>1</v>
      </c>
      <c r="L157" s="4">
        <v>2.1153550000000001</v>
      </c>
      <c r="M157" s="4">
        <v>99.545096999999998</v>
      </c>
      <c r="N157" s="6"/>
      <c r="P157"/>
      <c r="Q157" s="12"/>
      <c r="R157" s="12"/>
    </row>
    <row r="158" spans="1:18" x14ac:dyDescent="0.2">
      <c r="A158">
        <v>2</v>
      </c>
      <c r="B158" t="s">
        <v>33</v>
      </c>
      <c r="C158">
        <v>2016</v>
      </c>
      <c r="D158">
        <v>1</v>
      </c>
      <c r="E158" s="4">
        <v>0</v>
      </c>
      <c r="F158" s="9">
        <v>203.12299999999999</v>
      </c>
      <c r="G158" s="6">
        <v>6101</v>
      </c>
      <c r="H158" s="9">
        <f t="shared" si="2"/>
        <v>203.12299999999999</v>
      </c>
      <c r="I158" s="6">
        <v>12567</v>
      </c>
      <c r="J158" s="6">
        <f>VLOOKUP(Table1[[#This Row],[Province]],[1]Sheet1!$A$4:$B$37,2,FALSE)</f>
        <v>13590300</v>
      </c>
      <c r="K158">
        <v>0</v>
      </c>
      <c r="L158" s="4">
        <v>2.1153550000000001</v>
      </c>
      <c r="M158" s="4">
        <v>99.545096999999998</v>
      </c>
      <c r="N158" s="13">
        <v>5.18</v>
      </c>
      <c r="P158"/>
      <c r="Q158" s="12"/>
      <c r="R158" s="12"/>
    </row>
    <row r="159" spans="1:18" x14ac:dyDescent="0.2">
      <c r="A159">
        <v>2</v>
      </c>
      <c r="B159" t="s">
        <v>33</v>
      </c>
      <c r="C159">
        <v>2016</v>
      </c>
      <c r="D159">
        <v>2</v>
      </c>
      <c r="E159" s="4">
        <v>4344</v>
      </c>
      <c r="F159" s="9">
        <v>59.531999999999996</v>
      </c>
      <c r="G159" s="6">
        <v>13196</v>
      </c>
      <c r="H159" s="9">
        <f t="shared" si="2"/>
        <v>4403.5320000000002</v>
      </c>
      <c r="I159" s="6">
        <v>12767</v>
      </c>
      <c r="J159" s="6">
        <f>VLOOKUP(Table1[[#This Row],[Province]],[1]Sheet1!$A$4:$B$37,2,FALSE)</f>
        <v>13590300</v>
      </c>
      <c r="K159">
        <v>0</v>
      </c>
      <c r="L159" s="4">
        <v>2.1153550000000001</v>
      </c>
      <c r="M159" s="4">
        <v>99.545096999999998</v>
      </c>
      <c r="N159" s="13">
        <v>5.18</v>
      </c>
      <c r="P159"/>
      <c r="Q159" s="12"/>
      <c r="R159" s="12"/>
    </row>
    <row r="160" spans="1:18" x14ac:dyDescent="0.2">
      <c r="A160">
        <v>2</v>
      </c>
      <c r="B160" t="s">
        <v>33</v>
      </c>
      <c r="C160">
        <v>2016</v>
      </c>
      <c r="D160">
        <v>3</v>
      </c>
      <c r="E160" s="4">
        <v>4385</v>
      </c>
      <c r="F160" s="9">
        <v>144.36099999999999</v>
      </c>
      <c r="G160" s="6">
        <v>8062</v>
      </c>
      <c r="H160" s="9">
        <f t="shared" si="2"/>
        <v>4529.3609999999999</v>
      </c>
      <c r="I160" s="6">
        <v>12417</v>
      </c>
      <c r="J160" s="6">
        <f>VLOOKUP(Table1[[#This Row],[Province]],[1]Sheet1!$A$4:$B$37,2,FALSE)</f>
        <v>13590300</v>
      </c>
      <c r="K160">
        <v>0</v>
      </c>
      <c r="L160" s="4">
        <v>2.1153550000000001</v>
      </c>
      <c r="M160" s="4">
        <v>99.545096999999998</v>
      </c>
      <c r="N160" s="13">
        <v>5.18</v>
      </c>
      <c r="P160"/>
      <c r="Q160" s="12"/>
      <c r="R160" s="12"/>
    </row>
    <row r="161" spans="1:18" x14ac:dyDescent="0.2">
      <c r="A161">
        <v>2</v>
      </c>
      <c r="B161" t="s">
        <v>33</v>
      </c>
      <c r="C161">
        <v>2016</v>
      </c>
      <c r="D161">
        <v>4</v>
      </c>
      <c r="E161" s="4">
        <v>4167</v>
      </c>
      <c r="F161" s="9">
        <v>133.357</v>
      </c>
      <c r="G161" s="6">
        <v>7774</v>
      </c>
      <c r="H161" s="9">
        <f t="shared" si="2"/>
        <v>4300.357</v>
      </c>
      <c r="I161" s="6">
        <v>12417</v>
      </c>
      <c r="J161" s="6">
        <f>VLOOKUP(Table1[[#This Row],[Province]],[1]Sheet1!$A$4:$B$37,2,FALSE)</f>
        <v>13590300</v>
      </c>
      <c r="K161">
        <v>0</v>
      </c>
      <c r="L161" s="4">
        <v>2.1153550000000001</v>
      </c>
      <c r="M161" s="4">
        <v>99.545096999999998</v>
      </c>
      <c r="N161" s="13">
        <v>5.18</v>
      </c>
      <c r="P161"/>
      <c r="Q161" s="12"/>
      <c r="R161" s="12"/>
    </row>
    <row r="162" spans="1:18" x14ac:dyDescent="0.2">
      <c r="A162">
        <v>2</v>
      </c>
      <c r="B162" t="s">
        <v>33</v>
      </c>
      <c r="C162">
        <v>2016</v>
      </c>
      <c r="D162">
        <v>5</v>
      </c>
      <c r="E162" s="4">
        <v>5934</v>
      </c>
      <c r="F162" s="9">
        <v>223.55600000000001</v>
      </c>
      <c r="G162" s="6">
        <v>11029</v>
      </c>
      <c r="H162" s="9">
        <f t="shared" si="2"/>
        <v>6157.5559999999996</v>
      </c>
      <c r="I162" s="6">
        <v>14575</v>
      </c>
      <c r="J162" s="6">
        <f>VLOOKUP(Table1[[#This Row],[Province]],[1]Sheet1!$A$4:$B$37,2,FALSE)</f>
        <v>13590300</v>
      </c>
      <c r="K162">
        <v>0</v>
      </c>
      <c r="L162" s="4">
        <v>2.1153550000000001</v>
      </c>
      <c r="M162" s="4">
        <v>99.545096999999998</v>
      </c>
      <c r="N162" s="13">
        <v>5.18</v>
      </c>
      <c r="P162"/>
      <c r="Q162" s="12"/>
      <c r="R162" s="12"/>
    </row>
    <row r="163" spans="1:18" x14ac:dyDescent="0.2">
      <c r="A163">
        <v>2</v>
      </c>
      <c r="B163" t="s">
        <v>33</v>
      </c>
      <c r="C163">
        <v>2016</v>
      </c>
      <c r="D163">
        <v>6</v>
      </c>
      <c r="E163" s="4">
        <v>3804</v>
      </c>
      <c r="F163" s="9">
        <v>350.30399999999997</v>
      </c>
      <c r="G163" s="6">
        <v>14489</v>
      </c>
      <c r="H163" s="9">
        <f t="shared" si="2"/>
        <v>4154.3040000000001</v>
      </c>
      <c r="I163" s="6">
        <v>16182</v>
      </c>
      <c r="J163" s="6">
        <f>VLOOKUP(Table1[[#This Row],[Province]],[1]Sheet1!$A$4:$B$37,2,FALSE)</f>
        <v>13590300</v>
      </c>
      <c r="K163">
        <v>1</v>
      </c>
      <c r="L163" s="4">
        <v>2.1153550000000001</v>
      </c>
      <c r="M163" s="4">
        <v>99.545096999999998</v>
      </c>
      <c r="N163" s="13">
        <v>5.18</v>
      </c>
      <c r="P163"/>
      <c r="Q163" s="12"/>
      <c r="R163" s="12"/>
    </row>
    <row r="164" spans="1:18" x14ac:dyDescent="0.2">
      <c r="A164">
        <v>2</v>
      </c>
      <c r="B164" t="s">
        <v>33</v>
      </c>
      <c r="C164">
        <v>2016</v>
      </c>
      <c r="D164">
        <v>7</v>
      </c>
      <c r="E164" s="4">
        <v>0</v>
      </c>
      <c r="F164" s="9">
        <v>68.259</v>
      </c>
      <c r="G164" s="6">
        <v>13824</v>
      </c>
      <c r="H164" s="9">
        <f t="shared" si="2"/>
        <v>68.259</v>
      </c>
      <c r="I164" s="6">
        <v>16995</v>
      </c>
      <c r="J164" s="6">
        <f>VLOOKUP(Table1[[#This Row],[Province]],[1]Sheet1!$A$4:$B$37,2,FALSE)</f>
        <v>13590300</v>
      </c>
      <c r="K164">
        <v>0</v>
      </c>
      <c r="L164" s="4">
        <v>2.1153550000000001</v>
      </c>
      <c r="M164" s="4">
        <v>99.545096999999998</v>
      </c>
      <c r="N164" s="13">
        <v>5.18</v>
      </c>
      <c r="P164"/>
      <c r="Q164" s="12"/>
      <c r="R164" s="12"/>
    </row>
    <row r="165" spans="1:18" x14ac:dyDescent="0.2">
      <c r="A165">
        <v>2</v>
      </c>
      <c r="B165" t="s">
        <v>33</v>
      </c>
      <c r="C165">
        <v>2016</v>
      </c>
      <c r="D165">
        <v>8</v>
      </c>
      <c r="E165" s="4">
        <v>0</v>
      </c>
      <c r="F165" s="9">
        <v>90.043000000000006</v>
      </c>
      <c r="G165" s="6">
        <v>13660</v>
      </c>
      <c r="H165" s="9">
        <f t="shared" si="2"/>
        <v>90.043000000000006</v>
      </c>
      <c r="I165" s="6">
        <v>15625</v>
      </c>
      <c r="J165" s="6">
        <f>VLOOKUP(Table1[[#This Row],[Province]],[1]Sheet1!$A$4:$B$37,2,FALSE)</f>
        <v>13590300</v>
      </c>
      <c r="K165">
        <v>0</v>
      </c>
      <c r="L165" s="4">
        <v>2.1153550000000001</v>
      </c>
      <c r="M165" s="4">
        <v>99.545096999999998</v>
      </c>
      <c r="N165" s="13">
        <v>5.18</v>
      </c>
      <c r="P165"/>
      <c r="Q165" s="12"/>
      <c r="R165" s="12"/>
    </row>
    <row r="166" spans="1:18" x14ac:dyDescent="0.2">
      <c r="A166">
        <v>2</v>
      </c>
      <c r="B166" t="s">
        <v>33</v>
      </c>
      <c r="C166">
        <v>2016</v>
      </c>
      <c r="D166">
        <v>9</v>
      </c>
      <c r="E166" s="4">
        <v>2009</v>
      </c>
      <c r="F166" s="9">
        <v>48.484000000000002</v>
      </c>
      <c r="G166" s="6">
        <v>5280</v>
      </c>
      <c r="H166" s="9">
        <f t="shared" si="2"/>
        <v>2057.4839999999999</v>
      </c>
      <c r="I166" s="6">
        <v>13428</v>
      </c>
      <c r="J166" s="6">
        <f>VLOOKUP(Table1[[#This Row],[Province]],[1]Sheet1!$A$4:$B$37,2,FALSE)</f>
        <v>13590300</v>
      </c>
      <c r="K166">
        <v>0</v>
      </c>
      <c r="L166" s="4">
        <v>2.1153550000000001</v>
      </c>
      <c r="M166" s="4">
        <v>99.545096999999998</v>
      </c>
      <c r="N166" s="13">
        <v>5.18</v>
      </c>
      <c r="P166"/>
      <c r="Q166" s="12"/>
      <c r="R166" s="12"/>
    </row>
    <row r="167" spans="1:18" x14ac:dyDescent="0.2">
      <c r="A167">
        <v>2</v>
      </c>
      <c r="B167" t="s">
        <v>33</v>
      </c>
      <c r="C167">
        <v>2016</v>
      </c>
      <c r="D167">
        <v>10</v>
      </c>
      <c r="E167" s="4">
        <v>0</v>
      </c>
      <c r="F167" s="9">
        <v>99.641999999999996</v>
      </c>
      <c r="G167" s="6">
        <v>23064</v>
      </c>
      <c r="H167" s="9">
        <f t="shared" si="2"/>
        <v>99.641999999999996</v>
      </c>
      <c r="I167" s="6">
        <v>13333</v>
      </c>
      <c r="J167" s="6">
        <f>VLOOKUP(Table1[[#This Row],[Province]],[1]Sheet1!$A$4:$B$37,2,FALSE)</f>
        <v>13590300</v>
      </c>
      <c r="K167">
        <v>0</v>
      </c>
      <c r="L167" s="4">
        <v>2.1153550000000001</v>
      </c>
      <c r="M167" s="4">
        <v>99.545096999999998</v>
      </c>
      <c r="N167" s="13">
        <v>5.18</v>
      </c>
      <c r="P167"/>
      <c r="Q167" s="12"/>
      <c r="R167" s="12"/>
    </row>
    <row r="168" spans="1:18" x14ac:dyDescent="0.2">
      <c r="A168">
        <v>2</v>
      </c>
      <c r="B168" t="s">
        <v>33</v>
      </c>
      <c r="C168">
        <v>2016</v>
      </c>
      <c r="D168">
        <v>11</v>
      </c>
      <c r="E168" s="4">
        <v>0</v>
      </c>
      <c r="F168" s="9">
        <v>80.849999999999994</v>
      </c>
      <c r="G168" s="6">
        <v>6530</v>
      </c>
      <c r="H168" s="9">
        <f t="shared" si="2"/>
        <v>80.849999999999994</v>
      </c>
      <c r="I168" s="6">
        <v>13292</v>
      </c>
      <c r="J168" s="6">
        <f>VLOOKUP(Table1[[#This Row],[Province]],[1]Sheet1!$A$4:$B$37,2,FALSE)</f>
        <v>13590300</v>
      </c>
      <c r="K168">
        <v>0</v>
      </c>
      <c r="L168" s="4">
        <v>2.1153550000000001</v>
      </c>
      <c r="M168" s="4">
        <v>99.545096999999998</v>
      </c>
      <c r="N168" s="13">
        <v>5.18</v>
      </c>
      <c r="P168"/>
      <c r="Q168" s="12"/>
      <c r="R168" s="12"/>
    </row>
    <row r="169" spans="1:18" x14ac:dyDescent="0.2">
      <c r="A169">
        <v>2</v>
      </c>
      <c r="B169" t="s">
        <v>33</v>
      </c>
      <c r="C169">
        <v>2016</v>
      </c>
      <c r="D169">
        <v>12</v>
      </c>
      <c r="E169" s="4">
        <v>2009</v>
      </c>
      <c r="F169" s="9">
        <v>199.37299999999999</v>
      </c>
      <c r="G169" s="6">
        <v>6536</v>
      </c>
      <c r="H169" s="9">
        <f t="shared" si="2"/>
        <v>2208.373</v>
      </c>
      <c r="I169" s="6">
        <v>13250</v>
      </c>
      <c r="J169" s="6">
        <f>VLOOKUP(Table1[[#This Row],[Province]],[1]Sheet1!$A$4:$B$37,2,FALSE)</f>
        <v>13590300</v>
      </c>
      <c r="K169">
        <v>1</v>
      </c>
      <c r="L169" s="4">
        <v>2.1153550000000001</v>
      </c>
      <c r="M169" s="4">
        <v>99.545096999999998</v>
      </c>
      <c r="N169" s="13">
        <v>5.18</v>
      </c>
      <c r="P169"/>
      <c r="Q169" s="12"/>
      <c r="R169" s="12"/>
    </row>
    <row r="170" spans="1:18" x14ac:dyDescent="0.2">
      <c r="A170">
        <v>2</v>
      </c>
      <c r="B170" t="s">
        <v>33</v>
      </c>
      <c r="C170">
        <v>2017</v>
      </c>
      <c r="D170">
        <v>1</v>
      </c>
      <c r="E170" s="4">
        <v>0</v>
      </c>
      <c r="F170" s="9">
        <v>96.137</v>
      </c>
      <c r="G170" s="6">
        <v>12952</v>
      </c>
      <c r="H170" s="9">
        <f t="shared" si="2"/>
        <v>96.137</v>
      </c>
      <c r="I170" s="6">
        <v>13044</v>
      </c>
      <c r="J170" s="6">
        <f>VLOOKUP(Table1[[#This Row],[Province]],[1]Sheet1!$A$4:$B$37,2,FALSE)</f>
        <v>13590300</v>
      </c>
      <c r="K170">
        <v>0</v>
      </c>
      <c r="L170" s="4">
        <v>2.1153550000000001</v>
      </c>
      <c r="M170" s="4">
        <v>99.545096999999998</v>
      </c>
      <c r="N170" s="13">
        <v>5.12</v>
      </c>
      <c r="P170"/>
      <c r="Q170" s="12"/>
      <c r="R170" s="12"/>
    </row>
    <row r="171" spans="1:18" x14ac:dyDescent="0.2">
      <c r="A171">
        <v>2</v>
      </c>
      <c r="B171" t="s">
        <v>33</v>
      </c>
      <c r="C171">
        <v>2017</v>
      </c>
      <c r="D171">
        <v>2</v>
      </c>
      <c r="E171" s="4">
        <v>0</v>
      </c>
      <c r="F171" s="9">
        <v>90.718000000000004</v>
      </c>
      <c r="G171" s="6">
        <v>7441</v>
      </c>
      <c r="H171" s="9">
        <f t="shared" si="2"/>
        <v>90.718000000000004</v>
      </c>
      <c r="I171" s="6">
        <v>12917</v>
      </c>
      <c r="J171" s="6">
        <f>VLOOKUP(Table1[[#This Row],[Province]],[1]Sheet1!$A$4:$B$37,2,FALSE)</f>
        <v>13590300</v>
      </c>
      <c r="K171">
        <v>0</v>
      </c>
      <c r="L171" s="4">
        <v>2.1153550000000001</v>
      </c>
      <c r="M171" s="4">
        <v>99.545096999999998</v>
      </c>
      <c r="N171" s="13">
        <v>5.12</v>
      </c>
      <c r="P171"/>
      <c r="Q171" s="12"/>
      <c r="R171" s="12"/>
    </row>
    <row r="172" spans="1:18" x14ac:dyDescent="0.2">
      <c r="A172">
        <v>2</v>
      </c>
      <c r="B172" t="s">
        <v>33</v>
      </c>
      <c r="C172">
        <v>2017</v>
      </c>
      <c r="D172">
        <v>3</v>
      </c>
      <c r="E172" s="4">
        <v>0</v>
      </c>
      <c r="F172" s="9">
        <v>134.96299999999999</v>
      </c>
      <c r="G172" s="6">
        <v>5814</v>
      </c>
      <c r="H172" s="9">
        <f t="shared" si="2"/>
        <v>134.96299999999999</v>
      </c>
      <c r="I172" s="6">
        <v>12917</v>
      </c>
      <c r="J172" s="6">
        <f>VLOOKUP(Table1[[#This Row],[Province]],[1]Sheet1!$A$4:$B$37,2,FALSE)</f>
        <v>13590300</v>
      </c>
      <c r="K172">
        <v>0</v>
      </c>
      <c r="L172" s="4">
        <v>2.1153550000000001</v>
      </c>
      <c r="M172" s="4">
        <v>99.545096999999998</v>
      </c>
      <c r="N172" s="13">
        <v>5.12</v>
      </c>
      <c r="P172"/>
      <c r="Q172" s="12"/>
      <c r="R172" s="12"/>
    </row>
    <row r="173" spans="1:18" x14ac:dyDescent="0.2">
      <c r="A173">
        <v>2</v>
      </c>
      <c r="B173" t="s">
        <v>33</v>
      </c>
      <c r="C173">
        <v>2017</v>
      </c>
      <c r="D173">
        <v>4</v>
      </c>
      <c r="E173" s="4">
        <v>42</v>
      </c>
      <c r="F173" s="9">
        <v>187.33</v>
      </c>
      <c r="G173" s="6">
        <v>4153</v>
      </c>
      <c r="H173" s="9">
        <f t="shared" si="2"/>
        <v>229.33</v>
      </c>
      <c r="I173" s="6">
        <v>12647</v>
      </c>
      <c r="J173" s="6">
        <f>VLOOKUP(Table1[[#This Row],[Province]],[1]Sheet1!$A$4:$B$37,2,FALSE)</f>
        <v>13590300</v>
      </c>
      <c r="K173">
        <v>0</v>
      </c>
      <c r="L173" s="4">
        <v>2.1153550000000001</v>
      </c>
      <c r="M173" s="4">
        <v>99.545096999999998</v>
      </c>
      <c r="N173" s="13">
        <v>5.12</v>
      </c>
      <c r="P173"/>
      <c r="Q173" s="12"/>
      <c r="R173" s="12"/>
    </row>
    <row r="174" spans="1:18" x14ac:dyDescent="0.2">
      <c r="A174">
        <v>2</v>
      </c>
      <c r="B174" t="s">
        <v>33</v>
      </c>
      <c r="C174">
        <v>2017</v>
      </c>
      <c r="D174">
        <v>5</v>
      </c>
      <c r="E174" s="4">
        <v>2685</v>
      </c>
      <c r="F174" s="9">
        <v>276.60199999999998</v>
      </c>
      <c r="G174" s="6">
        <v>4000</v>
      </c>
      <c r="H174" s="9">
        <f t="shared" si="2"/>
        <v>2961.6019999999999</v>
      </c>
      <c r="I174" s="6">
        <v>12500</v>
      </c>
      <c r="J174" s="6">
        <f>VLOOKUP(Table1[[#This Row],[Province]],[1]Sheet1!$A$4:$B$37,2,FALSE)</f>
        <v>13590300</v>
      </c>
      <c r="K174">
        <v>1</v>
      </c>
      <c r="L174" s="4">
        <v>2.1153550000000001</v>
      </c>
      <c r="M174" s="4">
        <v>99.545096999999998</v>
      </c>
      <c r="N174" s="13">
        <v>5.12</v>
      </c>
      <c r="P174"/>
      <c r="Q174" s="12"/>
      <c r="R174" s="12"/>
    </row>
    <row r="175" spans="1:18" x14ac:dyDescent="0.2">
      <c r="A175">
        <v>2</v>
      </c>
      <c r="B175" t="s">
        <v>33</v>
      </c>
      <c r="C175">
        <v>2017</v>
      </c>
      <c r="D175">
        <v>6</v>
      </c>
      <c r="E175" s="4">
        <v>3547</v>
      </c>
      <c r="F175" s="9">
        <v>233.471</v>
      </c>
      <c r="G175" s="6">
        <v>7401</v>
      </c>
      <c r="H175" s="9">
        <f t="shared" si="2"/>
        <v>3780.471</v>
      </c>
      <c r="I175" s="6">
        <v>12528</v>
      </c>
      <c r="J175" s="6">
        <f>VLOOKUP(Table1[[#This Row],[Province]],[1]Sheet1!$A$4:$B$37,2,FALSE)</f>
        <v>13590300</v>
      </c>
      <c r="K175">
        <v>0</v>
      </c>
      <c r="L175" s="4">
        <v>2.1153550000000001</v>
      </c>
      <c r="M175" s="4">
        <v>99.545096999999998</v>
      </c>
      <c r="N175" s="13">
        <v>5.12</v>
      </c>
      <c r="P175"/>
      <c r="Q175" s="12"/>
      <c r="R175" s="12"/>
    </row>
    <row r="176" spans="1:18" x14ac:dyDescent="0.2">
      <c r="A176">
        <v>2</v>
      </c>
      <c r="B176" t="s">
        <v>33</v>
      </c>
      <c r="C176">
        <v>2017</v>
      </c>
      <c r="D176">
        <v>7</v>
      </c>
      <c r="E176" s="4">
        <v>2159</v>
      </c>
      <c r="F176" s="9">
        <v>50.491</v>
      </c>
      <c r="G176" s="6">
        <v>8239</v>
      </c>
      <c r="H176" s="9">
        <f t="shared" si="2"/>
        <v>2209.491</v>
      </c>
      <c r="I176" s="6">
        <v>12583</v>
      </c>
      <c r="J176" s="6">
        <f>VLOOKUP(Table1[[#This Row],[Province]],[1]Sheet1!$A$4:$B$37,2,FALSE)</f>
        <v>13590300</v>
      </c>
      <c r="K176">
        <v>0</v>
      </c>
      <c r="L176" s="4">
        <v>2.1153550000000001</v>
      </c>
      <c r="M176" s="4">
        <v>99.545096999999998</v>
      </c>
      <c r="N176" s="13">
        <v>5.12</v>
      </c>
      <c r="P176"/>
      <c r="Q176" s="12"/>
      <c r="R176" s="12"/>
    </row>
    <row r="177" spans="1:18" x14ac:dyDescent="0.2">
      <c r="A177">
        <v>2</v>
      </c>
      <c r="B177" t="s">
        <v>33</v>
      </c>
      <c r="C177">
        <v>2017</v>
      </c>
      <c r="D177">
        <v>8</v>
      </c>
      <c r="E177" s="4">
        <v>737</v>
      </c>
      <c r="F177" s="9">
        <v>113.387</v>
      </c>
      <c r="G177" s="6">
        <v>15792</v>
      </c>
      <c r="H177" s="9">
        <f t="shared" si="2"/>
        <v>850.38699999999994</v>
      </c>
      <c r="I177" s="6">
        <v>12583</v>
      </c>
      <c r="J177" s="6">
        <f>VLOOKUP(Table1[[#This Row],[Province]],[1]Sheet1!$A$4:$B$37,2,FALSE)</f>
        <v>13590300</v>
      </c>
      <c r="K177">
        <v>0</v>
      </c>
      <c r="L177" s="4">
        <v>2.1153550000000001</v>
      </c>
      <c r="M177" s="4">
        <v>99.545096999999998</v>
      </c>
      <c r="N177" s="13">
        <v>5.12</v>
      </c>
      <c r="P177"/>
      <c r="Q177" s="12"/>
      <c r="R177" s="12"/>
    </row>
    <row r="178" spans="1:18" x14ac:dyDescent="0.2">
      <c r="A178">
        <v>2</v>
      </c>
      <c r="B178" t="s">
        <v>33</v>
      </c>
      <c r="C178">
        <v>2017</v>
      </c>
      <c r="D178">
        <v>9</v>
      </c>
      <c r="E178" s="4">
        <v>412</v>
      </c>
      <c r="F178" s="9">
        <v>92.495999999999995</v>
      </c>
      <c r="G178" s="6">
        <v>15303</v>
      </c>
      <c r="H178" s="9">
        <f t="shared" si="2"/>
        <v>504.49599999999998</v>
      </c>
      <c r="I178" s="6">
        <v>12583</v>
      </c>
      <c r="J178" s="6">
        <f>VLOOKUP(Table1[[#This Row],[Province]],[1]Sheet1!$A$4:$B$37,2,FALSE)</f>
        <v>13590300</v>
      </c>
      <c r="K178">
        <v>0</v>
      </c>
      <c r="L178" s="4">
        <v>2.1153550000000001</v>
      </c>
      <c r="M178" s="4">
        <v>99.545096999999998</v>
      </c>
      <c r="N178" s="13">
        <v>5.12</v>
      </c>
      <c r="P178"/>
      <c r="Q178" s="12"/>
      <c r="R178" s="12"/>
    </row>
    <row r="179" spans="1:18" x14ac:dyDescent="0.2">
      <c r="A179">
        <v>2</v>
      </c>
      <c r="B179" t="s">
        <v>33</v>
      </c>
      <c r="C179">
        <v>2017</v>
      </c>
      <c r="D179">
        <v>10</v>
      </c>
      <c r="E179" s="4">
        <v>0</v>
      </c>
      <c r="F179" s="9">
        <v>71.992999999999995</v>
      </c>
      <c r="G179" s="6">
        <v>19864</v>
      </c>
      <c r="H179" s="9">
        <f t="shared" si="2"/>
        <v>71.992999999999995</v>
      </c>
      <c r="I179" s="6">
        <v>12583</v>
      </c>
      <c r="J179" s="6">
        <f>VLOOKUP(Table1[[#This Row],[Province]],[1]Sheet1!$A$4:$B$37,2,FALSE)</f>
        <v>13590300</v>
      </c>
      <c r="K179">
        <v>0</v>
      </c>
      <c r="L179" s="4">
        <v>2.1153550000000001</v>
      </c>
      <c r="M179" s="4">
        <v>99.545096999999998</v>
      </c>
      <c r="N179" s="13">
        <v>5.12</v>
      </c>
      <c r="P179"/>
      <c r="Q179" s="12"/>
      <c r="R179" s="12"/>
    </row>
    <row r="180" spans="1:18" x14ac:dyDescent="0.2">
      <c r="A180">
        <v>2</v>
      </c>
      <c r="B180" t="s">
        <v>33</v>
      </c>
      <c r="C180">
        <v>2017</v>
      </c>
      <c r="D180">
        <v>11</v>
      </c>
      <c r="E180" s="4">
        <v>0</v>
      </c>
      <c r="F180" s="9">
        <v>183.88499999999999</v>
      </c>
      <c r="G180" s="6">
        <v>5191</v>
      </c>
      <c r="H180" s="9">
        <f t="shared" si="2"/>
        <v>183.88499999999999</v>
      </c>
      <c r="I180" s="6">
        <v>12159</v>
      </c>
      <c r="J180" s="6">
        <f>VLOOKUP(Table1[[#This Row],[Province]],[1]Sheet1!$A$4:$B$37,2,FALSE)</f>
        <v>13590300</v>
      </c>
      <c r="K180">
        <v>0</v>
      </c>
      <c r="L180" s="4">
        <v>2.1153550000000001</v>
      </c>
      <c r="M180" s="4">
        <v>99.545096999999998</v>
      </c>
      <c r="N180" s="13">
        <v>5.12</v>
      </c>
      <c r="P180"/>
      <c r="Q180" s="12"/>
      <c r="R180" s="12"/>
    </row>
    <row r="181" spans="1:18" x14ac:dyDescent="0.2">
      <c r="A181">
        <v>2</v>
      </c>
      <c r="B181" t="s">
        <v>33</v>
      </c>
      <c r="C181">
        <v>2017</v>
      </c>
      <c r="D181">
        <v>12</v>
      </c>
      <c r="E181" s="4">
        <v>0</v>
      </c>
      <c r="F181" s="9">
        <v>146.648</v>
      </c>
      <c r="G181" s="6">
        <v>9670</v>
      </c>
      <c r="H181" s="9">
        <f t="shared" si="2"/>
        <v>146.648</v>
      </c>
      <c r="I181" s="6">
        <v>11977</v>
      </c>
      <c r="J181" s="6">
        <f>VLOOKUP(Table1[[#This Row],[Province]],[1]Sheet1!$A$4:$B$37,2,FALSE)</f>
        <v>13590300</v>
      </c>
      <c r="K181">
        <v>1</v>
      </c>
      <c r="L181" s="4">
        <v>2.1153550000000001</v>
      </c>
      <c r="M181" s="4">
        <v>99.545096999999998</v>
      </c>
      <c r="N181" s="13">
        <v>5.12</v>
      </c>
      <c r="P181"/>
      <c r="Q181" s="12"/>
      <c r="R181" s="12"/>
    </row>
    <row r="182" spans="1:18" x14ac:dyDescent="0.2">
      <c r="A182">
        <v>2</v>
      </c>
      <c r="B182" t="s">
        <v>33</v>
      </c>
      <c r="C182">
        <v>2018</v>
      </c>
      <c r="D182">
        <v>1</v>
      </c>
      <c r="E182" s="4">
        <v>0</v>
      </c>
      <c r="F182" s="9">
        <v>241.851</v>
      </c>
      <c r="G182" s="6">
        <v>13172</v>
      </c>
      <c r="H182" s="9">
        <f t="shared" si="2"/>
        <v>241.851</v>
      </c>
      <c r="I182" s="6">
        <v>13045</v>
      </c>
      <c r="J182" s="6">
        <f>VLOOKUP(Table1[[#This Row],[Province]],[1]Sheet1!$A$4:$B$37,2,FALSE)</f>
        <v>13590300</v>
      </c>
      <c r="K182">
        <v>0</v>
      </c>
      <c r="L182" s="4">
        <v>2.1153550000000001</v>
      </c>
      <c r="M182" s="4">
        <v>99.545096999999998</v>
      </c>
      <c r="N182" s="13">
        <v>5.18</v>
      </c>
      <c r="P182"/>
      <c r="Q182" s="12"/>
      <c r="R182" s="12"/>
    </row>
    <row r="183" spans="1:18" x14ac:dyDescent="0.2">
      <c r="A183">
        <v>2</v>
      </c>
      <c r="B183" t="s">
        <v>33</v>
      </c>
      <c r="C183">
        <v>2018</v>
      </c>
      <c r="D183">
        <v>2</v>
      </c>
      <c r="E183" s="4">
        <v>1181</v>
      </c>
      <c r="F183" s="9">
        <v>196.92699999999999</v>
      </c>
      <c r="G183" s="6">
        <v>8224</v>
      </c>
      <c r="H183" s="9">
        <f t="shared" si="2"/>
        <v>1377.9269999999999</v>
      </c>
      <c r="I183" s="6">
        <v>13526</v>
      </c>
      <c r="J183" s="6">
        <f>VLOOKUP(Table1[[#This Row],[Province]],[1]Sheet1!$A$4:$B$37,2,FALSE)</f>
        <v>13590300</v>
      </c>
      <c r="K183">
        <v>0</v>
      </c>
      <c r="L183" s="4">
        <v>2.1153550000000001</v>
      </c>
      <c r="M183" s="4">
        <v>99.545096999999998</v>
      </c>
      <c r="N183" s="13">
        <v>5.18</v>
      </c>
      <c r="P183"/>
      <c r="Q183" s="12"/>
      <c r="R183" s="12"/>
    </row>
    <row r="184" spans="1:18" x14ac:dyDescent="0.2">
      <c r="A184">
        <v>2</v>
      </c>
      <c r="B184" t="s">
        <v>33</v>
      </c>
      <c r="C184">
        <v>2018</v>
      </c>
      <c r="D184">
        <v>3</v>
      </c>
      <c r="E184" s="4">
        <v>3967</v>
      </c>
      <c r="F184" s="9">
        <v>137.114</v>
      </c>
      <c r="G184" s="6">
        <v>9530</v>
      </c>
      <c r="H184" s="9">
        <f t="shared" si="2"/>
        <v>4104.1139999999996</v>
      </c>
      <c r="I184" s="6">
        <v>13571</v>
      </c>
      <c r="J184" s="6">
        <f>VLOOKUP(Table1[[#This Row],[Province]],[1]Sheet1!$A$4:$B$37,2,FALSE)</f>
        <v>13590300</v>
      </c>
      <c r="K184">
        <v>0</v>
      </c>
      <c r="L184" s="4">
        <v>2.1153550000000001</v>
      </c>
      <c r="M184" s="4">
        <v>99.545096999999998</v>
      </c>
      <c r="N184" s="13">
        <v>5.18</v>
      </c>
      <c r="P184"/>
      <c r="Q184" s="12"/>
      <c r="R184" s="12"/>
    </row>
    <row r="185" spans="1:18" x14ac:dyDescent="0.2">
      <c r="A185">
        <v>2</v>
      </c>
      <c r="B185" t="s">
        <v>33</v>
      </c>
      <c r="C185">
        <v>2018</v>
      </c>
      <c r="D185">
        <v>4</v>
      </c>
      <c r="E185" s="4">
        <v>4558</v>
      </c>
      <c r="F185" s="9">
        <v>146.64699999999999</v>
      </c>
      <c r="G185" s="6">
        <v>7760</v>
      </c>
      <c r="H185" s="9">
        <f t="shared" si="2"/>
        <v>4704.6469999999999</v>
      </c>
      <c r="I185" s="6">
        <v>13667</v>
      </c>
      <c r="J185" s="6">
        <f>VLOOKUP(Table1[[#This Row],[Province]],[1]Sheet1!$A$4:$B$37,2,FALSE)</f>
        <v>13590300</v>
      </c>
      <c r="K185">
        <v>0</v>
      </c>
      <c r="L185" s="4">
        <v>2.1153550000000001</v>
      </c>
      <c r="M185" s="4">
        <v>99.545096999999998</v>
      </c>
      <c r="N185" s="13">
        <v>5.18</v>
      </c>
      <c r="P185"/>
      <c r="Q185" s="12"/>
      <c r="R185" s="12"/>
    </row>
    <row r="186" spans="1:18" x14ac:dyDescent="0.2">
      <c r="A186">
        <v>2</v>
      </c>
      <c r="B186" t="s">
        <v>33</v>
      </c>
      <c r="C186">
        <v>2018</v>
      </c>
      <c r="D186">
        <v>5</v>
      </c>
      <c r="E186" s="4">
        <v>0</v>
      </c>
      <c r="F186" s="9">
        <v>257.25700000000001</v>
      </c>
      <c r="G186" s="6">
        <v>12067</v>
      </c>
      <c r="H186" s="9">
        <f t="shared" si="2"/>
        <v>257.25700000000001</v>
      </c>
      <c r="I186" s="6">
        <v>14500</v>
      </c>
      <c r="J186" s="6">
        <f>VLOOKUP(Table1[[#This Row],[Province]],[1]Sheet1!$A$4:$B$37,2,FALSE)</f>
        <v>13590300</v>
      </c>
      <c r="K186">
        <v>1</v>
      </c>
      <c r="L186" s="4">
        <v>2.1153550000000001</v>
      </c>
      <c r="M186" s="4">
        <v>99.545096999999998</v>
      </c>
      <c r="N186" s="13">
        <v>5.18</v>
      </c>
      <c r="P186"/>
      <c r="Q186" s="12"/>
      <c r="R186" s="12"/>
    </row>
    <row r="187" spans="1:18" x14ac:dyDescent="0.2">
      <c r="A187">
        <v>2</v>
      </c>
      <c r="B187" t="s">
        <v>33</v>
      </c>
      <c r="C187">
        <v>2018</v>
      </c>
      <c r="D187">
        <v>6</v>
      </c>
      <c r="E187" s="4">
        <v>2792</v>
      </c>
      <c r="F187" s="9">
        <v>199.29400000000001</v>
      </c>
      <c r="G187" s="6">
        <v>10111</v>
      </c>
      <c r="H187" s="9">
        <f t="shared" si="2"/>
        <v>2991.2939999999999</v>
      </c>
      <c r="I187" s="6">
        <v>12500</v>
      </c>
      <c r="J187" s="6">
        <f>VLOOKUP(Table1[[#This Row],[Province]],[1]Sheet1!$A$4:$B$37,2,FALSE)</f>
        <v>13590300</v>
      </c>
      <c r="K187">
        <v>0</v>
      </c>
      <c r="L187" s="4">
        <v>2.1153550000000001</v>
      </c>
      <c r="M187" s="4">
        <v>99.545096999999998</v>
      </c>
      <c r="N187" s="13">
        <v>5.18</v>
      </c>
      <c r="P187"/>
      <c r="Q187" s="12"/>
      <c r="R187" s="12"/>
    </row>
    <row r="188" spans="1:18" x14ac:dyDescent="0.2">
      <c r="A188">
        <v>2</v>
      </c>
      <c r="B188" t="s">
        <v>33</v>
      </c>
      <c r="C188">
        <v>2018</v>
      </c>
      <c r="D188">
        <v>7</v>
      </c>
      <c r="E188" s="4">
        <v>1055</v>
      </c>
      <c r="F188" s="9">
        <v>196.042</v>
      </c>
      <c r="G188" s="6">
        <v>7458</v>
      </c>
      <c r="H188" s="9">
        <f t="shared" si="2"/>
        <v>1251.0419999999999</v>
      </c>
      <c r="I188" s="6">
        <v>12500</v>
      </c>
      <c r="J188" s="6">
        <f>VLOOKUP(Table1[[#This Row],[Province]],[1]Sheet1!$A$4:$B$37,2,FALSE)</f>
        <v>13590300</v>
      </c>
      <c r="K188">
        <v>0</v>
      </c>
      <c r="L188" s="4">
        <v>2.1153550000000001</v>
      </c>
      <c r="M188" s="4">
        <v>99.545096999999998</v>
      </c>
      <c r="N188" s="13">
        <v>5.18</v>
      </c>
      <c r="P188"/>
      <c r="Q188" s="12"/>
      <c r="R188" s="12"/>
    </row>
    <row r="189" spans="1:18" x14ac:dyDescent="0.2">
      <c r="A189">
        <v>2</v>
      </c>
      <c r="B189" t="s">
        <v>33</v>
      </c>
      <c r="C189">
        <v>2018</v>
      </c>
      <c r="D189">
        <v>8</v>
      </c>
      <c r="E189" s="4">
        <v>0</v>
      </c>
      <c r="F189" s="9">
        <v>229.05</v>
      </c>
      <c r="G189" s="6">
        <v>8967</v>
      </c>
      <c r="H189" s="9">
        <f t="shared" si="2"/>
        <v>229.05</v>
      </c>
      <c r="I189" s="6">
        <v>12500</v>
      </c>
      <c r="J189" s="6">
        <f>VLOOKUP(Table1[[#This Row],[Province]],[1]Sheet1!$A$4:$B$37,2,FALSE)</f>
        <v>13590300</v>
      </c>
      <c r="K189">
        <v>0</v>
      </c>
      <c r="L189" s="4">
        <v>2.1153550000000001</v>
      </c>
      <c r="M189" s="4">
        <v>99.545096999999998</v>
      </c>
      <c r="N189" s="13">
        <v>5.18</v>
      </c>
      <c r="P189"/>
      <c r="Q189" s="12"/>
      <c r="R189" s="12"/>
    </row>
    <row r="190" spans="1:18" x14ac:dyDescent="0.2">
      <c r="A190">
        <v>2</v>
      </c>
      <c r="B190" t="s">
        <v>33</v>
      </c>
      <c r="C190">
        <v>2018</v>
      </c>
      <c r="D190">
        <v>9</v>
      </c>
      <c r="E190" s="4">
        <v>0</v>
      </c>
      <c r="F190" s="9">
        <v>287.209</v>
      </c>
      <c r="G190" s="6">
        <v>6950</v>
      </c>
      <c r="H190" s="9">
        <f t="shared" si="2"/>
        <v>287.209</v>
      </c>
      <c r="I190" s="6">
        <v>12500</v>
      </c>
      <c r="J190" s="6">
        <f>VLOOKUP(Table1[[#This Row],[Province]],[1]Sheet1!$A$4:$B$37,2,FALSE)</f>
        <v>13590300</v>
      </c>
      <c r="K190">
        <v>0</v>
      </c>
      <c r="L190" s="4">
        <v>2.1153550000000001</v>
      </c>
      <c r="M190" s="4">
        <v>99.545096999999998</v>
      </c>
      <c r="N190" s="13">
        <v>5.18</v>
      </c>
      <c r="P190"/>
      <c r="Q190" s="12"/>
      <c r="R190" s="12"/>
    </row>
    <row r="191" spans="1:18" x14ac:dyDescent="0.2">
      <c r="A191">
        <v>2</v>
      </c>
      <c r="B191" t="s">
        <v>33</v>
      </c>
      <c r="C191">
        <v>2018</v>
      </c>
      <c r="D191">
        <v>10</v>
      </c>
      <c r="E191" s="4">
        <v>0</v>
      </c>
      <c r="F191" s="9">
        <v>353.28500000000003</v>
      </c>
      <c r="G191" s="6">
        <v>1325</v>
      </c>
      <c r="H191" s="9">
        <f t="shared" si="2"/>
        <v>353.28500000000003</v>
      </c>
      <c r="I191" s="6">
        <v>12500</v>
      </c>
      <c r="J191" s="6">
        <f>VLOOKUP(Table1[[#This Row],[Province]],[1]Sheet1!$A$4:$B$37,2,FALSE)</f>
        <v>13590300</v>
      </c>
      <c r="K191">
        <v>0</v>
      </c>
      <c r="L191" s="4">
        <v>2.1153550000000001</v>
      </c>
      <c r="M191" s="4">
        <v>99.545096999999998</v>
      </c>
      <c r="N191" s="13">
        <v>5.18</v>
      </c>
      <c r="P191"/>
      <c r="Q191" s="12"/>
      <c r="R191" s="12"/>
    </row>
    <row r="192" spans="1:18" x14ac:dyDescent="0.2">
      <c r="A192">
        <v>2</v>
      </c>
      <c r="B192" t="s">
        <v>33</v>
      </c>
      <c r="C192">
        <v>2018</v>
      </c>
      <c r="D192">
        <v>11</v>
      </c>
      <c r="E192" s="4">
        <v>0</v>
      </c>
      <c r="F192" s="9">
        <v>350.952</v>
      </c>
      <c r="G192" s="6">
        <v>8427</v>
      </c>
      <c r="H192" s="9">
        <f t="shared" si="2"/>
        <v>350.952</v>
      </c>
      <c r="I192" s="6">
        <v>12079</v>
      </c>
      <c r="J192" s="6">
        <f>VLOOKUP(Table1[[#This Row],[Province]],[1]Sheet1!$A$4:$B$37,2,FALSE)</f>
        <v>13590300</v>
      </c>
      <c r="K192">
        <v>0</v>
      </c>
      <c r="L192" s="4">
        <v>2.1153550000000001</v>
      </c>
      <c r="M192" s="4">
        <v>99.545096999999998</v>
      </c>
      <c r="N192" s="13">
        <v>5.18</v>
      </c>
      <c r="P192"/>
      <c r="Q192" s="12"/>
      <c r="R192" s="12"/>
    </row>
    <row r="193" spans="1:18" x14ac:dyDescent="0.2">
      <c r="A193">
        <v>2</v>
      </c>
      <c r="B193" t="s">
        <v>33</v>
      </c>
      <c r="C193">
        <v>2018</v>
      </c>
      <c r="D193">
        <v>12</v>
      </c>
      <c r="E193" s="4">
        <v>0</v>
      </c>
      <c r="F193" s="9">
        <v>164.36099999999999</v>
      </c>
      <c r="G193" s="6">
        <v>11805</v>
      </c>
      <c r="H193" s="9">
        <f t="shared" si="2"/>
        <v>164.36099999999999</v>
      </c>
      <c r="I193" s="6">
        <v>11540</v>
      </c>
      <c r="J193" s="6">
        <f>VLOOKUP(Table1[[#This Row],[Province]],[1]Sheet1!$A$4:$B$37,2,FALSE)</f>
        <v>13590300</v>
      </c>
      <c r="K193">
        <v>1</v>
      </c>
      <c r="L193" s="4">
        <v>2.1153550000000001</v>
      </c>
      <c r="M193" s="4">
        <v>99.545096999999998</v>
      </c>
      <c r="N193" s="13">
        <v>5.18</v>
      </c>
      <c r="P193"/>
      <c r="Q193" s="12"/>
      <c r="R193" s="12"/>
    </row>
    <row r="194" spans="1:18" x14ac:dyDescent="0.2">
      <c r="A194">
        <v>2</v>
      </c>
      <c r="B194" t="s">
        <v>33</v>
      </c>
      <c r="C194">
        <v>2019</v>
      </c>
      <c r="D194">
        <v>1</v>
      </c>
      <c r="E194" s="4">
        <v>3240</v>
      </c>
      <c r="F194" s="9">
        <v>186.21100000000001</v>
      </c>
      <c r="G194" s="6">
        <v>17228</v>
      </c>
      <c r="H194" s="9">
        <f t="shared" ref="H194:H257" si="3">F194+E194</f>
        <v>3426.2110000000002</v>
      </c>
      <c r="I194" s="6">
        <v>11244</v>
      </c>
      <c r="J194" s="6">
        <f>VLOOKUP(Table1[[#This Row],[Province]],[1]Sheet1!$A$4:$B$37,2,FALSE)</f>
        <v>13590300</v>
      </c>
      <c r="K194">
        <v>0</v>
      </c>
      <c r="L194" s="4">
        <v>2.1153550000000001</v>
      </c>
      <c r="M194" s="4">
        <v>99.545096999999998</v>
      </c>
      <c r="N194" s="13">
        <v>5.22</v>
      </c>
      <c r="P194"/>
      <c r="Q194" s="12"/>
      <c r="R194" s="12"/>
    </row>
    <row r="195" spans="1:18" x14ac:dyDescent="0.2">
      <c r="A195">
        <v>2</v>
      </c>
      <c r="B195" t="s">
        <v>33</v>
      </c>
      <c r="C195">
        <v>2019</v>
      </c>
      <c r="D195">
        <v>2</v>
      </c>
      <c r="E195" s="4">
        <v>4560</v>
      </c>
      <c r="F195" s="9">
        <v>8.1969999999999992</v>
      </c>
      <c r="G195" s="6">
        <v>10488</v>
      </c>
      <c r="H195" s="9">
        <f t="shared" si="3"/>
        <v>4568.1970000000001</v>
      </c>
      <c r="I195" s="6">
        <v>11965</v>
      </c>
      <c r="J195" s="6">
        <f>VLOOKUP(Table1[[#This Row],[Province]],[1]Sheet1!$A$4:$B$37,2,FALSE)</f>
        <v>13590300</v>
      </c>
      <c r="K195">
        <v>0</v>
      </c>
      <c r="L195" s="4">
        <v>2.1153550000000001</v>
      </c>
      <c r="M195" s="4">
        <v>99.545096999999998</v>
      </c>
      <c r="N195" s="13">
        <v>5.22</v>
      </c>
      <c r="P195"/>
      <c r="Q195" s="12"/>
      <c r="R195" s="12"/>
    </row>
    <row r="196" spans="1:18" x14ac:dyDescent="0.2">
      <c r="A196">
        <v>2</v>
      </c>
      <c r="B196" t="s">
        <v>33</v>
      </c>
      <c r="C196">
        <v>2019</v>
      </c>
      <c r="D196">
        <v>3</v>
      </c>
      <c r="E196" s="4">
        <v>5116</v>
      </c>
      <c r="F196" s="9">
        <v>74.436999999999998</v>
      </c>
      <c r="G196" s="6">
        <v>10483</v>
      </c>
      <c r="H196" s="9">
        <f t="shared" si="3"/>
        <v>5190.4369999999999</v>
      </c>
      <c r="I196" s="6">
        <v>11929</v>
      </c>
      <c r="J196" s="6">
        <f>VLOOKUP(Table1[[#This Row],[Province]],[1]Sheet1!$A$4:$B$37,2,FALSE)</f>
        <v>13590300</v>
      </c>
      <c r="K196">
        <v>0</v>
      </c>
      <c r="L196" s="4">
        <v>2.1153550000000001</v>
      </c>
      <c r="M196" s="4">
        <v>99.545096999999998</v>
      </c>
      <c r="N196" s="13">
        <v>5.22</v>
      </c>
      <c r="P196"/>
      <c r="Q196" s="12"/>
      <c r="R196" s="12"/>
    </row>
    <row r="197" spans="1:18" x14ac:dyDescent="0.2">
      <c r="A197">
        <v>2</v>
      </c>
      <c r="B197" t="s">
        <v>33</v>
      </c>
      <c r="C197">
        <v>2019</v>
      </c>
      <c r="D197">
        <v>4</v>
      </c>
      <c r="E197" s="4">
        <v>2966</v>
      </c>
      <c r="F197" s="9">
        <v>173.63900000000001</v>
      </c>
      <c r="G197" s="6">
        <v>7982</v>
      </c>
      <c r="H197" s="9">
        <f t="shared" si="3"/>
        <v>3139.6390000000001</v>
      </c>
      <c r="I197" s="6">
        <v>11869</v>
      </c>
      <c r="J197" s="6">
        <f>VLOOKUP(Table1[[#This Row],[Province]],[1]Sheet1!$A$4:$B$37,2,FALSE)</f>
        <v>13590300</v>
      </c>
      <c r="K197">
        <v>0</v>
      </c>
      <c r="L197" s="4">
        <v>2.1153550000000001</v>
      </c>
      <c r="M197" s="4">
        <v>99.545096999999998</v>
      </c>
      <c r="N197" s="13">
        <v>5.22</v>
      </c>
      <c r="P197"/>
      <c r="Q197" s="12"/>
      <c r="R197" s="12"/>
    </row>
    <row r="198" spans="1:18" x14ac:dyDescent="0.2">
      <c r="A198">
        <v>2</v>
      </c>
      <c r="B198" t="s">
        <v>33</v>
      </c>
      <c r="C198">
        <v>2019</v>
      </c>
      <c r="D198">
        <v>5</v>
      </c>
      <c r="E198" s="4">
        <v>0</v>
      </c>
      <c r="F198" s="9">
        <v>114.371</v>
      </c>
      <c r="G198" s="6">
        <v>12607</v>
      </c>
      <c r="H198" s="9">
        <f t="shared" si="3"/>
        <v>114.371</v>
      </c>
      <c r="I198" s="6">
        <v>12250</v>
      </c>
      <c r="J198" s="6">
        <f>VLOOKUP(Table1[[#This Row],[Province]],[1]Sheet1!$A$4:$B$37,2,FALSE)</f>
        <v>13590300</v>
      </c>
      <c r="K198">
        <v>1</v>
      </c>
      <c r="L198" s="4">
        <v>2.1153550000000001</v>
      </c>
      <c r="M198" s="4">
        <v>99.545096999999998</v>
      </c>
      <c r="N198" s="13">
        <v>5.22</v>
      </c>
      <c r="P198"/>
      <c r="Q198" s="12"/>
      <c r="R198" s="12"/>
    </row>
    <row r="199" spans="1:18" x14ac:dyDescent="0.2">
      <c r="A199">
        <v>2</v>
      </c>
      <c r="B199" t="s">
        <v>33</v>
      </c>
      <c r="C199">
        <v>2019</v>
      </c>
      <c r="D199">
        <v>6</v>
      </c>
      <c r="E199" s="4">
        <v>0</v>
      </c>
      <c r="F199" s="9">
        <v>25.407</v>
      </c>
      <c r="G199" s="6">
        <v>7136</v>
      </c>
      <c r="H199" s="9">
        <f t="shared" si="3"/>
        <v>25.407</v>
      </c>
      <c r="I199" s="6">
        <v>12454</v>
      </c>
      <c r="J199" s="6">
        <f>VLOOKUP(Table1[[#This Row],[Province]],[1]Sheet1!$A$4:$B$37,2,FALSE)</f>
        <v>13590300</v>
      </c>
      <c r="K199">
        <v>0</v>
      </c>
      <c r="L199" s="4">
        <v>2.1153550000000001</v>
      </c>
      <c r="M199" s="4">
        <v>99.545096999999998</v>
      </c>
      <c r="N199" s="13">
        <v>5.22</v>
      </c>
      <c r="P199"/>
      <c r="Q199" s="12"/>
      <c r="R199" s="12"/>
    </row>
    <row r="200" spans="1:18" x14ac:dyDescent="0.2">
      <c r="A200">
        <v>2</v>
      </c>
      <c r="B200" t="s">
        <v>33</v>
      </c>
      <c r="C200">
        <v>2019</v>
      </c>
      <c r="D200">
        <v>7</v>
      </c>
      <c r="E200" s="4">
        <v>0</v>
      </c>
      <c r="F200" s="9">
        <v>68.974000000000004</v>
      </c>
      <c r="G200" s="6">
        <v>8723</v>
      </c>
      <c r="H200" s="9">
        <f t="shared" si="3"/>
        <v>68.974000000000004</v>
      </c>
      <c r="I200" s="6">
        <v>12728</v>
      </c>
      <c r="J200" s="6">
        <f>VLOOKUP(Table1[[#This Row],[Province]],[1]Sheet1!$A$4:$B$37,2,FALSE)</f>
        <v>13590300</v>
      </c>
      <c r="K200">
        <v>0</v>
      </c>
      <c r="L200" s="4">
        <v>2.1153550000000001</v>
      </c>
      <c r="M200" s="4">
        <v>99.545096999999998</v>
      </c>
      <c r="N200" s="13">
        <v>5.22</v>
      </c>
      <c r="P200"/>
      <c r="Q200" s="12"/>
      <c r="R200" s="12"/>
    </row>
    <row r="201" spans="1:18" x14ac:dyDescent="0.2">
      <c r="A201">
        <v>2</v>
      </c>
      <c r="B201" t="s">
        <v>33</v>
      </c>
      <c r="C201">
        <v>2019</v>
      </c>
      <c r="D201">
        <v>8</v>
      </c>
      <c r="E201" s="4">
        <v>0</v>
      </c>
      <c r="F201" s="9">
        <v>74.468999999999994</v>
      </c>
      <c r="G201" s="6">
        <v>14250</v>
      </c>
      <c r="H201" s="9">
        <f t="shared" si="3"/>
        <v>74.468999999999994</v>
      </c>
      <c r="I201" s="6">
        <v>12801</v>
      </c>
      <c r="J201" s="6">
        <f>VLOOKUP(Table1[[#This Row],[Province]],[1]Sheet1!$A$4:$B$37,2,FALSE)</f>
        <v>13590300</v>
      </c>
      <c r="K201">
        <v>0</v>
      </c>
      <c r="L201" s="4">
        <v>2.1153550000000001</v>
      </c>
      <c r="M201" s="4">
        <v>99.545096999999998</v>
      </c>
      <c r="N201" s="13">
        <v>5.22</v>
      </c>
      <c r="P201"/>
      <c r="Q201" s="12"/>
      <c r="R201" s="12"/>
    </row>
    <row r="202" spans="1:18" x14ac:dyDescent="0.2">
      <c r="A202">
        <v>2</v>
      </c>
      <c r="B202" t="s">
        <v>33</v>
      </c>
      <c r="C202">
        <v>2019</v>
      </c>
      <c r="D202">
        <v>9</v>
      </c>
      <c r="E202" s="4">
        <v>0</v>
      </c>
      <c r="F202" s="9">
        <v>91.15</v>
      </c>
      <c r="G202" s="6">
        <v>7968</v>
      </c>
      <c r="H202" s="9">
        <f t="shared" si="3"/>
        <v>91.15</v>
      </c>
      <c r="I202" s="6">
        <v>13233</v>
      </c>
      <c r="J202" s="6">
        <f>VLOOKUP(Table1[[#This Row],[Province]],[1]Sheet1!$A$4:$B$37,2,FALSE)</f>
        <v>13590300</v>
      </c>
      <c r="K202">
        <v>0</v>
      </c>
      <c r="L202" s="4">
        <v>2.1153550000000001</v>
      </c>
      <c r="M202" s="4">
        <v>99.545096999999998</v>
      </c>
      <c r="N202" s="13">
        <v>5.22</v>
      </c>
      <c r="P202"/>
      <c r="Q202" s="12"/>
      <c r="R202" s="12"/>
    </row>
    <row r="203" spans="1:18" x14ac:dyDescent="0.2">
      <c r="A203">
        <v>2</v>
      </c>
      <c r="B203" t="s">
        <v>33</v>
      </c>
      <c r="C203">
        <v>2019</v>
      </c>
      <c r="D203">
        <v>10</v>
      </c>
      <c r="E203" s="4">
        <v>0</v>
      </c>
      <c r="F203" s="9">
        <v>101.768</v>
      </c>
      <c r="G203" s="6">
        <v>9975</v>
      </c>
      <c r="H203" s="9">
        <f t="shared" si="3"/>
        <v>101.768</v>
      </c>
      <c r="I203" s="6">
        <v>13328</v>
      </c>
      <c r="J203" s="6">
        <f>VLOOKUP(Table1[[#This Row],[Province]],[1]Sheet1!$A$4:$B$37,2,FALSE)</f>
        <v>13590300</v>
      </c>
      <c r="K203">
        <v>0</v>
      </c>
      <c r="L203" s="4">
        <v>2.1153550000000001</v>
      </c>
      <c r="M203" s="4">
        <v>99.545096999999998</v>
      </c>
      <c r="N203" s="13">
        <v>5.22</v>
      </c>
      <c r="P203"/>
      <c r="Q203" s="12"/>
      <c r="R203" s="12"/>
    </row>
    <row r="204" spans="1:18" x14ac:dyDescent="0.2">
      <c r="A204">
        <v>2</v>
      </c>
      <c r="B204" t="s">
        <v>33</v>
      </c>
      <c r="C204">
        <v>2019</v>
      </c>
      <c r="D204">
        <v>11</v>
      </c>
      <c r="E204" s="4">
        <v>0</v>
      </c>
      <c r="F204" s="9">
        <v>136.62700000000001</v>
      </c>
      <c r="G204" s="6">
        <v>13104</v>
      </c>
      <c r="H204" s="9">
        <f t="shared" si="3"/>
        <v>136.62700000000001</v>
      </c>
      <c r="I204" s="6">
        <v>13235</v>
      </c>
      <c r="J204" s="6">
        <f>VLOOKUP(Table1[[#This Row],[Province]],[1]Sheet1!$A$4:$B$37,2,FALSE)</f>
        <v>13590300</v>
      </c>
      <c r="K204">
        <v>0</v>
      </c>
      <c r="L204" s="4">
        <v>2.1153550000000001</v>
      </c>
      <c r="M204" s="4">
        <v>99.545096999999998</v>
      </c>
      <c r="N204" s="13">
        <v>5.22</v>
      </c>
      <c r="P204"/>
      <c r="Q204" s="12"/>
      <c r="R204" s="12"/>
    </row>
    <row r="205" spans="1:18" x14ac:dyDescent="0.2">
      <c r="A205">
        <v>2</v>
      </c>
      <c r="B205" t="s">
        <v>33</v>
      </c>
      <c r="C205">
        <v>2019</v>
      </c>
      <c r="D205">
        <v>12</v>
      </c>
      <c r="E205" s="4">
        <v>0</v>
      </c>
      <c r="F205" s="9">
        <v>170.41</v>
      </c>
      <c r="G205" s="6">
        <v>8565</v>
      </c>
      <c r="H205" s="9">
        <f t="shared" si="3"/>
        <v>170.41</v>
      </c>
      <c r="I205" s="6">
        <v>12963</v>
      </c>
      <c r="J205" s="6">
        <f>VLOOKUP(Table1[[#This Row],[Province]],[1]Sheet1!$A$4:$B$37,2,FALSE)</f>
        <v>13590300</v>
      </c>
      <c r="K205">
        <v>1</v>
      </c>
      <c r="L205" s="4">
        <v>2.1153550000000001</v>
      </c>
      <c r="M205" s="4">
        <v>99.545096999999998</v>
      </c>
      <c r="N205" s="13">
        <v>5.22</v>
      </c>
      <c r="P205"/>
      <c r="Q205" s="12"/>
      <c r="R205" s="12"/>
    </row>
    <row r="206" spans="1:18" x14ac:dyDescent="0.2">
      <c r="A206">
        <v>2</v>
      </c>
      <c r="B206" t="s">
        <v>33</v>
      </c>
      <c r="C206">
        <v>2020</v>
      </c>
      <c r="D206">
        <v>1</v>
      </c>
      <c r="E206" s="4">
        <v>0</v>
      </c>
      <c r="F206" s="9">
        <v>93.834999999999994</v>
      </c>
      <c r="G206" s="6">
        <v>21925</v>
      </c>
      <c r="H206" s="9">
        <f t="shared" si="3"/>
        <v>93.834999999999994</v>
      </c>
      <c r="I206" s="6">
        <v>13383</v>
      </c>
      <c r="J206" s="6">
        <f>VLOOKUP(Table1[[#This Row],[Province]],[1]Sheet1!$A$4:$B$37,2,FALSE)</f>
        <v>13590300</v>
      </c>
      <c r="K206">
        <v>0</v>
      </c>
      <c r="L206" s="4">
        <v>2.1153550000000001</v>
      </c>
      <c r="M206" s="4">
        <v>99.545096999999998</v>
      </c>
      <c r="N206" s="13">
        <v>-1.07</v>
      </c>
      <c r="P206"/>
      <c r="Q206" s="12"/>
      <c r="R206" s="12"/>
    </row>
    <row r="207" spans="1:18" x14ac:dyDescent="0.2">
      <c r="A207">
        <v>2</v>
      </c>
      <c r="B207" t="s">
        <v>33</v>
      </c>
      <c r="C207">
        <v>2020</v>
      </c>
      <c r="D207">
        <v>2</v>
      </c>
      <c r="E207" s="4">
        <v>0</v>
      </c>
      <c r="F207" s="9">
        <v>20.838000000000001</v>
      </c>
      <c r="G207" s="6">
        <v>8424</v>
      </c>
      <c r="H207" s="9">
        <f t="shared" si="3"/>
        <v>20.838000000000001</v>
      </c>
      <c r="I207" s="6">
        <v>13920</v>
      </c>
      <c r="J207" s="6">
        <f>VLOOKUP(Table1[[#This Row],[Province]],[1]Sheet1!$A$4:$B$37,2,FALSE)</f>
        <v>13590300</v>
      </c>
      <c r="K207">
        <v>0</v>
      </c>
      <c r="L207" s="4">
        <v>2.1153550000000001</v>
      </c>
      <c r="M207" s="4">
        <v>99.545096999999998</v>
      </c>
      <c r="N207" s="13">
        <v>-1.07</v>
      </c>
      <c r="P207"/>
      <c r="Q207" s="12"/>
      <c r="R207" s="12"/>
    </row>
    <row r="208" spans="1:18" x14ac:dyDescent="0.2">
      <c r="A208">
        <v>2</v>
      </c>
      <c r="B208" t="s">
        <v>33</v>
      </c>
      <c r="C208">
        <v>2020</v>
      </c>
      <c r="D208">
        <v>3</v>
      </c>
      <c r="E208" s="4">
        <v>2465</v>
      </c>
      <c r="F208" s="9">
        <v>150.34299999999999</v>
      </c>
      <c r="G208" s="6">
        <v>18181</v>
      </c>
      <c r="H208" s="9">
        <f t="shared" si="3"/>
        <v>2615.3429999999998</v>
      </c>
      <c r="I208" s="6">
        <v>15750</v>
      </c>
      <c r="J208" s="6">
        <f>VLOOKUP(Table1[[#This Row],[Province]],[1]Sheet1!$A$4:$B$37,2,FALSE)</f>
        <v>13590300</v>
      </c>
      <c r="K208">
        <v>0</v>
      </c>
      <c r="L208" s="4">
        <v>2.1153550000000001</v>
      </c>
      <c r="M208" s="4">
        <v>99.545096999999998</v>
      </c>
      <c r="N208" s="13">
        <v>-1.07</v>
      </c>
      <c r="P208"/>
      <c r="Q208" s="12"/>
      <c r="R208" s="12"/>
    </row>
    <row r="209" spans="1:18" x14ac:dyDescent="0.2">
      <c r="A209">
        <v>2</v>
      </c>
      <c r="B209" t="s">
        <v>33</v>
      </c>
      <c r="C209">
        <v>2020</v>
      </c>
      <c r="D209">
        <v>4</v>
      </c>
      <c r="E209" s="4">
        <v>5212</v>
      </c>
      <c r="F209" s="9">
        <v>90.070999999999998</v>
      </c>
      <c r="G209" s="6">
        <v>8692</v>
      </c>
      <c r="H209" s="9">
        <f t="shared" si="3"/>
        <v>5302.0709999999999</v>
      </c>
      <c r="I209" s="6">
        <v>16000</v>
      </c>
      <c r="J209" s="6">
        <f>VLOOKUP(Table1[[#This Row],[Province]],[1]Sheet1!$A$4:$B$37,2,FALSE)</f>
        <v>13590300</v>
      </c>
      <c r="K209">
        <v>1</v>
      </c>
      <c r="L209" s="4">
        <v>2.1153550000000001</v>
      </c>
      <c r="M209" s="4">
        <v>99.545096999999998</v>
      </c>
      <c r="N209" s="13">
        <v>-1.07</v>
      </c>
      <c r="P209"/>
      <c r="Q209" s="12"/>
      <c r="R209" s="12"/>
    </row>
    <row r="210" spans="1:18" x14ac:dyDescent="0.2">
      <c r="A210">
        <v>2</v>
      </c>
      <c r="B210" t="s">
        <v>33</v>
      </c>
      <c r="C210">
        <v>2020</v>
      </c>
      <c r="D210">
        <v>5</v>
      </c>
      <c r="E210" s="4">
        <v>4623</v>
      </c>
      <c r="F210" s="9">
        <v>89.296000000000006</v>
      </c>
      <c r="G210" s="6">
        <v>16468</v>
      </c>
      <c r="H210" s="9">
        <f t="shared" si="3"/>
        <v>4712.2960000000003</v>
      </c>
      <c r="I210" s="6">
        <v>16000</v>
      </c>
      <c r="J210" s="6">
        <f>VLOOKUP(Table1[[#This Row],[Province]],[1]Sheet1!$A$4:$B$37,2,FALSE)</f>
        <v>13590300</v>
      </c>
      <c r="K210">
        <v>0</v>
      </c>
      <c r="L210" s="4">
        <v>2.1153550000000001</v>
      </c>
      <c r="M210" s="4">
        <v>99.545096999999998</v>
      </c>
      <c r="N210" s="13">
        <v>-1.07</v>
      </c>
      <c r="P210"/>
      <c r="Q210" s="12"/>
      <c r="R210" s="12"/>
    </row>
    <row r="211" spans="1:18" x14ac:dyDescent="0.2">
      <c r="A211">
        <v>2</v>
      </c>
      <c r="B211" t="s">
        <v>33</v>
      </c>
      <c r="C211">
        <v>2020</v>
      </c>
      <c r="D211">
        <v>6</v>
      </c>
      <c r="E211" s="4">
        <v>2017</v>
      </c>
      <c r="F211" s="9">
        <v>33.387999999999998</v>
      </c>
      <c r="G211" s="6">
        <v>11885</v>
      </c>
      <c r="H211" s="9">
        <f t="shared" si="3"/>
        <v>2050.3879999999999</v>
      </c>
      <c r="I211" s="6">
        <v>14893</v>
      </c>
      <c r="J211" s="6">
        <f>VLOOKUP(Table1[[#This Row],[Province]],[1]Sheet1!$A$4:$B$37,2,FALSE)</f>
        <v>13590300</v>
      </c>
      <c r="K211">
        <v>0</v>
      </c>
      <c r="L211" s="4">
        <v>2.1153550000000001</v>
      </c>
      <c r="M211" s="4">
        <v>99.545096999999998</v>
      </c>
      <c r="N211" s="13">
        <v>-1.07</v>
      </c>
      <c r="P211"/>
      <c r="Q211" s="12"/>
      <c r="R211" s="12"/>
    </row>
    <row r="212" spans="1:18" x14ac:dyDescent="0.2">
      <c r="A212">
        <v>2</v>
      </c>
      <c r="B212" t="s">
        <v>33</v>
      </c>
      <c r="C212">
        <v>2020</v>
      </c>
      <c r="D212">
        <v>7</v>
      </c>
      <c r="E212" s="4">
        <v>0</v>
      </c>
      <c r="F212" s="9">
        <v>81.188000000000002</v>
      </c>
      <c r="G212" s="6">
        <v>7035</v>
      </c>
      <c r="H212" s="9">
        <f t="shared" si="3"/>
        <v>81.188000000000002</v>
      </c>
      <c r="I212" s="6">
        <v>12514</v>
      </c>
      <c r="J212" s="6">
        <f>VLOOKUP(Table1[[#This Row],[Province]],[1]Sheet1!$A$4:$B$37,2,FALSE)</f>
        <v>13590300</v>
      </c>
      <c r="K212">
        <v>0</v>
      </c>
      <c r="L212" s="4">
        <v>2.1153550000000001</v>
      </c>
      <c r="M212" s="4">
        <v>99.545096999999998</v>
      </c>
      <c r="N212" s="13">
        <v>-1.07</v>
      </c>
      <c r="P212"/>
      <c r="Q212" s="12"/>
      <c r="R212" s="12"/>
    </row>
    <row r="213" spans="1:18" x14ac:dyDescent="0.2">
      <c r="A213">
        <v>2</v>
      </c>
      <c r="B213" t="s">
        <v>33</v>
      </c>
      <c r="C213">
        <v>2020</v>
      </c>
      <c r="D213">
        <v>8</v>
      </c>
      <c r="E213" s="4">
        <v>0</v>
      </c>
      <c r="F213" s="9">
        <v>102.55200000000001</v>
      </c>
      <c r="G213" s="6">
        <v>6135</v>
      </c>
      <c r="H213" s="9">
        <f t="shared" si="3"/>
        <v>102.55200000000001</v>
      </c>
      <c r="I213" s="6">
        <v>12536</v>
      </c>
      <c r="J213" s="6">
        <f>VLOOKUP(Table1[[#This Row],[Province]],[1]Sheet1!$A$4:$B$37,2,FALSE)</f>
        <v>13590300</v>
      </c>
      <c r="K213">
        <v>0</v>
      </c>
      <c r="L213" s="4">
        <v>2.1153550000000001</v>
      </c>
      <c r="M213" s="4">
        <v>99.545096999999998</v>
      </c>
      <c r="N213" s="13">
        <v>-1.07</v>
      </c>
      <c r="P213"/>
      <c r="Q213" s="12"/>
      <c r="R213" s="12"/>
    </row>
    <row r="214" spans="1:18" x14ac:dyDescent="0.2">
      <c r="A214">
        <v>2</v>
      </c>
      <c r="B214" t="s">
        <v>33</v>
      </c>
      <c r="C214">
        <v>2020</v>
      </c>
      <c r="D214">
        <v>9</v>
      </c>
      <c r="E214" s="4">
        <v>0</v>
      </c>
      <c r="F214" s="9">
        <v>53.296999999999997</v>
      </c>
      <c r="G214" s="6">
        <v>3885</v>
      </c>
      <c r="H214" s="9">
        <f t="shared" si="3"/>
        <v>53.296999999999997</v>
      </c>
      <c r="I214" s="6">
        <v>12500</v>
      </c>
      <c r="J214" s="6">
        <f>VLOOKUP(Table1[[#This Row],[Province]],[1]Sheet1!$A$4:$B$37,2,FALSE)</f>
        <v>13590300</v>
      </c>
      <c r="K214">
        <v>0</v>
      </c>
      <c r="L214" s="4">
        <v>2.1153550000000001</v>
      </c>
      <c r="M214" s="4">
        <v>99.545096999999998</v>
      </c>
      <c r="N214" s="13">
        <v>-1.07</v>
      </c>
      <c r="P214"/>
      <c r="Q214" s="12"/>
      <c r="R214" s="12"/>
    </row>
    <row r="215" spans="1:18" x14ac:dyDescent="0.2">
      <c r="A215">
        <v>2</v>
      </c>
      <c r="B215" t="s">
        <v>33</v>
      </c>
      <c r="C215">
        <v>2020</v>
      </c>
      <c r="D215">
        <v>10</v>
      </c>
      <c r="E215" s="4">
        <v>0</v>
      </c>
      <c r="F215" s="9">
        <v>78.207999999999998</v>
      </c>
      <c r="G215" s="6">
        <v>1206</v>
      </c>
      <c r="H215" s="9">
        <f t="shared" si="3"/>
        <v>78.207999999999998</v>
      </c>
      <c r="I215" s="6">
        <v>12500</v>
      </c>
      <c r="J215" s="6">
        <f>VLOOKUP(Table1[[#This Row],[Province]],[1]Sheet1!$A$4:$B$37,2,FALSE)</f>
        <v>13590300</v>
      </c>
      <c r="K215">
        <v>0</v>
      </c>
      <c r="L215" s="4">
        <v>2.1153550000000001</v>
      </c>
      <c r="M215" s="4">
        <v>99.545096999999998</v>
      </c>
      <c r="N215" s="13">
        <v>-1.07</v>
      </c>
      <c r="P215"/>
      <c r="Q215" s="12"/>
      <c r="R215" s="12"/>
    </row>
    <row r="216" spans="1:18" x14ac:dyDescent="0.2">
      <c r="A216">
        <v>2</v>
      </c>
      <c r="B216" t="s">
        <v>33</v>
      </c>
      <c r="C216">
        <v>2020</v>
      </c>
      <c r="D216">
        <v>11</v>
      </c>
      <c r="E216" s="4">
        <v>0</v>
      </c>
      <c r="F216" s="9">
        <v>123.197</v>
      </c>
      <c r="G216" s="6">
        <v>8107</v>
      </c>
      <c r="H216" s="9">
        <f t="shared" si="3"/>
        <v>123.197</v>
      </c>
      <c r="I216" s="6">
        <v>12521</v>
      </c>
      <c r="J216" s="6">
        <f>VLOOKUP(Table1[[#This Row],[Province]],[1]Sheet1!$A$4:$B$37,2,FALSE)</f>
        <v>13590300</v>
      </c>
      <c r="K216">
        <v>0</v>
      </c>
      <c r="L216" s="4">
        <v>2.1153550000000001</v>
      </c>
      <c r="M216" s="4">
        <v>99.545096999999998</v>
      </c>
      <c r="N216" s="13">
        <v>-1.07</v>
      </c>
      <c r="P216"/>
      <c r="Q216" s="12"/>
      <c r="R216" s="12"/>
    </row>
    <row r="217" spans="1:18" x14ac:dyDescent="0.2">
      <c r="A217">
        <v>2</v>
      </c>
      <c r="B217" t="s">
        <v>33</v>
      </c>
      <c r="C217">
        <v>2020</v>
      </c>
      <c r="D217">
        <v>12</v>
      </c>
      <c r="E217" s="4">
        <v>0</v>
      </c>
      <c r="F217" s="9">
        <v>175.87899999999999</v>
      </c>
      <c r="G217" s="6">
        <v>1796</v>
      </c>
      <c r="H217" s="9">
        <f t="shared" si="3"/>
        <v>175.87899999999999</v>
      </c>
      <c r="I217" s="6">
        <v>12483</v>
      </c>
      <c r="J217" s="6">
        <f>VLOOKUP(Table1[[#This Row],[Province]],[1]Sheet1!$A$4:$B$37,2,FALSE)</f>
        <v>13590300</v>
      </c>
      <c r="K217">
        <v>1</v>
      </c>
      <c r="L217" s="4">
        <v>2.1153550000000001</v>
      </c>
      <c r="M217" s="4">
        <v>99.545096999999998</v>
      </c>
      <c r="N217" s="13">
        <v>-1.07</v>
      </c>
      <c r="P217"/>
      <c r="Q217" s="12"/>
      <c r="R217" s="12"/>
    </row>
    <row r="218" spans="1:18" x14ac:dyDescent="0.2">
      <c r="A218">
        <v>2</v>
      </c>
      <c r="B218" t="s">
        <v>33</v>
      </c>
      <c r="C218">
        <v>2021</v>
      </c>
      <c r="D218">
        <v>1</v>
      </c>
      <c r="E218" s="4">
        <v>5468</v>
      </c>
      <c r="F218" s="9">
        <v>235.595</v>
      </c>
      <c r="G218" s="6">
        <v>3584</v>
      </c>
      <c r="H218" s="9">
        <f t="shared" si="3"/>
        <v>5703.5950000000003</v>
      </c>
      <c r="I218" s="6">
        <v>12500</v>
      </c>
      <c r="J218" s="6">
        <f>VLOOKUP(Table1[[#This Row],[Province]],[1]Sheet1!$A$4:$B$37,2,FALSE)</f>
        <v>13590300</v>
      </c>
      <c r="K218">
        <v>0</v>
      </c>
      <c r="L218" s="4">
        <v>2.1153550000000001</v>
      </c>
      <c r="M218" s="4">
        <v>99.545096999999998</v>
      </c>
      <c r="N218" s="13">
        <v>2.61</v>
      </c>
      <c r="P218"/>
      <c r="Q218" s="12"/>
      <c r="R218" s="12"/>
    </row>
    <row r="219" spans="1:18" x14ac:dyDescent="0.2">
      <c r="A219">
        <v>2</v>
      </c>
      <c r="B219" t="s">
        <v>33</v>
      </c>
      <c r="C219">
        <v>2021</v>
      </c>
      <c r="D219">
        <v>2</v>
      </c>
      <c r="E219" s="4">
        <v>8999</v>
      </c>
      <c r="F219" s="9">
        <v>244.721</v>
      </c>
      <c r="G219" s="6">
        <v>11090</v>
      </c>
      <c r="H219" s="9">
        <f t="shared" si="3"/>
        <v>9243.7209999999995</v>
      </c>
      <c r="I219" s="6">
        <v>12500</v>
      </c>
      <c r="J219" s="6">
        <f>VLOOKUP(Table1[[#This Row],[Province]],[1]Sheet1!$A$4:$B$37,2,FALSE)</f>
        <v>13590300</v>
      </c>
      <c r="K219">
        <v>0</v>
      </c>
      <c r="L219" s="4">
        <v>2.1153550000000001</v>
      </c>
      <c r="M219" s="4">
        <v>99.545096999999998</v>
      </c>
      <c r="N219" s="13">
        <v>2.61</v>
      </c>
      <c r="P219"/>
      <c r="Q219" s="12"/>
      <c r="R219" s="12"/>
    </row>
    <row r="220" spans="1:18" x14ac:dyDescent="0.2">
      <c r="A220">
        <v>2</v>
      </c>
      <c r="B220" t="s">
        <v>33</v>
      </c>
      <c r="C220">
        <v>2021</v>
      </c>
      <c r="D220">
        <v>3</v>
      </c>
      <c r="E220" s="4">
        <v>6052</v>
      </c>
      <c r="F220" s="9">
        <v>77.477999999999994</v>
      </c>
      <c r="G220" s="6">
        <v>5823</v>
      </c>
      <c r="H220" s="9">
        <f t="shared" si="3"/>
        <v>6129.4780000000001</v>
      </c>
      <c r="I220" s="6">
        <v>12500</v>
      </c>
      <c r="J220" s="6">
        <f>VLOOKUP(Table1[[#This Row],[Province]],[1]Sheet1!$A$4:$B$37,2,FALSE)</f>
        <v>13590300</v>
      </c>
      <c r="K220">
        <v>0</v>
      </c>
      <c r="L220" s="4">
        <v>2.1153550000000001</v>
      </c>
      <c r="M220" s="4">
        <v>99.545096999999998</v>
      </c>
      <c r="N220" s="13">
        <v>2.61</v>
      </c>
      <c r="P220"/>
      <c r="Q220" s="12"/>
      <c r="R220" s="12"/>
    </row>
    <row r="221" spans="1:18" x14ac:dyDescent="0.2">
      <c r="A221">
        <v>2</v>
      </c>
      <c r="B221" t="s">
        <v>33</v>
      </c>
      <c r="C221">
        <v>2021</v>
      </c>
      <c r="D221">
        <v>4</v>
      </c>
      <c r="E221" s="4">
        <v>0</v>
      </c>
      <c r="F221" s="9">
        <v>139.999</v>
      </c>
      <c r="G221" s="6">
        <v>19343</v>
      </c>
      <c r="H221" s="9">
        <f t="shared" si="3"/>
        <v>139.999</v>
      </c>
      <c r="I221" s="6">
        <v>13575</v>
      </c>
      <c r="J221" s="6">
        <f>VLOOKUP(Table1[[#This Row],[Province]],[1]Sheet1!$A$4:$B$37,2,FALSE)</f>
        <v>13590300</v>
      </c>
      <c r="K221">
        <v>1</v>
      </c>
      <c r="L221" s="4">
        <v>2.1153550000000001</v>
      </c>
      <c r="M221" s="4">
        <v>99.545096999999998</v>
      </c>
      <c r="N221" s="13">
        <v>2.61</v>
      </c>
      <c r="P221"/>
      <c r="Q221" s="12"/>
      <c r="R221" s="12"/>
    </row>
    <row r="222" spans="1:18" x14ac:dyDescent="0.2">
      <c r="A222">
        <v>2</v>
      </c>
      <c r="B222" t="s">
        <v>33</v>
      </c>
      <c r="C222">
        <v>2021</v>
      </c>
      <c r="D222">
        <v>5</v>
      </c>
      <c r="E222" s="4">
        <v>0</v>
      </c>
      <c r="F222" s="9">
        <v>75.685000000000002</v>
      </c>
      <c r="G222" s="6">
        <v>10758</v>
      </c>
      <c r="H222" s="9">
        <f t="shared" si="3"/>
        <v>75.685000000000002</v>
      </c>
      <c r="I222" s="6">
        <v>13570</v>
      </c>
      <c r="J222" s="6">
        <f>VLOOKUP(Table1[[#This Row],[Province]],[1]Sheet1!$A$4:$B$37,2,FALSE)</f>
        <v>13590300</v>
      </c>
      <c r="K222">
        <v>0</v>
      </c>
      <c r="L222" s="4">
        <v>2.1153550000000001</v>
      </c>
      <c r="M222" s="4">
        <v>99.545096999999998</v>
      </c>
      <c r="N222" s="13">
        <v>2.61</v>
      </c>
      <c r="P222"/>
      <c r="Q222" s="12"/>
      <c r="R222" s="12"/>
    </row>
    <row r="223" spans="1:18" x14ac:dyDescent="0.2">
      <c r="A223">
        <v>2</v>
      </c>
      <c r="B223" t="s">
        <v>33</v>
      </c>
      <c r="C223">
        <v>2021</v>
      </c>
      <c r="D223">
        <v>6</v>
      </c>
      <c r="E223" s="4">
        <v>0</v>
      </c>
      <c r="F223" s="9">
        <v>38.033000000000001</v>
      </c>
      <c r="G223" s="6">
        <v>14889</v>
      </c>
      <c r="H223" s="9">
        <f t="shared" si="3"/>
        <v>38.033000000000001</v>
      </c>
      <c r="I223" s="6">
        <v>13688</v>
      </c>
      <c r="J223" s="6">
        <f>VLOOKUP(Table1[[#This Row],[Province]],[1]Sheet1!$A$4:$B$37,2,FALSE)</f>
        <v>13590300</v>
      </c>
      <c r="K223">
        <v>0</v>
      </c>
      <c r="L223" s="4">
        <v>2.1153550000000001</v>
      </c>
      <c r="M223" s="4">
        <v>99.545096999999998</v>
      </c>
      <c r="N223" s="13">
        <v>2.61</v>
      </c>
      <c r="P223"/>
      <c r="Q223" s="12"/>
      <c r="R223" s="12"/>
    </row>
    <row r="224" spans="1:18" x14ac:dyDescent="0.2">
      <c r="A224">
        <v>2</v>
      </c>
      <c r="B224" t="s">
        <v>33</v>
      </c>
      <c r="C224">
        <v>2021</v>
      </c>
      <c r="D224">
        <v>7</v>
      </c>
      <c r="E224" s="4">
        <v>0</v>
      </c>
      <c r="F224" s="9">
        <v>112.161</v>
      </c>
      <c r="G224" s="6">
        <v>19339</v>
      </c>
      <c r="H224" s="9">
        <f t="shared" si="3"/>
        <v>112.161</v>
      </c>
      <c r="I224" s="6">
        <v>13563</v>
      </c>
      <c r="J224" s="6">
        <f>VLOOKUP(Table1[[#This Row],[Province]],[1]Sheet1!$A$4:$B$37,2,FALSE)</f>
        <v>13590300</v>
      </c>
      <c r="K224">
        <v>0</v>
      </c>
      <c r="L224" s="4">
        <v>2.1153550000000001</v>
      </c>
      <c r="M224" s="4">
        <v>99.545096999999998</v>
      </c>
      <c r="N224" s="13">
        <v>2.61</v>
      </c>
      <c r="P224"/>
      <c r="Q224" s="12"/>
      <c r="R224" s="12"/>
    </row>
    <row r="225" spans="1:18" x14ac:dyDescent="0.2">
      <c r="A225">
        <v>2</v>
      </c>
      <c r="B225" t="s">
        <v>33</v>
      </c>
      <c r="C225">
        <v>2021</v>
      </c>
      <c r="D225">
        <v>8</v>
      </c>
      <c r="E225" s="4">
        <v>0</v>
      </c>
      <c r="F225" s="9">
        <v>91.061000000000007</v>
      </c>
      <c r="G225" s="6">
        <v>15874</v>
      </c>
      <c r="H225" s="9">
        <f t="shared" si="3"/>
        <v>91.061000000000007</v>
      </c>
      <c r="I225" s="6">
        <v>13470</v>
      </c>
      <c r="J225" s="6">
        <f>VLOOKUP(Table1[[#This Row],[Province]],[1]Sheet1!$A$4:$B$37,2,FALSE)</f>
        <v>13590300</v>
      </c>
      <c r="K225">
        <v>0</v>
      </c>
      <c r="L225" s="4">
        <v>2.1153550000000001</v>
      </c>
      <c r="M225" s="4">
        <v>99.545096999999998</v>
      </c>
      <c r="N225" s="13">
        <v>2.61</v>
      </c>
      <c r="P225"/>
      <c r="Q225" s="12"/>
      <c r="R225" s="12"/>
    </row>
    <row r="226" spans="1:18" x14ac:dyDescent="0.2">
      <c r="A226">
        <v>2</v>
      </c>
      <c r="B226" t="s">
        <v>33</v>
      </c>
      <c r="C226">
        <v>2021</v>
      </c>
      <c r="D226">
        <v>9</v>
      </c>
      <c r="E226" s="4">
        <v>0</v>
      </c>
      <c r="F226" s="9">
        <v>7.8250000000000002</v>
      </c>
      <c r="G226" s="6">
        <v>17511</v>
      </c>
      <c r="H226" s="9">
        <f t="shared" si="3"/>
        <v>7.8250000000000002</v>
      </c>
      <c r="I226" s="6">
        <v>13477</v>
      </c>
      <c r="J226" s="6">
        <f>VLOOKUP(Table1[[#This Row],[Province]],[1]Sheet1!$A$4:$B$37,2,FALSE)</f>
        <v>13590300</v>
      </c>
      <c r="K226">
        <v>0</v>
      </c>
      <c r="L226" s="4">
        <v>2.1153550000000001</v>
      </c>
      <c r="M226" s="4">
        <v>99.545096999999998</v>
      </c>
      <c r="N226" s="13">
        <v>2.61</v>
      </c>
      <c r="P226"/>
      <c r="Q226" s="12"/>
      <c r="R226" s="12"/>
    </row>
    <row r="227" spans="1:18" x14ac:dyDescent="0.2">
      <c r="A227">
        <v>2</v>
      </c>
      <c r="B227" t="s">
        <v>33</v>
      </c>
      <c r="C227">
        <v>2021</v>
      </c>
      <c r="D227">
        <v>10</v>
      </c>
      <c r="E227" s="4">
        <v>0</v>
      </c>
      <c r="F227" s="9">
        <v>111.976</v>
      </c>
      <c r="G227" s="6">
        <v>16321</v>
      </c>
      <c r="H227" s="9">
        <f t="shared" si="3"/>
        <v>111.976</v>
      </c>
      <c r="I227" s="6">
        <v>13428</v>
      </c>
      <c r="J227" s="6">
        <f>VLOOKUP(Table1[[#This Row],[Province]],[1]Sheet1!$A$4:$B$37,2,FALSE)</f>
        <v>13590300</v>
      </c>
      <c r="K227">
        <v>0</v>
      </c>
      <c r="L227" s="4">
        <v>2.1153550000000001</v>
      </c>
      <c r="M227" s="4">
        <v>99.545096999999998</v>
      </c>
      <c r="N227" s="13">
        <v>2.61</v>
      </c>
      <c r="P227"/>
      <c r="Q227" s="12"/>
      <c r="R227" s="12"/>
    </row>
    <row r="228" spans="1:18" x14ac:dyDescent="0.2">
      <c r="A228">
        <v>2</v>
      </c>
      <c r="B228" t="s">
        <v>33</v>
      </c>
      <c r="C228">
        <v>2021</v>
      </c>
      <c r="D228">
        <v>11</v>
      </c>
      <c r="E228" s="4">
        <v>0</v>
      </c>
      <c r="F228" s="9">
        <v>165.321</v>
      </c>
      <c r="G228" s="6">
        <v>18056</v>
      </c>
      <c r="H228" s="9">
        <f t="shared" si="3"/>
        <v>165.321</v>
      </c>
      <c r="I228" s="6">
        <v>13420</v>
      </c>
      <c r="J228" s="6">
        <f>VLOOKUP(Table1[[#This Row],[Province]],[1]Sheet1!$A$4:$B$37,2,FALSE)</f>
        <v>13590300</v>
      </c>
      <c r="K228">
        <v>0</v>
      </c>
      <c r="L228" s="4">
        <v>2.1153550000000001</v>
      </c>
      <c r="M228" s="4">
        <v>99.545096999999998</v>
      </c>
      <c r="N228" s="13">
        <v>2.61</v>
      </c>
      <c r="P228"/>
      <c r="Q228" s="12"/>
      <c r="R228" s="12"/>
    </row>
    <row r="229" spans="1:18" x14ac:dyDescent="0.2">
      <c r="A229">
        <v>2</v>
      </c>
      <c r="B229" t="s">
        <v>33</v>
      </c>
      <c r="C229">
        <v>2021</v>
      </c>
      <c r="D229">
        <v>12</v>
      </c>
      <c r="E229" s="4">
        <v>20519</v>
      </c>
      <c r="F229" s="9">
        <v>104.108</v>
      </c>
      <c r="G229" s="6">
        <v>11766</v>
      </c>
      <c r="H229" s="9">
        <f t="shared" si="3"/>
        <v>20623.108</v>
      </c>
      <c r="I229" s="6">
        <v>13450</v>
      </c>
      <c r="J229" s="6">
        <f>VLOOKUP(Table1[[#This Row],[Province]],[1]Sheet1!$A$4:$B$37,2,FALSE)</f>
        <v>13590300</v>
      </c>
      <c r="K229">
        <v>1</v>
      </c>
      <c r="L229" s="4">
        <v>2.1153550000000001</v>
      </c>
      <c r="M229" s="4">
        <v>99.545096999999998</v>
      </c>
      <c r="N229" s="13">
        <v>2.61</v>
      </c>
      <c r="P229"/>
      <c r="Q229" s="12"/>
      <c r="R229" s="12"/>
    </row>
    <row r="230" spans="1:18" x14ac:dyDescent="0.2">
      <c r="A230">
        <v>2</v>
      </c>
      <c r="B230" t="s">
        <v>33</v>
      </c>
      <c r="C230">
        <v>2022</v>
      </c>
      <c r="D230">
        <v>1</v>
      </c>
      <c r="E230" s="6">
        <v>0</v>
      </c>
      <c r="F230" s="9">
        <v>119.004</v>
      </c>
      <c r="G230" s="6">
        <v>16359</v>
      </c>
      <c r="H230" s="9">
        <f t="shared" si="3"/>
        <v>119.004</v>
      </c>
      <c r="I230" s="6">
        <v>13810</v>
      </c>
      <c r="J230" s="6">
        <f>VLOOKUP(Table1[[#This Row],[Province]],[1]Sheet1!$A$4:$B$37,2,FALSE)</f>
        <v>13590300</v>
      </c>
      <c r="K230">
        <v>0</v>
      </c>
      <c r="L230" s="4">
        <v>2.1153550000000001</v>
      </c>
      <c r="M230" s="4">
        <v>99.545096999999998</v>
      </c>
      <c r="N230" s="13">
        <v>4.7300000000000004</v>
      </c>
      <c r="P230"/>
      <c r="Q230" s="12"/>
      <c r="R230" s="12"/>
    </row>
    <row r="231" spans="1:18" x14ac:dyDescent="0.2">
      <c r="A231">
        <v>2</v>
      </c>
      <c r="B231" t="s">
        <v>33</v>
      </c>
      <c r="C231">
        <v>2022</v>
      </c>
      <c r="D231">
        <v>2</v>
      </c>
      <c r="E231" s="6">
        <v>7290</v>
      </c>
      <c r="F231" s="9">
        <v>47.134999999999998</v>
      </c>
      <c r="G231" s="6">
        <v>13144</v>
      </c>
      <c r="H231" s="9">
        <f t="shared" si="3"/>
        <v>7337.1350000000002</v>
      </c>
      <c r="I231" s="6">
        <v>14050</v>
      </c>
      <c r="J231" s="6">
        <f>VLOOKUP(Table1[[#This Row],[Province]],[1]Sheet1!$A$4:$B$37,2,FALSE)</f>
        <v>13590300</v>
      </c>
      <c r="K231">
        <v>0</v>
      </c>
      <c r="L231" s="4">
        <v>2.1153550000000001</v>
      </c>
      <c r="M231" s="4">
        <v>99.545096999999998</v>
      </c>
      <c r="N231" s="13">
        <v>4.7300000000000004</v>
      </c>
      <c r="P231"/>
      <c r="Q231" s="12"/>
      <c r="R231" s="12"/>
    </row>
    <row r="232" spans="1:18" x14ac:dyDescent="0.2">
      <c r="A232">
        <v>2</v>
      </c>
      <c r="B232" t="s">
        <v>33</v>
      </c>
      <c r="C232">
        <v>2022</v>
      </c>
      <c r="D232">
        <v>3</v>
      </c>
      <c r="E232" s="6">
        <v>8355</v>
      </c>
      <c r="F232" s="9">
        <v>190.845</v>
      </c>
      <c r="G232" s="6">
        <v>15428</v>
      </c>
      <c r="H232" s="9">
        <f t="shared" si="3"/>
        <v>8545.8449999999993</v>
      </c>
      <c r="I232" s="6">
        <v>14300</v>
      </c>
      <c r="J232" s="6">
        <f>VLOOKUP(Table1[[#This Row],[Province]],[1]Sheet1!$A$4:$B$37,2,FALSE)</f>
        <v>13590300</v>
      </c>
      <c r="K232">
        <v>0</v>
      </c>
      <c r="L232" s="4">
        <v>2.1153550000000001</v>
      </c>
      <c r="M232" s="4">
        <v>99.545096999999998</v>
      </c>
      <c r="N232" s="13">
        <v>4.7300000000000004</v>
      </c>
      <c r="P232"/>
      <c r="Q232" s="12"/>
      <c r="R232" s="12"/>
    </row>
    <row r="233" spans="1:18" x14ac:dyDescent="0.2">
      <c r="A233">
        <v>2</v>
      </c>
      <c r="B233" t="s">
        <v>33</v>
      </c>
      <c r="C233">
        <v>2022</v>
      </c>
      <c r="D233">
        <v>4</v>
      </c>
      <c r="E233" s="6">
        <v>5821</v>
      </c>
      <c r="F233" s="9">
        <v>138.41399999999999</v>
      </c>
      <c r="G233" s="6">
        <v>12558</v>
      </c>
      <c r="H233" s="9">
        <f t="shared" si="3"/>
        <v>5959.4139999999998</v>
      </c>
      <c r="I233" s="6">
        <v>14663</v>
      </c>
      <c r="J233" s="6">
        <f>VLOOKUP(Table1[[#This Row],[Province]],[1]Sheet1!$A$4:$B$37,2,FALSE)</f>
        <v>13590300</v>
      </c>
      <c r="K233">
        <v>1</v>
      </c>
      <c r="L233" s="4">
        <v>2.1153550000000001</v>
      </c>
      <c r="M233" s="4">
        <v>99.545096999999998</v>
      </c>
      <c r="N233" s="13">
        <v>4.7300000000000004</v>
      </c>
      <c r="P233"/>
      <c r="Q233" s="12"/>
      <c r="R233" s="12"/>
    </row>
    <row r="234" spans="1:18" x14ac:dyDescent="0.2">
      <c r="A234">
        <v>2</v>
      </c>
      <c r="B234" t="s">
        <v>33</v>
      </c>
      <c r="C234">
        <v>2022</v>
      </c>
      <c r="D234">
        <v>5</v>
      </c>
      <c r="E234" s="6">
        <v>2020</v>
      </c>
      <c r="F234" s="9">
        <v>85.433000000000007</v>
      </c>
      <c r="G234" s="6">
        <v>12815</v>
      </c>
      <c r="H234" s="9">
        <f t="shared" si="3"/>
        <v>2105.433</v>
      </c>
      <c r="I234" s="6">
        <v>14700</v>
      </c>
      <c r="J234" s="6">
        <f>VLOOKUP(Table1[[#This Row],[Province]],[1]Sheet1!$A$4:$B$37,2,FALSE)</f>
        <v>13590300</v>
      </c>
      <c r="K234">
        <v>0</v>
      </c>
      <c r="L234" s="4">
        <v>2.1153550000000001</v>
      </c>
      <c r="M234" s="4">
        <v>99.545096999999998</v>
      </c>
      <c r="N234" s="13">
        <v>4.7300000000000004</v>
      </c>
      <c r="P234"/>
      <c r="Q234" s="12"/>
      <c r="R234" s="12"/>
    </row>
    <row r="235" spans="1:18" x14ac:dyDescent="0.2">
      <c r="A235">
        <v>2</v>
      </c>
      <c r="B235" t="s">
        <v>33</v>
      </c>
      <c r="C235">
        <v>2022</v>
      </c>
      <c r="D235">
        <v>6</v>
      </c>
      <c r="E235" s="6">
        <v>2243</v>
      </c>
      <c r="F235" s="9">
        <v>58.610999999999997</v>
      </c>
      <c r="G235" s="6">
        <v>14829</v>
      </c>
      <c r="H235" s="9">
        <f t="shared" si="3"/>
        <v>2301.6109999999999</v>
      </c>
      <c r="I235" s="6">
        <v>14655</v>
      </c>
      <c r="J235" s="6">
        <f>VLOOKUP(Table1[[#This Row],[Province]],[1]Sheet1!$A$4:$B$37,2,FALSE)</f>
        <v>13590300</v>
      </c>
      <c r="K235">
        <v>0</v>
      </c>
      <c r="L235" s="4">
        <v>2.1153550000000001</v>
      </c>
      <c r="M235" s="4">
        <v>99.545096999999998</v>
      </c>
      <c r="N235" s="13">
        <v>4.7300000000000004</v>
      </c>
      <c r="P235"/>
      <c r="Q235" s="12"/>
      <c r="R235" s="12"/>
    </row>
    <row r="236" spans="1:18" x14ac:dyDescent="0.2">
      <c r="A236">
        <v>2</v>
      </c>
      <c r="B236" t="s">
        <v>33</v>
      </c>
      <c r="C236">
        <v>2022</v>
      </c>
      <c r="D236">
        <v>7</v>
      </c>
      <c r="E236" s="6">
        <v>1916</v>
      </c>
      <c r="F236" s="9">
        <v>83.679000000000002</v>
      </c>
      <c r="G236" s="6">
        <v>14073</v>
      </c>
      <c r="H236" s="9">
        <f t="shared" si="3"/>
        <v>1999.6790000000001</v>
      </c>
      <c r="I236" s="6">
        <v>14593</v>
      </c>
      <c r="J236" s="6">
        <f>VLOOKUP(Table1[[#This Row],[Province]],[1]Sheet1!$A$4:$B$37,2,FALSE)</f>
        <v>13590300</v>
      </c>
      <c r="K236">
        <v>0</v>
      </c>
      <c r="L236" s="4">
        <v>2.1153550000000001</v>
      </c>
      <c r="M236" s="4">
        <v>99.545096999999998</v>
      </c>
      <c r="N236" s="13">
        <v>4.7300000000000004</v>
      </c>
      <c r="P236"/>
      <c r="Q236" s="12"/>
      <c r="R236" s="12"/>
    </row>
    <row r="237" spans="1:18" x14ac:dyDescent="0.2">
      <c r="A237">
        <v>2</v>
      </c>
      <c r="B237" t="s">
        <v>33</v>
      </c>
      <c r="C237">
        <v>2022</v>
      </c>
      <c r="D237">
        <v>8</v>
      </c>
      <c r="E237" s="6">
        <v>0</v>
      </c>
      <c r="F237" s="9">
        <v>93.882999999999996</v>
      </c>
      <c r="G237" s="6">
        <v>22260</v>
      </c>
      <c r="H237" s="9">
        <f t="shared" si="3"/>
        <v>93.882999999999996</v>
      </c>
      <c r="I237" s="6">
        <v>14577</v>
      </c>
      <c r="J237" s="6">
        <f>VLOOKUP(Table1[[#This Row],[Province]],[1]Sheet1!$A$4:$B$37,2,FALSE)</f>
        <v>13590300</v>
      </c>
      <c r="K237">
        <v>0</v>
      </c>
      <c r="L237" s="4">
        <v>2.1153550000000001</v>
      </c>
      <c r="M237" s="4">
        <v>99.545096999999998</v>
      </c>
      <c r="N237" s="13">
        <v>4.7300000000000004</v>
      </c>
      <c r="P237"/>
      <c r="Q237" s="12"/>
      <c r="R237" s="12"/>
    </row>
    <row r="238" spans="1:18" x14ac:dyDescent="0.2">
      <c r="A238">
        <v>2</v>
      </c>
      <c r="B238" t="s">
        <v>33</v>
      </c>
      <c r="C238">
        <v>2022</v>
      </c>
      <c r="D238">
        <v>9</v>
      </c>
      <c r="E238" s="6">
        <v>0</v>
      </c>
      <c r="F238" s="9">
        <v>168.232</v>
      </c>
      <c r="G238" s="6">
        <v>9004</v>
      </c>
      <c r="H238" s="9">
        <f t="shared" si="3"/>
        <v>168.232</v>
      </c>
      <c r="I238" s="6">
        <v>13852</v>
      </c>
      <c r="J238" s="6">
        <f>VLOOKUP(Table1[[#This Row],[Province]],[1]Sheet1!$A$4:$B$37,2,FALSE)</f>
        <v>13590300</v>
      </c>
      <c r="K238">
        <v>0</v>
      </c>
      <c r="L238" s="4">
        <v>2.1153550000000001</v>
      </c>
      <c r="M238" s="4">
        <v>99.545096999999998</v>
      </c>
      <c r="N238" s="13">
        <v>4.7300000000000004</v>
      </c>
      <c r="P238"/>
      <c r="Q238" s="12"/>
      <c r="R238" s="12"/>
    </row>
    <row r="239" spans="1:18" x14ac:dyDescent="0.2">
      <c r="A239">
        <v>2</v>
      </c>
      <c r="B239" t="s">
        <v>33</v>
      </c>
      <c r="C239">
        <v>2022</v>
      </c>
      <c r="D239">
        <v>10</v>
      </c>
      <c r="E239" s="6">
        <v>0</v>
      </c>
      <c r="F239" s="9">
        <v>104.471</v>
      </c>
      <c r="G239" s="6">
        <v>13481</v>
      </c>
      <c r="H239" s="9">
        <f t="shared" si="3"/>
        <v>104.471</v>
      </c>
      <c r="I239" s="6">
        <v>13689</v>
      </c>
      <c r="J239" s="6">
        <f>VLOOKUP(Table1[[#This Row],[Province]],[1]Sheet1!$A$4:$B$37,2,FALSE)</f>
        <v>13590300</v>
      </c>
      <c r="K239">
        <v>0</v>
      </c>
      <c r="L239" s="4">
        <v>2.1153550000000001</v>
      </c>
      <c r="M239" s="4">
        <v>99.545096999999998</v>
      </c>
      <c r="N239" s="13">
        <v>4.7300000000000004</v>
      </c>
      <c r="P239"/>
      <c r="Q239" s="12"/>
      <c r="R239" s="12"/>
    </row>
    <row r="240" spans="1:18" x14ac:dyDescent="0.2">
      <c r="A240">
        <v>2</v>
      </c>
      <c r="B240" t="s">
        <v>33</v>
      </c>
      <c r="C240">
        <v>2022</v>
      </c>
      <c r="D240">
        <v>11</v>
      </c>
      <c r="E240" s="6">
        <v>0</v>
      </c>
      <c r="F240" s="9">
        <v>109.535</v>
      </c>
      <c r="G240" s="6">
        <v>15700</v>
      </c>
      <c r="H240" s="9">
        <f t="shared" si="3"/>
        <v>109.535</v>
      </c>
      <c r="I240" s="6">
        <v>14307</v>
      </c>
      <c r="J240" s="6">
        <f>VLOOKUP(Table1[[#This Row],[Province]],[1]Sheet1!$A$4:$B$37,2,FALSE)</f>
        <v>13590300</v>
      </c>
      <c r="K240">
        <v>0</v>
      </c>
      <c r="L240" s="4">
        <v>2.1153550000000001</v>
      </c>
      <c r="M240" s="4">
        <v>99.545096999999998</v>
      </c>
      <c r="N240" s="13">
        <v>4.7300000000000004</v>
      </c>
      <c r="P240"/>
      <c r="Q240" s="12"/>
      <c r="R240" s="12"/>
    </row>
    <row r="241" spans="1:18" x14ac:dyDescent="0.2">
      <c r="A241">
        <v>2</v>
      </c>
      <c r="B241" t="s">
        <v>33</v>
      </c>
      <c r="C241">
        <v>2022</v>
      </c>
      <c r="D241">
        <v>12</v>
      </c>
      <c r="E241" s="6">
        <v>0</v>
      </c>
      <c r="F241" s="9">
        <v>124.77800000000001</v>
      </c>
      <c r="G241" s="6">
        <v>13744</v>
      </c>
      <c r="H241" s="9">
        <f t="shared" si="3"/>
        <v>124.77800000000001</v>
      </c>
      <c r="I241" s="6">
        <v>14420</v>
      </c>
      <c r="J241" s="6">
        <f>VLOOKUP(Table1[[#This Row],[Province]],[1]Sheet1!$A$4:$B$37,2,FALSE)</f>
        <v>13590300</v>
      </c>
      <c r="K241">
        <v>1</v>
      </c>
      <c r="L241" s="4">
        <v>2.1153550000000001</v>
      </c>
      <c r="M241" s="4">
        <v>99.545096999999998</v>
      </c>
      <c r="N241" s="13">
        <v>4.7300000000000004</v>
      </c>
      <c r="P241"/>
      <c r="Q241" s="12"/>
      <c r="R241" s="12"/>
    </row>
    <row r="242" spans="1:18" x14ac:dyDescent="0.2">
      <c r="A242">
        <v>3</v>
      </c>
      <c r="B242" t="s">
        <v>31</v>
      </c>
      <c r="C242">
        <v>2013</v>
      </c>
      <c r="D242">
        <v>1</v>
      </c>
      <c r="E242" s="4">
        <v>0</v>
      </c>
      <c r="F242" s="9">
        <v>0</v>
      </c>
      <c r="G242" s="6">
        <v>3448</v>
      </c>
      <c r="H242" s="9">
        <f t="shared" si="3"/>
        <v>0</v>
      </c>
      <c r="I242" s="6">
        <v>12500</v>
      </c>
      <c r="J242" s="6">
        <f>VLOOKUP(Table1[[#This Row],[Province]],[1]Sheet1!$A$4:$B$37,2,FALSE)</f>
        <v>5066500</v>
      </c>
      <c r="K242">
        <v>0</v>
      </c>
      <c r="L242" s="4">
        <v>0.73994000000000004</v>
      </c>
      <c r="M242" s="4">
        <v>100.800005</v>
      </c>
      <c r="N242" s="6"/>
      <c r="P242"/>
      <c r="Q242" s="12"/>
      <c r="R242" s="12"/>
    </row>
    <row r="243" spans="1:18" x14ac:dyDescent="0.2">
      <c r="A243">
        <v>3</v>
      </c>
      <c r="B243" t="s">
        <v>31</v>
      </c>
      <c r="C243">
        <v>2013</v>
      </c>
      <c r="D243">
        <v>2</v>
      </c>
      <c r="E243" s="4">
        <v>0</v>
      </c>
      <c r="F243" s="9">
        <v>0</v>
      </c>
      <c r="G243" s="6">
        <v>3305</v>
      </c>
      <c r="H243" s="9">
        <f t="shared" si="3"/>
        <v>0</v>
      </c>
      <c r="I243" s="6">
        <v>12500</v>
      </c>
      <c r="J243" s="6">
        <f>VLOOKUP(Table1[[#This Row],[Province]],[1]Sheet1!$A$4:$B$37,2,FALSE)</f>
        <v>5066500</v>
      </c>
      <c r="K243">
        <v>0</v>
      </c>
      <c r="L243" s="4">
        <v>0.73994000000000004</v>
      </c>
      <c r="M243" s="4">
        <v>100.800005</v>
      </c>
      <c r="N243" s="6"/>
      <c r="P243"/>
      <c r="Q243" s="12"/>
      <c r="R243" s="12"/>
    </row>
    <row r="244" spans="1:18" x14ac:dyDescent="0.2">
      <c r="A244">
        <v>3</v>
      </c>
      <c r="B244" t="s">
        <v>31</v>
      </c>
      <c r="C244">
        <v>2013</v>
      </c>
      <c r="D244">
        <v>3</v>
      </c>
      <c r="E244" s="4">
        <v>0</v>
      </c>
      <c r="F244" s="9">
        <v>0</v>
      </c>
      <c r="G244" s="6">
        <v>3407</v>
      </c>
      <c r="H244" s="9">
        <f t="shared" si="3"/>
        <v>0</v>
      </c>
      <c r="I244" s="6">
        <v>12500</v>
      </c>
      <c r="J244" s="6">
        <f>VLOOKUP(Table1[[#This Row],[Province]],[1]Sheet1!$A$4:$B$37,2,FALSE)</f>
        <v>5066500</v>
      </c>
      <c r="K244">
        <v>0</v>
      </c>
      <c r="L244" s="4">
        <v>0.73994000000000004</v>
      </c>
      <c r="M244" s="4">
        <v>100.800005</v>
      </c>
      <c r="N244" s="6"/>
      <c r="P244"/>
      <c r="Q244" s="12"/>
      <c r="R244" s="12"/>
    </row>
    <row r="245" spans="1:18" x14ac:dyDescent="0.2">
      <c r="A245">
        <v>3</v>
      </c>
      <c r="B245" t="s">
        <v>31</v>
      </c>
      <c r="C245">
        <v>2013</v>
      </c>
      <c r="D245">
        <v>4</v>
      </c>
      <c r="E245" s="4">
        <v>0</v>
      </c>
      <c r="F245" s="9">
        <v>0</v>
      </c>
      <c r="G245" s="6">
        <v>4427</v>
      </c>
      <c r="H245" s="9">
        <f t="shared" si="3"/>
        <v>0</v>
      </c>
      <c r="I245" s="6">
        <v>12500</v>
      </c>
      <c r="J245" s="6">
        <f>VLOOKUP(Table1[[#This Row],[Province]],[1]Sheet1!$A$4:$B$37,2,FALSE)</f>
        <v>5066500</v>
      </c>
      <c r="K245">
        <v>0</v>
      </c>
      <c r="L245" s="4">
        <v>0.73994000000000004</v>
      </c>
      <c r="M245" s="4">
        <v>100.800005</v>
      </c>
      <c r="N245" s="6"/>
      <c r="P245"/>
      <c r="Q245" s="12"/>
      <c r="R245" s="12"/>
    </row>
    <row r="246" spans="1:18" x14ac:dyDescent="0.2">
      <c r="A246">
        <v>3</v>
      </c>
      <c r="B246" t="s">
        <v>31</v>
      </c>
      <c r="C246">
        <v>2013</v>
      </c>
      <c r="D246">
        <v>5</v>
      </c>
      <c r="E246" s="4">
        <v>0</v>
      </c>
      <c r="F246" s="9">
        <v>0</v>
      </c>
      <c r="G246" s="6">
        <v>5365</v>
      </c>
      <c r="H246" s="9">
        <f t="shared" si="3"/>
        <v>0</v>
      </c>
      <c r="I246" s="6">
        <v>12500</v>
      </c>
      <c r="J246" s="6">
        <f>VLOOKUP(Table1[[#This Row],[Province]],[1]Sheet1!$A$4:$B$37,2,FALSE)</f>
        <v>5066500</v>
      </c>
      <c r="K246">
        <v>0</v>
      </c>
      <c r="L246" s="4">
        <v>0.73994000000000004</v>
      </c>
      <c r="M246" s="4">
        <v>100.800005</v>
      </c>
      <c r="N246" s="6"/>
      <c r="P246"/>
      <c r="Q246" s="12"/>
      <c r="R246" s="12"/>
    </row>
    <row r="247" spans="1:18" x14ac:dyDescent="0.2">
      <c r="A247">
        <v>3</v>
      </c>
      <c r="B247" t="s">
        <v>31</v>
      </c>
      <c r="C247">
        <v>2013</v>
      </c>
      <c r="D247">
        <v>6</v>
      </c>
      <c r="E247" s="4">
        <v>0</v>
      </c>
      <c r="F247" s="9">
        <v>0</v>
      </c>
      <c r="G247" s="6">
        <v>4468</v>
      </c>
      <c r="H247" s="9">
        <f t="shared" si="3"/>
        <v>0</v>
      </c>
      <c r="I247" s="6">
        <v>12447</v>
      </c>
      <c r="J247" s="6">
        <f>VLOOKUP(Table1[[#This Row],[Province]],[1]Sheet1!$A$4:$B$37,2,FALSE)</f>
        <v>5066500</v>
      </c>
      <c r="K247">
        <v>0</v>
      </c>
      <c r="L247" s="4">
        <v>0.73994000000000004</v>
      </c>
      <c r="M247" s="4">
        <v>100.800005</v>
      </c>
      <c r="N247" s="6"/>
      <c r="P247"/>
      <c r="Q247" s="12"/>
      <c r="R247" s="12"/>
    </row>
    <row r="248" spans="1:18" x14ac:dyDescent="0.2">
      <c r="A248">
        <v>3</v>
      </c>
      <c r="B248" t="s">
        <v>31</v>
      </c>
      <c r="C248">
        <v>2013</v>
      </c>
      <c r="D248">
        <v>7</v>
      </c>
      <c r="E248" s="4">
        <v>0</v>
      </c>
      <c r="F248" s="9">
        <v>0</v>
      </c>
      <c r="G248" s="6">
        <v>7752</v>
      </c>
      <c r="H248" s="9">
        <f t="shared" si="3"/>
        <v>0</v>
      </c>
      <c r="I248" s="6">
        <v>13636</v>
      </c>
      <c r="J248" s="6">
        <f>VLOOKUP(Table1[[#This Row],[Province]],[1]Sheet1!$A$4:$B$37,2,FALSE)</f>
        <v>5066500</v>
      </c>
      <c r="K248">
        <v>1</v>
      </c>
      <c r="L248" s="4">
        <v>0.73994000000000004</v>
      </c>
      <c r="M248" s="4">
        <v>100.800005</v>
      </c>
      <c r="N248" s="6"/>
      <c r="P248"/>
      <c r="Q248" s="12"/>
      <c r="R248" s="12"/>
    </row>
    <row r="249" spans="1:18" x14ac:dyDescent="0.2">
      <c r="A249">
        <v>3</v>
      </c>
      <c r="B249" t="s">
        <v>31</v>
      </c>
      <c r="C249">
        <v>2013</v>
      </c>
      <c r="D249">
        <v>8</v>
      </c>
      <c r="E249" s="4">
        <v>0</v>
      </c>
      <c r="F249" s="9">
        <v>0</v>
      </c>
      <c r="G249" s="6">
        <v>2836</v>
      </c>
      <c r="H249" s="9">
        <f t="shared" si="3"/>
        <v>0</v>
      </c>
      <c r="I249" s="6">
        <v>12500</v>
      </c>
      <c r="J249" s="6">
        <f>VLOOKUP(Table1[[#This Row],[Province]],[1]Sheet1!$A$4:$B$37,2,FALSE)</f>
        <v>5066500</v>
      </c>
      <c r="K249">
        <v>0</v>
      </c>
      <c r="L249" s="4">
        <v>0.73994000000000004</v>
      </c>
      <c r="M249" s="4">
        <v>100.800005</v>
      </c>
      <c r="N249" s="6"/>
      <c r="P249"/>
      <c r="Q249" s="12"/>
      <c r="R249" s="12"/>
    </row>
    <row r="250" spans="1:18" x14ac:dyDescent="0.2">
      <c r="A250">
        <v>3</v>
      </c>
      <c r="B250" t="s">
        <v>31</v>
      </c>
      <c r="C250">
        <v>2013</v>
      </c>
      <c r="D250">
        <v>9</v>
      </c>
      <c r="E250" s="4">
        <v>0</v>
      </c>
      <c r="F250" s="9">
        <v>0</v>
      </c>
      <c r="G250" s="6">
        <v>6059</v>
      </c>
      <c r="H250" s="9">
        <f t="shared" si="3"/>
        <v>0</v>
      </c>
      <c r="I250" s="6">
        <v>12500</v>
      </c>
      <c r="J250" s="6">
        <f>VLOOKUP(Table1[[#This Row],[Province]],[1]Sheet1!$A$4:$B$37,2,FALSE)</f>
        <v>5066500</v>
      </c>
      <c r="K250">
        <v>0</v>
      </c>
      <c r="L250" s="4">
        <v>0.73994000000000004</v>
      </c>
      <c r="M250" s="4">
        <v>100.800005</v>
      </c>
      <c r="N250" s="6"/>
      <c r="P250"/>
      <c r="Q250" s="12"/>
      <c r="R250" s="12"/>
    </row>
    <row r="251" spans="1:18" x14ac:dyDescent="0.2">
      <c r="A251">
        <v>3</v>
      </c>
      <c r="B251" t="s">
        <v>31</v>
      </c>
      <c r="C251">
        <v>2013</v>
      </c>
      <c r="D251">
        <v>10</v>
      </c>
      <c r="E251" s="4">
        <v>0</v>
      </c>
      <c r="F251" s="9">
        <v>0</v>
      </c>
      <c r="G251" s="6">
        <v>4957</v>
      </c>
      <c r="H251" s="9">
        <f t="shared" si="3"/>
        <v>0</v>
      </c>
      <c r="I251" s="6">
        <v>12500</v>
      </c>
      <c r="J251" s="6">
        <f>VLOOKUP(Table1[[#This Row],[Province]],[1]Sheet1!$A$4:$B$37,2,FALSE)</f>
        <v>5066500</v>
      </c>
      <c r="K251">
        <v>0</v>
      </c>
      <c r="L251" s="4">
        <v>0.73994000000000004</v>
      </c>
      <c r="M251" s="4">
        <v>100.800005</v>
      </c>
      <c r="N251" s="6"/>
      <c r="P251"/>
      <c r="Q251" s="12"/>
      <c r="R251" s="12"/>
    </row>
    <row r="252" spans="1:18" x14ac:dyDescent="0.2">
      <c r="A252">
        <v>3</v>
      </c>
      <c r="B252" t="s">
        <v>31</v>
      </c>
      <c r="C252">
        <v>2013</v>
      </c>
      <c r="D252">
        <v>11</v>
      </c>
      <c r="E252" s="4">
        <v>0</v>
      </c>
      <c r="F252" s="9">
        <v>0</v>
      </c>
      <c r="G252" s="6">
        <v>3652</v>
      </c>
      <c r="H252" s="9">
        <f t="shared" si="3"/>
        <v>0</v>
      </c>
      <c r="I252" s="6">
        <v>12375</v>
      </c>
      <c r="J252" s="6">
        <f>VLOOKUP(Table1[[#This Row],[Province]],[1]Sheet1!$A$4:$B$37,2,FALSE)</f>
        <v>5066500</v>
      </c>
      <c r="K252">
        <v>0</v>
      </c>
      <c r="L252" s="4">
        <v>0.73994000000000004</v>
      </c>
      <c r="M252" s="4">
        <v>100.800005</v>
      </c>
      <c r="N252" s="6"/>
      <c r="P252"/>
      <c r="Q252" s="12"/>
      <c r="R252" s="12"/>
    </row>
    <row r="253" spans="1:18" x14ac:dyDescent="0.2">
      <c r="A253">
        <v>3</v>
      </c>
      <c r="B253" t="s">
        <v>31</v>
      </c>
      <c r="C253">
        <v>2013</v>
      </c>
      <c r="D253">
        <v>12</v>
      </c>
      <c r="E253" s="4">
        <v>0</v>
      </c>
      <c r="F253" s="9">
        <v>0</v>
      </c>
      <c r="G253" s="6">
        <v>5080</v>
      </c>
      <c r="H253" s="9">
        <f t="shared" si="3"/>
        <v>0</v>
      </c>
      <c r="I253" s="6">
        <v>11812</v>
      </c>
      <c r="J253" s="6">
        <f>VLOOKUP(Table1[[#This Row],[Province]],[1]Sheet1!$A$4:$B$37,2,FALSE)</f>
        <v>5066500</v>
      </c>
      <c r="K253">
        <v>1</v>
      </c>
      <c r="L253" s="4">
        <v>0.73994000000000004</v>
      </c>
      <c r="M253" s="4">
        <v>100.800005</v>
      </c>
      <c r="N253" s="6"/>
      <c r="P253"/>
      <c r="Q253" s="12"/>
      <c r="R253" s="12"/>
    </row>
    <row r="254" spans="1:18" x14ac:dyDescent="0.2">
      <c r="A254">
        <v>3</v>
      </c>
      <c r="B254" t="s">
        <v>31</v>
      </c>
      <c r="C254">
        <v>2014</v>
      </c>
      <c r="D254">
        <v>1</v>
      </c>
      <c r="E254" s="4">
        <v>0</v>
      </c>
      <c r="F254" s="9">
        <v>0</v>
      </c>
      <c r="G254" s="6">
        <v>3556</v>
      </c>
      <c r="H254" s="9">
        <f t="shared" si="3"/>
        <v>0</v>
      </c>
      <c r="I254" s="6">
        <v>11500</v>
      </c>
      <c r="J254" s="6">
        <f>VLOOKUP(Table1[[#This Row],[Province]],[1]Sheet1!$A$4:$B$37,2,FALSE)</f>
        <v>5066500</v>
      </c>
      <c r="K254">
        <v>0</v>
      </c>
      <c r="L254" s="4">
        <v>0.73994000000000004</v>
      </c>
      <c r="M254" s="4">
        <v>100.800005</v>
      </c>
      <c r="N254" s="6"/>
      <c r="P254"/>
      <c r="Q254" s="12"/>
      <c r="R254" s="12"/>
    </row>
    <row r="255" spans="1:18" x14ac:dyDescent="0.2">
      <c r="A255">
        <v>3</v>
      </c>
      <c r="B255" t="s">
        <v>31</v>
      </c>
      <c r="C255">
        <v>2014</v>
      </c>
      <c r="D255">
        <v>2</v>
      </c>
      <c r="E255" s="4">
        <v>0</v>
      </c>
      <c r="F255" s="9">
        <v>0</v>
      </c>
      <c r="G255" s="6">
        <v>3172</v>
      </c>
      <c r="H255" s="9">
        <f t="shared" si="3"/>
        <v>0</v>
      </c>
      <c r="I255" s="6">
        <v>11258</v>
      </c>
      <c r="J255" s="6">
        <f>VLOOKUP(Table1[[#This Row],[Province]],[1]Sheet1!$A$4:$B$37,2,FALSE)</f>
        <v>5066500</v>
      </c>
      <c r="K255">
        <v>0</v>
      </c>
      <c r="L255" s="4">
        <v>0.73994000000000004</v>
      </c>
      <c r="M255" s="4">
        <v>100.800005</v>
      </c>
      <c r="N255" s="6"/>
      <c r="P255"/>
      <c r="Q255" s="12"/>
      <c r="R255" s="12"/>
    </row>
    <row r="256" spans="1:18" x14ac:dyDescent="0.2">
      <c r="A256">
        <v>3</v>
      </c>
      <c r="B256" t="s">
        <v>31</v>
      </c>
      <c r="C256">
        <v>2014</v>
      </c>
      <c r="D256">
        <v>3</v>
      </c>
      <c r="E256" s="4">
        <v>0</v>
      </c>
      <c r="F256" s="9">
        <v>0</v>
      </c>
      <c r="G256" s="6">
        <v>3562</v>
      </c>
      <c r="H256" s="9">
        <f t="shared" si="3"/>
        <v>0</v>
      </c>
      <c r="I256" s="6">
        <v>11008</v>
      </c>
      <c r="J256" s="6">
        <f>VLOOKUP(Table1[[#This Row],[Province]],[1]Sheet1!$A$4:$B$37,2,FALSE)</f>
        <v>5066500</v>
      </c>
      <c r="K256">
        <v>0</v>
      </c>
      <c r="L256" s="4">
        <v>0.73994000000000004</v>
      </c>
      <c r="M256" s="4">
        <v>100.800005</v>
      </c>
      <c r="N256" s="6"/>
      <c r="P256"/>
      <c r="Q256" s="12"/>
      <c r="R256" s="12"/>
    </row>
    <row r="257" spans="1:18" x14ac:dyDescent="0.2">
      <c r="A257">
        <v>3</v>
      </c>
      <c r="B257" t="s">
        <v>31</v>
      </c>
      <c r="C257">
        <v>2014</v>
      </c>
      <c r="D257">
        <v>4</v>
      </c>
      <c r="E257" s="4">
        <v>0</v>
      </c>
      <c r="F257" s="9">
        <v>0</v>
      </c>
      <c r="G257" s="6">
        <v>4588</v>
      </c>
      <c r="H257" s="9">
        <f t="shared" si="3"/>
        <v>0</v>
      </c>
      <c r="I257" s="6">
        <v>11000</v>
      </c>
      <c r="J257" s="6">
        <f>VLOOKUP(Table1[[#This Row],[Province]],[1]Sheet1!$A$4:$B$37,2,FALSE)</f>
        <v>5066500</v>
      </c>
      <c r="K257">
        <v>0</v>
      </c>
      <c r="L257" s="4">
        <v>0.73994000000000004</v>
      </c>
      <c r="M257" s="4">
        <v>100.800005</v>
      </c>
      <c r="N257" s="6"/>
      <c r="P257"/>
      <c r="Q257" s="12"/>
      <c r="R257" s="12"/>
    </row>
    <row r="258" spans="1:18" x14ac:dyDescent="0.2">
      <c r="A258">
        <v>3</v>
      </c>
      <c r="B258" t="s">
        <v>31</v>
      </c>
      <c r="C258">
        <v>2014</v>
      </c>
      <c r="D258">
        <v>5</v>
      </c>
      <c r="E258" s="4">
        <v>0</v>
      </c>
      <c r="F258" s="9">
        <v>0</v>
      </c>
      <c r="G258" s="6">
        <v>5139</v>
      </c>
      <c r="H258" s="9">
        <f t="shared" ref="H258:H321" si="4">F258+E258</f>
        <v>0</v>
      </c>
      <c r="I258" s="6">
        <v>11019</v>
      </c>
      <c r="J258" s="6">
        <f>VLOOKUP(Table1[[#This Row],[Province]],[1]Sheet1!$A$4:$B$37,2,FALSE)</f>
        <v>5066500</v>
      </c>
      <c r="K258">
        <v>0</v>
      </c>
      <c r="L258" s="4">
        <v>0.73994000000000004</v>
      </c>
      <c r="M258" s="4">
        <v>100.800005</v>
      </c>
      <c r="N258" s="6"/>
      <c r="P258"/>
      <c r="Q258" s="12"/>
      <c r="R258" s="12"/>
    </row>
    <row r="259" spans="1:18" x14ac:dyDescent="0.2">
      <c r="A259">
        <v>3</v>
      </c>
      <c r="B259" t="s">
        <v>31</v>
      </c>
      <c r="C259">
        <v>2014</v>
      </c>
      <c r="D259">
        <v>6</v>
      </c>
      <c r="E259" s="4">
        <v>0</v>
      </c>
      <c r="F259" s="9">
        <v>0</v>
      </c>
      <c r="G259" s="6">
        <v>7313</v>
      </c>
      <c r="H259" s="9">
        <f t="shared" si="4"/>
        <v>0</v>
      </c>
      <c r="I259" s="6">
        <v>10881</v>
      </c>
      <c r="J259" s="6">
        <f>VLOOKUP(Table1[[#This Row],[Province]],[1]Sheet1!$A$4:$B$37,2,FALSE)</f>
        <v>5066500</v>
      </c>
      <c r="K259">
        <v>1</v>
      </c>
      <c r="L259" s="4">
        <v>0.73994000000000004</v>
      </c>
      <c r="M259" s="4">
        <v>100.800005</v>
      </c>
      <c r="N259" s="6"/>
      <c r="P259"/>
      <c r="Q259" s="12"/>
      <c r="R259" s="12"/>
    </row>
    <row r="260" spans="1:18" x14ac:dyDescent="0.2">
      <c r="A260">
        <v>3</v>
      </c>
      <c r="B260" t="s">
        <v>31</v>
      </c>
      <c r="C260">
        <v>2014</v>
      </c>
      <c r="D260">
        <v>7</v>
      </c>
      <c r="E260" s="4">
        <v>0</v>
      </c>
      <c r="F260" s="9">
        <v>0</v>
      </c>
      <c r="G260" s="6">
        <v>4588</v>
      </c>
      <c r="H260" s="9">
        <f t="shared" si="4"/>
        <v>0</v>
      </c>
      <c r="I260" s="6">
        <v>11111</v>
      </c>
      <c r="J260" s="6">
        <f>VLOOKUP(Table1[[#This Row],[Province]],[1]Sheet1!$A$4:$B$37,2,FALSE)</f>
        <v>5066500</v>
      </c>
      <c r="K260">
        <v>0</v>
      </c>
      <c r="L260" s="4">
        <v>0.73994000000000004</v>
      </c>
      <c r="M260" s="4">
        <v>100.800005</v>
      </c>
      <c r="N260" s="6"/>
      <c r="P260"/>
      <c r="Q260" s="12"/>
      <c r="R260" s="12"/>
    </row>
    <row r="261" spans="1:18" x14ac:dyDescent="0.2">
      <c r="A261">
        <v>3</v>
      </c>
      <c r="B261" t="s">
        <v>31</v>
      </c>
      <c r="C261">
        <v>2014</v>
      </c>
      <c r="D261">
        <v>8</v>
      </c>
      <c r="E261" s="4">
        <v>0</v>
      </c>
      <c r="F261" s="9">
        <v>0</v>
      </c>
      <c r="G261" s="6">
        <v>4423</v>
      </c>
      <c r="H261" s="9">
        <f t="shared" si="4"/>
        <v>0</v>
      </c>
      <c r="I261" s="6">
        <v>11058</v>
      </c>
      <c r="J261" s="6">
        <f>VLOOKUP(Table1[[#This Row],[Province]],[1]Sheet1!$A$4:$B$37,2,FALSE)</f>
        <v>5066500</v>
      </c>
      <c r="K261">
        <v>0</v>
      </c>
      <c r="L261" s="4">
        <v>0.73994000000000004</v>
      </c>
      <c r="M261" s="4">
        <v>100.800005</v>
      </c>
      <c r="N261" s="6"/>
      <c r="P261"/>
      <c r="Q261" s="12"/>
      <c r="R261" s="12"/>
    </row>
    <row r="262" spans="1:18" x14ac:dyDescent="0.2">
      <c r="A262">
        <v>3</v>
      </c>
      <c r="B262" t="s">
        <v>31</v>
      </c>
      <c r="C262">
        <v>2014</v>
      </c>
      <c r="D262">
        <v>9</v>
      </c>
      <c r="E262" s="4">
        <v>0</v>
      </c>
      <c r="F262" s="9">
        <v>0</v>
      </c>
      <c r="G262" s="6">
        <v>4451</v>
      </c>
      <c r="H262" s="9">
        <f t="shared" si="4"/>
        <v>0</v>
      </c>
      <c r="I262" s="6">
        <v>10750</v>
      </c>
      <c r="J262" s="6">
        <f>VLOOKUP(Table1[[#This Row],[Province]],[1]Sheet1!$A$4:$B$37,2,FALSE)</f>
        <v>5066500</v>
      </c>
      <c r="K262">
        <v>0</v>
      </c>
      <c r="L262" s="4">
        <v>0.73994000000000004</v>
      </c>
      <c r="M262" s="4">
        <v>100.800005</v>
      </c>
      <c r="N262" s="6"/>
      <c r="P262"/>
      <c r="Q262" s="12"/>
      <c r="R262" s="12"/>
    </row>
    <row r="263" spans="1:18" x14ac:dyDescent="0.2">
      <c r="A263">
        <v>3</v>
      </c>
      <c r="B263" t="s">
        <v>31</v>
      </c>
      <c r="C263">
        <v>2014</v>
      </c>
      <c r="D263">
        <v>10</v>
      </c>
      <c r="E263" s="4">
        <v>0</v>
      </c>
      <c r="F263" s="9">
        <v>0</v>
      </c>
      <c r="G263" s="6">
        <v>6603</v>
      </c>
      <c r="H263" s="9">
        <f t="shared" si="4"/>
        <v>0</v>
      </c>
      <c r="I263" s="6">
        <v>10717</v>
      </c>
      <c r="J263" s="6">
        <f>VLOOKUP(Table1[[#This Row],[Province]],[1]Sheet1!$A$4:$B$37,2,FALSE)</f>
        <v>5066500</v>
      </c>
      <c r="K263">
        <v>0</v>
      </c>
      <c r="L263" s="4">
        <v>0.73994000000000004</v>
      </c>
      <c r="M263" s="4">
        <v>100.800005</v>
      </c>
      <c r="N263" s="6"/>
      <c r="P263"/>
      <c r="Q263" s="12"/>
      <c r="R263" s="12"/>
    </row>
    <row r="264" spans="1:18" x14ac:dyDescent="0.2">
      <c r="A264">
        <v>3</v>
      </c>
      <c r="B264" t="s">
        <v>31</v>
      </c>
      <c r="C264">
        <v>2014</v>
      </c>
      <c r="D264">
        <v>11</v>
      </c>
      <c r="E264" s="4">
        <v>0</v>
      </c>
      <c r="F264" s="9">
        <v>0</v>
      </c>
      <c r="G264" s="6">
        <v>5269</v>
      </c>
      <c r="H264" s="9">
        <f t="shared" si="4"/>
        <v>0</v>
      </c>
      <c r="I264" s="6">
        <v>10433</v>
      </c>
      <c r="J264" s="6">
        <f>VLOOKUP(Table1[[#This Row],[Province]],[1]Sheet1!$A$4:$B$37,2,FALSE)</f>
        <v>5066500</v>
      </c>
      <c r="K264">
        <v>0</v>
      </c>
      <c r="L264" s="4">
        <v>0.73994000000000004</v>
      </c>
      <c r="M264" s="4">
        <v>100.800005</v>
      </c>
      <c r="N264" s="6"/>
      <c r="P264"/>
      <c r="Q264" s="12"/>
      <c r="R264" s="12"/>
    </row>
    <row r="265" spans="1:18" x14ac:dyDescent="0.2">
      <c r="A265">
        <v>3</v>
      </c>
      <c r="B265" t="s">
        <v>31</v>
      </c>
      <c r="C265">
        <v>2014</v>
      </c>
      <c r="D265">
        <v>12</v>
      </c>
      <c r="E265" s="4">
        <v>0</v>
      </c>
      <c r="F265" s="9">
        <v>0</v>
      </c>
      <c r="G265" s="6">
        <v>6144</v>
      </c>
      <c r="H265" s="9">
        <f t="shared" si="4"/>
        <v>0</v>
      </c>
      <c r="I265" s="6">
        <v>10500</v>
      </c>
      <c r="J265" s="6">
        <f>VLOOKUP(Table1[[#This Row],[Province]],[1]Sheet1!$A$4:$B$37,2,FALSE)</f>
        <v>5066500</v>
      </c>
      <c r="K265">
        <v>1</v>
      </c>
      <c r="L265" s="4">
        <v>0.73994000000000004</v>
      </c>
      <c r="M265" s="4">
        <v>100.800005</v>
      </c>
      <c r="N265" s="6"/>
      <c r="P265"/>
      <c r="Q265" s="12"/>
      <c r="R265" s="12"/>
    </row>
    <row r="266" spans="1:18" x14ac:dyDescent="0.2">
      <c r="A266">
        <v>3</v>
      </c>
      <c r="B266" t="s">
        <v>31</v>
      </c>
      <c r="C266">
        <v>2015</v>
      </c>
      <c r="D266">
        <v>1</v>
      </c>
      <c r="E266" s="4">
        <v>0</v>
      </c>
      <c r="F266" s="9">
        <v>0</v>
      </c>
      <c r="G266" s="6">
        <v>3005</v>
      </c>
      <c r="H266" s="9">
        <f t="shared" si="4"/>
        <v>0</v>
      </c>
      <c r="I266" s="6">
        <v>10564</v>
      </c>
      <c r="J266" s="6">
        <f>VLOOKUP(Table1[[#This Row],[Province]],[1]Sheet1!$A$4:$B$37,2,FALSE)</f>
        <v>5066500</v>
      </c>
      <c r="K266">
        <v>0</v>
      </c>
      <c r="L266" s="4">
        <v>0.73994000000000004</v>
      </c>
      <c r="M266" s="4">
        <v>100.800005</v>
      </c>
      <c r="N266" s="6"/>
      <c r="P266"/>
      <c r="Q266" s="12"/>
      <c r="R266" s="12"/>
    </row>
    <row r="267" spans="1:18" x14ac:dyDescent="0.2">
      <c r="A267">
        <v>3</v>
      </c>
      <c r="B267" t="s">
        <v>31</v>
      </c>
      <c r="C267">
        <v>2015</v>
      </c>
      <c r="D267">
        <v>2</v>
      </c>
      <c r="E267" s="4">
        <v>0</v>
      </c>
      <c r="F267" s="9">
        <v>0</v>
      </c>
      <c r="G267" s="6">
        <v>7580</v>
      </c>
      <c r="H267" s="9">
        <f t="shared" si="4"/>
        <v>0</v>
      </c>
      <c r="I267" s="6">
        <v>10518</v>
      </c>
      <c r="J267" s="6">
        <f>VLOOKUP(Table1[[#This Row],[Province]],[1]Sheet1!$A$4:$B$37,2,FALSE)</f>
        <v>5066500</v>
      </c>
      <c r="K267">
        <v>0</v>
      </c>
      <c r="L267" s="4">
        <v>0.73994000000000004</v>
      </c>
      <c r="M267" s="4">
        <v>100.800005</v>
      </c>
      <c r="N267" s="6"/>
      <c r="P267"/>
      <c r="Q267" s="12"/>
      <c r="R267" s="12"/>
    </row>
    <row r="268" spans="1:18" x14ac:dyDescent="0.2">
      <c r="A268">
        <v>3</v>
      </c>
      <c r="B268" t="s">
        <v>31</v>
      </c>
      <c r="C268">
        <v>2015</v>
      </c>
      <c r="D268">
        <v>3</v>
      </c>
      <c r="E268" s="4">
        <v>0</v>
      </c>
      <c r="F268" s="9">
        <v>0</v>
      </c>
      <c r="G268" s="6">
        <v>3439</v>
      </c>
      <c r="H268" s="9">
        <f t="shared" si="4"/>
        <v>0</v>
      </c>
      <c r="I268" s="6">
        <v>10561</v>
      </c>
      <c r="J268" s="6">
        <f>VLOOKUP(Table1[[#This Row],[Province]],[1]Sheet1!$A$4:$B$37,2,FALSE)</f>
        <v>5066500</v>
      </c>
      <c r="K268">
        <v>0</v>
      </c>
      <c r="L268" s="4">
        <v>0.73994000000000004</v>
      </c>
      <c r="M268" s="4">
        <v>100.800005</v>
      </c>
      <c r="N268" s="6"/>
      <c r="P268"/>
      <c r="Q268" s="12"/>
      <c r="R268" s="12"/>
    </row>
    <row r="269" spans="1:18" x14ac:dyDescent="0.2">
      <c r="A269">
        <v>3</v>
      </c>
      <c r="B269" t="s">
        <v>31</v>
      </c>
      <c r="C269">
        <v>2015</v>
      </c>
      <c r="D269">
        <v>4</v>
      </c>
      <c r="E269" s="4">
        <v>0</v>
      </c>
      <c r="F269" s="9">
        <v>0</v>
      </c>
      <c r="G269" s="6">
        <v>5698</v>
      </c>
      <c r="H269" s="9">
        <f t="shared" si="4"/>
        <v>0</v>
      </c>
      <c r="I269" s="6">
        <v>11651</v>
      </c>
      <c r="J269" s="6">
        <f>VLOOKUP(Table1[[#This Row],[Province]],[1]Sheet1!$A$4:$B$37,2,FALSE)</f>
        <v>5066500</v>
      </c>
      <c r="K269">
        <v>0</v>
      </c>
      <c r="L269" s="4">
        <v>0.73994000000000004</v>
      </c>
      <c r="M269" s="4">
        <v>100.800005</v>
      </c>
      <c r="N269" s="6"/>
      <c r="P269"/>
      <c r="Q269" s="12"/>
      <c r="R269" s="12"/>
    </row>
    <row r="270" spans="1:18" x14ac:dyDescent="0.2">
      <c r="A270">
        <v>3</v>
      </c>
      <c r="B270" t="s">
        <v>31</v>
      </c>
      <c r="C270">
        <v>2015</v>
      </c>
      <c r="D270">
        <v>5</v>
      </c>
      <c r="E270" s="4">
        <v>0</v>
      </c>
      <c r="F270" s="9">
        <v>0</v>
      </c>
      <c r="G270" s="6">
        <v>5459</v>
      </c>
      <c r="H270" s="9">
        <f t="shared" si="4"/>
        <v>0</v>
      </c>
      <c r="I270" s="6">
        <v>12140</v>
      </c>
      <c r="J270" s="6">
        <f>VLOOKUP(Table1[[#This Row],[Province]],[1]Sheet1!$A$4:$B$37,2,FALSE)</f>
        <v>5066500</v>
      </c>
      <c r="K270">
        <v>0</v>
      </c>
      <c r="L270" s="4">
        <v>0.73994000000000004</v>
      </c>
      <c r="M270" s="4">
        <v>100.800005</v>
      </c>
      <c r="N270" s="6"/>
      <c r="P270"/>
      <c r="Q270" s="12"/>
      <c r="R270" s="12"/>
    </row>
    <row r="271" spans="1:18" x14ac:dyDescent="0.2">
      <c r="A271">
        <v>3</v>
      </c>
      <c r="B271" t="s">
        <v>31</v>
      </c>
      <c r="C271">
        <v>2015</v>
      </c>
      <c r="D271">
        <v>6</v>
      </c>
      <c r="E271" s="4">
        <v>0</v>
      </c>
      <c r="F271" s="9">
        <v>0</v>
      </c>
      <c r="G271" s="6">
        <v>6204</v>
      </c>
      <c r="H271" s="9">
        <f t="shared" si="4"/>
        <v>0</v>
      </c>
      <c r="I271" s="6">
        <v>13000</v>
      </c>
      <c r="J271" s="6">
        <f>VLOOKUP(Table1[[#This Row],[Province]],[1]Sheet1!$A$4:$B$37,2,FALSE)</f>
        <v>5066500</v>
      </c>
      <c r="K271">
        <v>1</v>
      </c>
      <c r="L271" s="4">
        <v>0.73994000000000004</v>
      </c>
      <c r="M271" s="4">
        <v>100.800005</v>
      </c>
      <c r="N271" s="6"/>
      <c r="P271"/>
      <c r="Q271" s="12"/>
      <c r="R271" s="12"/>
    </row>
    <row r="272" spans="1:18" x14ac:dyDescent="0.2">
      <c r="A272">
        <v>3</v>
      </c>
      <c r="B272" t="s">
        <v>31</v>
      </c>
      <c r="C272">
        <v>2015</v>
      </c>
      <c r="D272">
        <v>7</v>
      </c>
      <c r="E272" s="4">
        <v>0</v>
      </c>
      <c r="F272" s="9">
        <v>0</v>
      </c>
      <c r="G272" s="6">
        <v>4235</v>
      </c>
      <c r="H272" s="9">
        <f t="shared" si="4"/>
        <v>0</v>
      </c>
      <c r="I272" s="6">
        <v>12982</v>
      </c>
      <c r="J272" s="6">
        <f>VLOOKUP(Table1[[#This Row],[Province]],[1]Sheet1!$A$4:$B$37,2,FALSE)</f>
        <v>5066500</v>
      </c>
      <c r="K272">
        <v>0</v>
      </c>
      <c r="L272" s="4">
        <v>0.73994000000000004</v>
      </c>
      <c r="M272" s="4">
        <v>100.800005</v>
      </c>
      <c r="N272" s="6"/>
      <c r="P272"/>
      <c r="Q272" s="12"/>
      <c r="R272" s="12"/>
    </row>
    <row r="273" spans="1:18" x14ac:dyDescent="0.2">
      <c r="A273">
        <v>3</v>
      </c>
      <c r="B273" t="s">
        <v>31</v>
      </c>
      <c r="C273">
        <v>2015</v>
      </c>
      <c r="D273">
        <v>8</v>
      </c>
      <c r="E273" s="4">
        <v>0</v>
      </c>
      <c r="F273" s="9">
        <v>0</v>
      </c>
      <c r="G273" s="6">
        <v>4192</v>
      </c>
      <c r="H273" s="9">
        <f t="shared" si="4"/>
        <v>0</v>
      </c>
      <c r="I273" s="6">
        <v>12875</v>
      </c>
      <c r="J273" s="6">
        <f>VLOOKUP(Table1[[#This Row],[Province]],[1]Sheet1!$A$4:$B$37,2,FALSE)</f>
        <v>5066500</v>
      </c>
      <c r="K273">
        <v>0</v>
      </c>
      <c r="L273" s="4">
        <v>0.73994000000000004</v>
      </c>
      <c r="M273" s="4">
        <v>100.800005</v>
      </c>
      <c r="N273" s="6"/>
      <c r="P273"/>
      <c r="Q273" s="12"/>
      <c r="R273" s="12"/>
    </row>
    <row r="274" spans="1:18" x14ac:dyDescent="0.2">
      <c r="A274">
        <v>3</v>
      </c>
      <c r="B274" t="s">
        <v>31</v>
      </c>
      <c r="C274">
        <v>2015</v>
      </c>
      <c r="D274">
        <v>9</v>
      </c>
      <c r="E274" s="4">
        <v>0</v>
      </c>
      <c r="F274" s="9">
        <v>0</v>
      </c>
      <c r="G274" s="6">
        <v>5625</v>
      </c>
      <c r="H274" s="9">
        <f t="shared" si="4"/>
        <v>0</v>
      </c>
      <c r="I274" s="6">
        <v>12786</v>
      </c>
      <c r="J274" s="6">
        <f>VLOOKUP(Table1[[#This Row],[Province]],[1]Sheet1!$A$4:$B$37,2,FALSE)</f>
        <v>5066500</v>
      </c>
      <c r="K274">
        <v>0</v>
      </c>
      <c r="L274" s="4">
        <v>0.73994000000000004</v>
      </c>
      <c r="M274" s="4">
        <v>100.800005</v>
      </c>
      <c r="N274" s="6"/>
      <c r="P274"/>
      <c r="Q274" s="12"/>
      <c r="R274" s="12"/>
    </row>
    <row r="275" spans="1:18" x14ac:dyDescent="0.2">
      <c r="A275">
        <v>3</v>
      </c>
      <c r="B275" t="s">
        <v>31</v>
      </c>
      <c r="C275">
        <v>2015</v>
      </c>
      <c r="D275">
        <v>10</v>
      </c>
      <c r="E275" s="4">
        <v>0</v>
      </c>
      <c r="F275" s="9">
        <v>0</v>
      </c>
      <c r="G275" s="6">
        <v>3749</v>
      </c>
      <c r="H275" s="9">
        <f t="shared" si="4"/>
        <v>0</v>
      </c>
      <c r="I275" s="6">
        <v>12801</v>
      </c>
      <c r="J275" s="6">
        <f>VLOOKUP(Table1[[#This Row],[Province]],[1]Sheet1!$A$4:$B$37,2,FALSE)</f>
        <v>5066500</v>
      </c>
      <c r="K275">
        <v>0</v>
      </c>
      <c r="L275" s="4">
        <v>0.73994000000000004</v>
      </c>
      <c r="M275" s="4">
        <v>100.800005</v>
      </c>
      <c r="N275" s="6"/>
      <c r="P275"/>
      <c r="Q275" s="12"/>
      <c r="R275" s="12"/>
    </row>
    <row r="276" spans="1:18" x14ac:dyDescent="0.2">
      <c r="A276">
        <v>3</v>
      </c>
      <c r="B276" t="s">
        <v>31</v>
      </c>
      <c r="C276">
        <v>2015</v>
      </c>
      <c r="D276">
        <v>11</v>
      </c>
      <c r="E276" s="4">
        <v>0</v>
      </c>
      <c r="F276" s="9">
        <v>0</v>
      </c>
      <c r="G276" s="6">
        <v>4944</v>
      </c>
      <c r="H276" s="9">
        <f t="shared" si="4"/>
        <v>0</v>
      </c>
      <c r="I276" s="6">
        <v>12793</v>
      </c>
      <c r="J276" s="6">
        <f>VLOOKUP(Table1[[#This Row],[Province]],[1]Sheet1!$A$4:$B$37,2,FALSE)</f>
        <v>5066500</v>
      </c>
      <c r="K276">
        <v>0</v>
      </c>
      <c r="L276" s="4">
        <v>0.73994000000000004</v>
      </c>
      <c r="M276" s="4">
        <v>100.800005</v>
      </c>
      <c r="N276" s="6"/>
      <c r="P276"/>
      <c r="Q276" s="12"/>
      <c r="R276" s="12"/>
    </row>
    <row r="277" spans="1:18" x14ac:dyDescent="0.2">
      <c r="A277">
        <v>3</v>
      </c>
      <c r="B277" t="s">
        <v>31</v>
      </c>
      <c r="C277">
        <v>2015</v>
      </c>
      <c r="D277">
        <v>12</v>
      </c>
      <c r="E277" s="4">
        <v>0</v>
      </c>
      <c r="F277" s="9">
        <v>0</v>
      </c>
      <c r="G277" s="6">
        <v>5300</v>
      </c>
      <c r="H277" s="9">
        <f t="shared" si="4"/>
        <v>0</v>
      </c>
      <c r="I277" s="6">
        <v>12800</v>
      </c>
      <c r="J277" s="6">
        <f>VLOOKUP(Table1[[#This Row],[Province]],[1]Sheet1!$A$4:$B$37,2,FALSE)</f>
        <v>5066500</v>
      </c>
      <c r="K277">
        <v>1</v>
      </c>
      <c r="L277" s="4">
        <v>0.73994000000000004</v>
      </c>
      <c r="M277" s="4">
        <v>100.800005</v>
      </c>
      <c r="N277" s="6"/>
      <c r="P277"/>
      <c r="Q277" s="12"/>
      <c r="R277" s="12"/>
    </row>
    <row r="278" spans="1:18" x14ac:dyDescent="0.2">
      <c r="A278">
        <v>3</v>
      </c>
      <c r="B278" t="s">
        <v>31</v>
      </c>
      <c r="C278">
        <v>2016</v>
      </c>
      <c r="D278">
        <v>1</v>
      </c>
      <c r="E278" s="4">
        <v>0</v>
      </c>
      <c r="F278" s="9">
        <v>0</v>
      </c>
      <c r="G278" s="6">
        <v>1439</v>
      </c>
      <c r="H278" s="9">
        <f t="shared" si="4"/>
        <v>0</v>
      </c>
      <c r="I278" s="6">
        <v>12967</v>
      </c>
      <c r="J278" s="6">
        <f>VLOOKUP(Table1[[#This Row],[Province]],[1]Sheet1!$A$4:$B$37,2,FALSE)</f>
        <v>5066500</v>
      </c>
      <c r="K278">
        <v>0</v>
      </c>
      <c r="L278" s="4">
        <v>0.73994000000000004</v>
      </c>
      <c r="M278" s="4">
        <v>100.800005</v>
      </c>
      <c r="N278" s="13">
        <v>5.27</v>
      </c>
      <c r="P278"/>
      <c r="Q278" s="12"/>
      <c r="R278" s="12"/>
    </row>
    <row r="279" spans="1:18" x14ac:dyDescent="0.2">
      <c r="A279">
        <v>3</v>
      </c>
      <c r="B279" t="s">
        <v>31</v>
      </c>
      <c r="C279">
        <v>2016</v>
      </c>
      <c r="D279">
        <v>2</v>
      </c>
      <c r="E279" s="4">
        <v>0</v>
      </c>
      <c r="F279" s="9">
        <v>0</v>
      </c>
      <c r="G279" s="6">
        <v>3069</v>
      </c>
      <c r="H279" s="9">
        <f t="shared" si="4"/>
        <v>0</v>
      </c>
      <c r="I279" s="6">
        <v>13000</v>
      </c>
      <c r="J279" s="6">
        <f>VLOOKUP(Table1[[#This Row],[Province]],[1]Sheet1!$A$4:$B$37,2,FALSE)</f>
        <v>5066500</v>
      </c>
      <c r="K279">
        <v>0</v>
      </c>
      <c r="L279" s="4">
        <v>0.73994000000000004</v>
      </c>
      <c r="M279" s="4">
        <v>100.800005</v>
      </c>
      <c r="N279" s="13">
        <v>5.27</v>
      </c>
      <c r="P279"/>
      <c r="Q279" s="12"/>
      <c r="R279" s="12"/>
    </row>
    <row r="280" spans="1:18" x14ac:dyDescent="0.2">
      <c r="A280">
        <v>3</v>
      </c>
      <c r="B280" t="s">
        <v>31</v>
      </c>
      <c r="C280">
        <v>2016</v>
      </c>
      <c r="D280">
        <v>3</v>
      </c>
      <c r="E280" s="4">
        <v>0</v>
      </c>
      <c r="F280" s="9">
        <v>0</v>
      </c>
      <c r="G280" s="6">
        <v>665</v>
      </c>
      <c r="H280" s="9">
        <f t="shared" si="4"/>
        <v>0</v>
      </c>
      <c r="I280" s="6">
        <v>13000</v>
      </c>
      <c r="J280" s="6">
        <f>VLOOKUP(Table1[[#This Row],[Province]],[1]Sheet1!$A$4:$B$37,2,FALSE)</f>
        <v>5066500</v>
      </c>
      <c r="K280">
        <v>0</v>
      </c>
      <c r="L280" s="4">
        <v>0.73994000000000004</v>
      </c>
      <c r="M280" s="4">
        <v>100.800005</v>
      </c>
      <c r="N280" s="13">
        <v>5.27</v>
      </c>
      <c r="P280"/>
      <c r="Q280" s="12"/>
      <c r="R280" s="12"/>
    </row>
    <row r="281" spans="1:18" x14ac:dyDescent="0.2">
      <c r="A281">
        <v>3</v>
      </c>
      <c r="B281" t="s">
        <v>31</v>
      </c>
      <c r="C281">
        <v>2016</v>
      </c>
      <c r="D281">
        <v>5</v>
      </c>
      <c r="E281" s="4">
        <v>0</v>
      </c>
      <c r="F281" s="9">
        <v>0</v>
      </c>
      <c r="G281" s="6">
        <v>4503</v>
      </c>
      <c r="H281" s="9">
        <f t="shared" si="4"/>
        <v>0</v>
      </c>
      <c r="I281" s="6">
        <v>14600</v>
      </c>
      <c r="J281" s="6">
        <f>VLOOKUP(Table1[[#This Row],[Province]],[1]Sheet1!$A$4:$B$37,2,FALSE)</f>
        <v>5066500</v>
      </c>
      <c r="K281">
        <v>0</v>
      </c>
      <c r="L281" s="4">
        <v>0.73994000000000004</v>
      </c>
      <c r="M281" s="4">
        <v>100.800005</v>
      </c>
      <c r="N281" s="13">
        <v>5.27</v>
      </c>
      <c r="P281"/>
      <c r="Q281" s="12"/>
      <c r="R281" s="12"/>
    </row>
    <row r="282" spans="1:18" x14ac:dyDescent="0.2">
      <c r="A282">
        <v>3</v>
      </c>
      <c r="B282" t="s">
        <v>31</v>
      </c>
      <c r="C282">
        <v>2016</v>
      </c>
      <c r="D282">
        <v>5</v>
      </c>
      <c r="E282" s="4">
        <v>0</v>
      </c>
      <c r="F282" s="9">
        <v>0</v>
      </c>
      <c r="G282" s="6">
        <v>2157</v>
      </c>
      <c r="H282" s="9">
        <f t="shared" si="4"/>
        <v>0</v>
      </c>
      <c r="I282" s="6">
        <v>15033</v>
      </c>
      <c r="J282" s="6">
        <f>VLOOKUP(Table1[[#This Row],[Province]],[1]Sheet1!$A$4:$B$37,2,FALSE)</f>
        <v>5066500</v>
      </c>
      <c r="K282">
        <v>0</v>
      </c>
      <c r="L282" s="4">
        <v>0.73994000000000004</v>
      </c>
      <c r="M282" s="4">
        <v>100.800005</v>
      </c>
      <c r="N282" s="13">
        <v>5.27</v>
      </c>
      <c r="P282"/>
      <c r="Q282" s="12"/>
      <c r="R282" s="12"/>
    </row>
    <row r="283" spans="1:18" x14ac:dyDescent="0.2">
      <c r="A283">
        <v>3</v>
      </c>
      <c r="B283" t="s">
        <v>31</v>
      </c>
      <c r="C283">
        <v>2016</v>
      </c>
      <c r="D283">
        <v>6</v>
      </c>
      <c r="E283" s="4">
        <v>0</v>
      </c>
      <c r="F283" s="9">
        <v>0</v>
      </c>
      <c r="G283" s="6">
        <v>5397</v>
      </c>
      <c r="H283" s="9">
        <f t="shared" si="4"/>
        <v>0</v>
      </c>
      <c r="I283" s="6">
        <v>15076</v>
      </c>
      <c r="J283" s="6">
        <f>VLOOKUP(Table1[[#This Row],[Province]],[1]Sheet1!$A$4:$B$37,2,FALSE)</f>
        <v>5066500</v>
      </c>
      <c r="K283">
        <v>1</v>
      </c>
      <c r="L283" s="4">
        <v>0.73994000000000004</v>
      </c>
      <c r="M283" s="4">
        <v>100.800005</v>
      </c>
      <c r="N283" s="13">
        <v>5.27</v>
      </c>
      <c r="P283"/>
      <c r="Q283" s="12"/>
      <c r="R283" s="12"/>
    </row>
    <row r="284" spans="1:18" x14ac:dyDescent="0.2">
      <c r="A284">
        <v>3</v>
      </c>
      <c r="B284" t="s">
        <v>31</v>
      </c>
      <c r="C284">
        <v>2016</v>
      </c>
      <c r="D284">
        <v>7</v>
      </c>
      <c r="E284" s="4">
        <v>0</v>
      </c>
      <c r="F284" s="9">
        <v>0</v>
      </c>
      <c r="G284" s="6">
        <v>5149</v>
      </c>
      <c r="H284" s="9">
        <f t="shared" si="4"/>
        <v>0</v>
      </c>
      <c r="I284" s="6">
        <v>15427</v>
      </c>
      <c r="J284" s="6">
        <f>VLOOKUP(Table1[[#This Row],[Province]],[1]Sheet1!$A$4:$B$37,2,FALSE)</f>
        <v>5066500</v>
      </c>
      <c r="K284">
        <v>0</v>
      </c>
      <c r="L284" s="4">
        <v>0.73994000000000004</v>
      </c>
      <c r="M284" s="4">
        <v>100.800005</v>
      </c>
      <c r="N284" s="13">
        <v>5.27</v>
      </c>
      <c r="P284"/>
      <c r="Q284" s="12"/>
      <c r="R284" s="12"/>
    </row>
    <row r="285" spans="1:18" x14ac:dyDescent="0.2">
      <c r="A285">
        <v>3</v>
      </c>
      <c r="B285" t="s">
        <v>31</v>
      </c>
      <c r="C285">
        <v>2016</v>
      </c>
      <c r="D285">
        <v>8</v>
      </c>
      <c r="E285" s="4">
        <v>0</v>
      </c>
      <c r="F285" s="9">
        <v>0</v>
      </c>
      <c r="G285" s="6">
        <v>5088</v>
      </c>
      <c r="H285" s="9">
        <f t="shared" si="4"/>
        <v>0</v>
      </c>
      <c r="I285" s="6">
        <v>15280</v>
      </c>
      <c r="J285" s="6">
        <f>VLOOKUP(Table1[[#This Row],[Province]],[1]Sheet1!$A$4:$B$37,2,FALSE)</f>
        <v>5066500</v>
      </c>
      <c r="K285">
        <v>0</v>
      </c>
      <c r="L285" s="4">
        <v>0.73994000000000004</v>
      </c>
      <c r="M285" s="4">
        <v>100.800005</v>
      </c>
      <c r="N285" s="13">
        <v>5.27</v>
      </c>
      <c r="P285"/>
      <c r="Q285" s="12"/>
      <c r="R285" s="12"/>
    </row>
    <row r="286" spans="1:18" x14ac:dyDescent="0.2">
      <c r="A286">
        <v>3</v>
      </c>
      <c r="B286" t="s">
        <v>31</v>
      </c>
      <c r="C286">
        <v>2016</v>
      </c>
      <c r="D286">
        <v>9</v>
      </c>
      <c r="E286" s="4">
        <v>0</v>
      </c>
      <c r="F286" s="9">
        <v>0</v>
      </c>
      <c r="G286" s="6">
        <v>1967</v>
      </c>
      <c r="H286" s="9">
        <f t="shared" si="4"/>
        <v>0</v>
      </c>
      <c r="I286" s="6">
        <v>14492</v>
      </c>
      <c r="J286" s="6">
        <f>VLOOKUP(Table1[[#This Row],[Province]],[1]Sheet1!$A$4:$B$37,2,FALSE)</f>
        <v>5066500</v>
      </c>
      <c r="K286">
        <v>0</v>
      </c>
      <c r="L286" s="4">
        <v>0.73994000000000004</v>
      </c>
      <c r="M286" s="4">
        <v>100.800005</v>
      </c>
      <c r="N286" s="13">
        <v>5.27</v>
      </c>
      <c r="P286"/>
      <c r="Q286" s="12"/>
      <c r="R286" s="12"/>
    </row>
    <row r="287" spans="1:18" x14ac:dyDescent="0.2">
      <c r="A287">
        <v>3</v>
      </c>
      <c r="B287" t="s">
        <v>31</v>
      </c>
      <c r="C287">
        <v>2016</v>
      </c>
      <c r="D287">
        <v>10</v>
      </c>
      <c r="E287" s="4">
        <v>0</v>
      </c>
      <c r="F287" s="9">
        <v>0</v>
      </c>
      <c r="G287" s="6">
        <v>8591</v>
      </c>
      <c r="H287" s="9">
        <f t="shared" si="4"/>
        <v>0</v>
      </c>
      <c r="I287" s="6">
        <v>14095</v>
      </c>
      <c r="J287" s="6">
        <f>VLOOKUP(Table1[[#This Row],[Province]],[1]Sheet1!$A$4:$B$37,2,FALSE)</f>
        <v>5066500</v>
      </c>
      <c r="K287">
        <v>0</v>
      </c>
      <c r="L287" s="4">
        <v>0.73994000000000004</v>
      </c>
      <c r="M287" s="4">
        <v>100.800005</v>
      </c>
      <c r="N287" s="13">
        <v>5.27</v>
      </c>
      <c r="P287"/>
      <c r="Q287" s="12"/>
      <c r="R287" s="12"/>
    </row>
    <row r="288" spans="1:18" x14ac:dyDescent="0.2">
      <c r="A288">
        <v>3</v>
      </c>
      <c r="B288" t="s">
        <v>31</v>
      </c>
      <c r="C288">
        <v>2016</v>
      </c>
      <c r="D288">
        <v>11</v>
      </c>
      <c r="E288" s="4">
        <v>0</v>
      </c>
      <c r="F288" s="9">
        <v>0</v>
      </c>
      <c r="G288" s="6">
        <v>2432</v>
      </c>
      <c r="H288" s="9">
        <f t="shared" si="4"/>
        <v>0</v>
      </c>
      <c r="I288" s="6">
        <v>13826</v>
      </c>
      <c r="J288" s="6">
        <f>VLOOKUP(Table1[[#This Row],[Province]],[1]Sheet1!$A$4:$B$37,2,FALSE)</f>
        <v>5066500</v>
      </c>
      <c r="K288">
        <v>0</v>
      </c>
      <c r="L288" s="4">
        <v>0.73994000000000004</v>
      </c>
      <c r="M288" s="4">
        <v>100.800005</v>
      </c>
      <c r="N288" s="13">
        <v>5.27</v>
      </c>
      <c r="P288"/>
      <c r="Q288" s="12"/>
      <c r="R288" s="12"/>
    </row>
    <row r="289" spans="1:18" x14ac:dyDescent="0.2">
      <c r="A289">
        <v>3</v>
      </c>
      <c r="B289" t="s">
        <v>31</v>
      </c>
      <c r="C289">
        <v>2016</v>
      </c>
      <c r="D289">
        <v>12</v>
      </c>
      <c r="E289" s="4">
        <v>0</v>
      </c>
      <c r="F289" s="9">
        <v>0</v>
      </c>
      <c r="G289" s="6">
        <v>2434</v>
      </c>
      <c r="H289" s="9">
        <f t="shared" si="4"/>
        <v>0</v>
      </c>
      <c r="I289" s="6">
        <v>13833</v>
      </c>
      <c r="J289" s="6">
        <f>VLOOKUP(Table1[[#This Row],[Province]],[1]Sheet1!$A$4:$B$37,2,FALSE)</f>
        <v>5066500</v>
      </c>
      <c r="K289">
        <v>1</v>
      </c>
      <c r="L289" s="4">
        <v>0.73994000000000004</v>
      </c>
      <c r="M289" s="4">
        <v>100.800005</v>
      </c>
      <c r="N289" s="13">
        <v>5.27</v>
      </c>
      <c r="P289"/>
      <c r="Q289" s="12"/>
      <c r="R289" s="12"/>
    </row>
    <row r="290" spans="1:18" x14ac:dyDescent="0.2">
      <c r="A290">
        <v>3</v>
      </c>
      <c r="B290" t="s">
        <v>31</v>
      </c>
      <c r="C290">
        <v>2017</v>
      </c>
      <c r="D290">
        <v>1</v>
      </c>
      <c r="E290" s="4">
        <v>0</v>
      </c>
      <c r="F290" s="9">
        <v>0</v>
      </c>
      <c r="G290" s="6">
        <v>4824</v>
      </c>
      <c r="H290" s="9">
        <f t="shared" si="4"/>
        <v>0</v>
      </c>
      <c r="I290" s="6">
        <v>13845</v>
      </c>
      <c r="J290" s="6">
        <f>VLOOKUP(Table1[[#This Row],[Province]],[1]Sheet1!$A$4:$B$37,2,FALSE)</f>
        <v>5066500</v>
      </c>
      <c r="K290">
        <v>0</v>
      </c>
      <c r="L290" s="4">
        <v>0.73994000000000004</v>
      </c>
      <c r="M290" s="4">
        <v>100.800005</v>
      </c>
      <c r="N290" s="13">
        <v>5.3</v>
      </c>
      <c r="P290"/>
      <c r="Q290" s="12"/>
      <c r="R290" s="12"/>
    </row>
    <row r="291" spans="1:18" x14ac:dyDescent="0.2">
      <c r="A291">
        <v>3</v>
      </c>
      <c r="B291" t="s">
        <v>31</v>
      </c>
      <c r="C291">
        <v>2017</v>
      </c>
      <c r="D291">
        <v>2</v>
      </c>
      <c r="E291" s="4">
        <v>0</v>
      </c>
      <c r="F291" s="9">
        <v>0</v>
      </c>
      <c r="G291" s="6">
        <v>2772</v>
      </c>
      <c r="H291" s="9">
        <f t="shared" si="4"/>
        <v>0</v>
      </c>
      <c r="I291" s="6">
        <v>13851</v>
      </c>
      <c r="J291" s="6">
        <f>VLOOKUP(Table1[[#This Row],[Province]],[1]Sheet1!$A$4:$B$37,2,FALSE)</f>
        <v>5066500</v>
      </c>
      <c r="K291">
        <v>0</v>
      </c>
      <c r="L291" s="4">
        <v>0.73994000000000004</v>
      </c>
      <c r="M291" s="4">
        <v>100.800005</v>
      </c>
      <c r="N291" s="13">
        <v>5.3</v>
      </c>
      <c r="P291"/>
      <c r="Q291" s="12"/>
      <c r="R291" s="12"/>
    </row>
    <row r="292" spans="1:18" x14ac:dyDescent="0.2">
      <c r="A292">
        <v>3</v>
      </c>
      <c r="B292" t="s">
        <v>31</v>
      </c>
      <c r="C292">
        <v>2017</v>
      </c>
      <c r="D292">
        <v>3</v>
      </c>
      <c r="E292" s="4">
        <v>0</v>
      </c>
      <c r="F292" s="9">
        <v>0</v>
      </c>
      <c r="G292" s="6">
        <v>2166</v>
      </c>
      <c r="H292" s="9">
        <f t="shared" si="4"/>
        <v>0</v>
      </c>
      <c r="I292" s="6">
        <v>13863</v>
      </c>
      <c r="J292" s="6">
        <f>VLOOKUP(Table1[[#This Row],[Province]],[1]Sheet1!$A$4:$B$37,2,FALSE)</f>
        <v>5066500</v>
      </c>
      <c r="K292">
        <v>0</v>
      </c>
      <c r="L292" s="4">
        <v>0.73994000000000004</v>
      </c>
      <c r="M292" s="4">
        <v>100.800005</v>
      </c>
      <c r="N292" s="13">
        <v>5.3</v>
      </c>
      <c r="P292"/>
      <c r="Q292" s="12"/>
      <c r="R292" s="12"/>
    </row>
    <row r="293" spans="1:18" x14ac:dyDescent="0.2">
      <c r="A293">
        <v>3</v>
      </c>
      <c r="B293" t="s">
        <v>31</v>
      </c>
      <c r="C293">
        <v>2017</v>
      </c>
      <c r="D293">
        <v>4</v>
      </c>
      <c r="E293" s="4">
        <v>0</v>
      </c>
      <c r="F293" s="9">
        <v>0</v>
      </c>
      <c r="G293" s="6">
        <v>1547</v>
      </c>
      <c r="H293" s="9">
        <f t="shared" si="4"/>
        <v>0</v>
      </c>
      <c r="I293" s="6">
        <v>13578</v>
      </c>
      <c r="J293" s="6">
        <f>VLOOKUP(Table1[[#This Row],[Province]],[1]Sheet1!$A$4:$B$37,2,FALSE)</f>
        <v>5066500</v>
      </c>
      <c r="K293">
        <v>0</v>
      </c>
      <c r="L293" s="4">
        <v>0.73994000000000004</v>
      </c>
      <c r="M293" s="4">
        <v>100.800005</v>
      </c>
      <c r="N293" s="13">
        <v>5.3</v>
      </c>
      <c r="P293"/>
      <c r="Q293" s="12"/>
      <c r="R293" s="12"/>
    </row>
    <row r="294" spans="1:18" x14ac:dyDescent="0.2">
      <c r="A294">
        <v>3</v>
      </c>
      <c r="B294" t="s">
        <v>31</v>
      </c>
      <c r="C294">
        <v>2017</v>
      </c>
      <c r="D294">
        <v>5</v>
      </c>
      <c r="E294" s="4">
        <v>0</v>
      </c>
      <c r="F294" s="9">
        <v>0</v>
      </c>
      <c r="G294" s="6">
        <v>1490</v>
      </c>
      <c r="H294" s="9">
        <f t="shared" si="4"/>
        <v>0</v>
      </c>
      <c r="I294" s="6">
        <v>13358</v>
      </c>
      <c r="J294" s="6">
        <f>VLOOKUP(Table1[[#This Row],[Province]],[1]Sheet1!$A$4:$B$37,2,FALSE)</f>
        <v>5066500</v>
      </c>
      <c r="K294">
        <v>1</v>
      </c>
      <c r="L294" s="4">
        <v>0.73994000000000004</v>
      </c>
      <c r="M294" s="4">
        <v>100.800005</v>
      </c>
      <c r="N294" s="13">
        <v>5.3</v>
      </c>
      <c r="P294"/>
      <c r="Q294" s="12"/>
      <c r="R294" s="12"/>
    </row>
    <row r="295" spans="1:18" x14ac:dyDescent="0.2">
      <c r="A295">
        <v>3</v>
      </c>
      <c r="B295" t="s">
        <v>31</v>
      </c>
      <c r="C295">
        <v>2017</v>
      </c>
      <c r="D295">
        <v>6</v>
      </c>
      <c r="E295" s="4">
        <v>0</v>
      </c>
      <c r="F295" s="9">
        <v>0</v>
      </c>
      <c r="G295" s="6">
        <v>2757</v>
      </c>
      <c r="H295" s="9">
        <f t="shared" si="4"/>
        <v>0</v>
      </c>
      <c r="I295" s="6">
        <v>13222</v>
      </c>
      <c r="J295" s="6">
        <f>VLOOKUP(Table1[[#This Row],[Province]],[1]Sheet1!$A$4:$B$37,2,FALSE)</f>
        <v>5066500</v>
      </c>
      <c r="K295">
        <v>0</v>
      </c>
      <c r="L295" s="4">
        <v>0.73994000000000004</v>
      </c>
      <c r="M295" s="4">
        <v>100.800005</v>
      </c>
      <c r="N295" s="13">
        <v>5.3</v>
      </c>
      <c r="P295"/>
      <c r="Q295" s="12"/>
      <c r="R295" s="12"/>
    </row>
    <row r="296" spans="1:18" x14ac:dyDescent="0.2">
      <c r="A296">
        <v>3</v>
      </c>
      <c r="B296" t="s">
        <v>31</v>
      </c>
      <c r="C296">
        <v>2017</v>
      </c>
      <c r="D296">
        <v>7</v>
      </c>
      <c r="E296" s="4">
        <v>0</v>
      </c>
      <c r="F296" s="9">
        <v>0</v>
      </c>
      <c r="G296" s="6">
        <v>3069</v>
      </c>
      <c r="H296" s="9">
        <f t="shared" si="4"/>
        <v>0</v>
      </c>
      <c r="I296" s="6">
        <v>13135</v>
      </c>
      <c r="J296" s="6">
        <f>VLOOKUP(Table1[[#This Row],[Province]],[1]Sheet1!$A$4:$B$37,2,FALSE)</f>
        <v>5066500</v>
      </c>
      <c r="K296">
        <v>0</v>
      </c>
      <c r="L296" s="4">
        <v>0.73994000000000004</v>
      </c>
      <c r="M296" s="4">
        <v>100.800005</v>
      </c>
      <c r="N296" s="13">
        <v>5.3</v>
      </c>
      <c r="P296"/>
      <c r="Q296" s="12"/>
      <c r="R296" s="12"/>
    </row>
    <row r="297" spans="1:18" x14ac:dyDescent="0.2">
      <c r="A297">
        <v>3</v>
      </c>
      <c r="B297" t="s">
        <v>31</v>
      </c>
      <c r="C297">
        <v>2017</v>
      </c>
      <c r="D297">
        <v>8</v>
      </c>
      <c r="E297" s="4">
        <v>0</v>
      </c>
      <c r="F297" s="9">
        <v>0</v>
      </c>
      <c r="G297" s="6">
        <v>5882</v>
      </c>
      <c r="H297" s="9">
        <f t="shared" si="4"/>
        <v>0</v>
      </c>
      <c r="I297" s="6">
        <v>12939</v>
      </c>
      <c r="J297" s="6">
        <f>VLOOKUP(Table1[[#This Row],[Province]],[1]Sheet1!$A$4:$B$37,2,FALSE)</f>
        <v>5066500</v>
      </c>
      <c r="K297">
        <v>0</v>
      </c>
      <c r="L297" s="4">
        <v>0.73994000000000004</v>
      </c>
      <c r="M297" s="4">
        <v>100.800005</v>
      </c>
      <c r="N297" s="13">
        <v>5.3</v>
      </c>
      <c r="P297"/>
      <c r="Q297" s="12"/>
      <c r="R297" s="12"/>
    </row>
    <row r="298" spans="1:18" x14ac:dyDescent="0.2">
      <c r="A298">
        <v>3</v>
      </c>
      <c r="B298" t="s">
        <v>31</v>
      </c>
      <c r="C298">
        <v>2017</v>
      </c>
      <c r="D298">
        <v>9</v>
      </c>
      <c r="E298" s="4">
        <v>0</v>
      </c>
      <c r="F298" s="9">
        <v>0</v>
      </c>
      <c r="G298" s="6">
        <v>5700</v>
      </c>
      <c r="H298" s="9">
        <f t="shared" si="4"/>
        <v>0</v>
      </c>
      <c r="I298" s="6">
        <v>12620</v>
      </c>
      <c r="J298" s="6">
        <f>VLOOKUP(Table1[[#This Row],[Province]],[1]Sheet1!$A$4:$B$37,2,FALSE)</f>
        <v>5066500</v>
      </c>
      <c r="K298">
        <v>0</v>
      </c>
      <c r="L298" s="4">
        <v>0.73994000000000004</v>
      </c>
      <c r="M298" s="4">
        <v>100.800005</v>
      </c>
      <c r="N298" s="13">
        <v>5.3</v>
      </c>
      <c r="P298"/>
      <c r="Q298" s="12"/>
      <c r="R298" s="12"/>
    </row>
    <row r="299" spans="1:18" x14ac:dyDescent="0.2">
      <c r="A299">
        <v>3</v>
      </c>
      <c r="B299" t="s">
        <v>31</v>
      </c>
      <c r="C299">
        <v>2017</v>
      </c>
      <c r="D299">
        <v>10</v>
      </c>
      <c r="E299" s="4">
        <v>0</v>
      </c>
      <c r="F299" s="9">
        <v>0</v>
      </c>
      <c r="G299" s="6">
        <v>7399</v>
      </c>
      <c r="H299" s="9">
        <f t="shared" si="4"/>
        <v>0</v>
      </c>
      <c r="I299" s="6">
        <v>12636</v>
      </c>
      <c r="J299" s="6">
        <f>VLOOKUP(Table1[[#This Row],[Province]],[1]Sheet1!$A$4:$B$37,2,FALSE)</f>
        <v>5066500</v>
      </c>
      <c r="K299">
        <v>0</v>
      </c>
      <c r="L299" s="4">
        <v>0.73994000000000004</v>
      </c>
      <c r="M299" s="4">
        <v>100.800005</v>
      </c>
      <c r="N299" s="13">
        <v>5.3</v>
      </c>
      <c r="P299"/>
      <c r="Q299" s="12"/>
      <c r="R299" s="12"/>
    </row>
    <row r="300" spans="1:18" x14ac:dyDescent="0.2">
      <c r="A300">
        <v>3</v>
      </c>
      <c r="B300" t="s">
        <v>31</v>
      </c>
      <c r="C300">
        <v>2017</v>
      </c>
      <c r="D300">
        <v>11</v>
      </c>
      <c r="E300" s="4">
        <v>0</v>
      </c>
      <c r="F300" s="9">
        <v>0</v>
      </c>
      <c r="G300" s="6">
        <v>1933</v>
      </c>
      <c r="H300" s="9">
        <f t="shared" si="4"/>
        <v>0</v>
      </c>
      <c r="I300" s="6">
        <v>12500</v>
      </c>
      <c r="J300" s="6">
        <f>VLOOKUP(Table1[[#This Row],[Province]],[1]Sheet1!$A$4:$B$37,2,FALSE)</f>
        <v>5066500</v>
      </c>
      <c r="K300">
        <v>0</v>
      </c>
      <c r="L300" s="4">
        <v>0.73994000000000004</v>
      </c>
      <c r="M300" s="4">
        <v>100.800005</v>
      </c>
      <c r="N300" s="13">
        <v>5.3</v>
      </c>
      <c r="P300"/>
      <c r="Q300" s="12"/>
      <c r="R300" s="12"/>
    </row>
    <row r="301" spans="1:18" x14ac:dyDescent="0.2">
      <c r="A301">
        <v>3</v>
      </c>
      <c r="B301" t="s">
        <v>31</v>
      </c>
      <c r="C301">
        <v>2017</v>
      </c>
      <c r="D301">
        <v>12</v>
      </c>
      <c r="E301" s="4">
        <v>0</v>
      </c>
      <c r="F301" s="9">
        <v>0</v>
      </c>
      <c r="G301" s="6">
        <v>3602</v>
      </c>
      <c r="H301" s="9">
        <f t="shared" si="4"/>
        <v>0</v>
      </c>
      <c r="I301" s="6">
        <v>12440</v>
      </c>
      <c r="J301" s="6">
        <f>VLOOKUP(Table1[[#This Row],[Province]],[1]Sheet1!$A$4:$B$37,2,FALSE)</f>
        <v>5066500</v>
      </c>
      <c r="K301">
        <v>1</v>
      </c>
      <c r="L301" s="4">
        <v>0.73994000000000004</v>
      </c>
      <c r="M301" s="4">
        <v>100.800005</v>
      </c>
      <c r="N301" s="13">
        <v>5.3</v>
      </c>
      <c r="P301"/>
      <c r="Q301" s="12"/>
      <c r="R301" s="12"/>
    </row>
    <row r="302" spans="1:18" x14ac:dyDescent="0.2">
      <c r="A302">
        <v>3</v>
      </c>
      <c r="B302" t="s">
        <v>31</v>
      </c>
      <c r="C302">
        <v>2018</v>
      </c>
      <c r="D302">
        <v>1</v>
      </c>
      <c r="E302" s="4">
        <v>0</v>
      </c>
      <c r="F302" s="9">
        <v>0</v>
      </c>
      <c r="G302" s="6">
        <v>6614</v>
      </c>
      <c r="H302" s="9">
        <f t="shared" si="4"/>
        <v>0</v>
      </c>
      <c r="I302" s="6">
        <v>11800</v>
      </c>
      <c r="J302" s="6">
        <f>VLOOKUP(Table1[[#This Row],[Province]],[1]Sheet1!$A$4:$B$37,2,FALSE)</f>
        <v>5066500</v>
      </c>
      <c r="K302">
        <v>0</v>
      </c>
      <c r="L302" s="4">
        <v>0.73994000000000004</v>
      </c>
      <c r="M302" s="4">
        <v>100.800005</v>
      </c>
      <c r="N302" s="13">
        <v>5.18</v>
      </c>
      <c r="P302"/>
      <c r="Q302" s="12"/>
      <c r="R302" s="12"/>
    </row>
    <row r="303" spans="1:18" x14ac:dyDescent="0.2">
      <c r="A303">
        <v>3</v>
      </c>
      <c r="B303" t="s">
        <v>31</v>
      </c>
      <c r="C303">
        <v>2018</v>
      </c>
      <c r="D303">
        <v>2</v>
      </c>
      <c r="E303" s="4">
        <v>0</v>
      </c>
      <c r="F303" s="9">
        <v>0</v>
      </c>
      <c r="G303" s="6">
        <v>6981</v>
      </c>
      <c r="H303" s="9">
        <f t="shared" si="4"/>
        <v>0</v>
      </c>
      <c r="I303" s="6">
        <v>11795</v>
      </c>
      <c r="J303" s="6">
        <f>VLOOKUP(Table1[[#This Row],[Province]],[1]Sheet1!$A$4:$B$37,2,FALSE)</f>
        <v>5066500</v>
      </c>
      <c r="K303">
        <v>0</v>
      </c>
      <c r="L303" s="4">
        <v>0.73994000000000004</v>
      </c>
      <c r="M303" s="4">
        <v>100.800005</v>
      </c>
      <c r="N303" s="13">
        <v>5.18</v>
      </c>
      <c r="P303"/>
      <c r="Q303" s="12"/>
      <c r="R303" s="12"/>
    </row>
    <row r="304" spans="1:18" x14ac:dyDescent="0.2">
      <c r="A304">
        <v>3</v>
      </c>
      <c r="B304" t="s">
        <v>31</v>
      </c>
      <c r="C304">
        <v>2018</v>
      </c>
      <c r="D304">
        <v>3</v>
      </c>
      <c r="E304" s="4">
        <v>0</v>
      </c>
      <c r="F304" s="9">
        <v>0</v>
      </c>
      <c r="G304" s="6">
        <v>3380</v>
      </c>
      <c r="H304" s="9">
        <f t="shared" si="4"/>
        <v>0</v>
      </c>
      <c r="I304" s="6">
        <v>11948</v>
      </c>
      <c r="J304" s="6">
        <f>VLOOKUP(Table1[[#This Row],[Province]],[1]Sheet1!$A$4:$B$37,2,FALSE)</f>
        <v>5066500</v>
      </c>
      <c r="K304">
        <v>0</v>
      </c>
      <c r="L304" s="4">
        <v>0.73994000000000004</v>
      </c>
      <c r="M304" s="4">
        <v>100.800005</v>
      </c>
      <c r="N304" s="13">
        <v>5.18</v>
      </c>
      <c r="P304"/>
      <c r="Q304" s="12"/>
      <c r="R304" s="12"/>
    </row>
    <row r="305" spans="1:18" x14ac:dyDescent="0.2">
      <c r="A305">
        <v>3</v>
      </c>
      <c r="B305" t="s">
        <v>31</v>
      </c>
      <c r="C305">
        <v>2018</v>
      </c>
      <c r="D305">
        <v>4</v>
      </c>
      <c r="E305" s="4">
        <v>0</v>
      </c>
      <c r="F305" s="9">
        <v>0</v>
      </c>
      <c r="G305" s="6">
        <v>3975</v>
      </c>
      <c r="H305" s="9">
        <f t="shared" si="4"/>
        <v>0</v>
      </c>
      <c r="I305" s="6">
        <v>12305</v>
      </c>
      <c r="J305" s="6">
        <f>VLOOKUP(Table1[[#This Row],[Province]],[1]Sheet1!$A$4:$B$37,2,FALSE)</f>
        <v>5066500</v>
      </c>
      <c r="K305">
        <v>0</v>
      </c>
      <c r="L305" s="4">
        <v>0.73994000000000004</v>
      </c>
      <c r="M305" s="4">
        <v>100.800005</v>
      </c>
      <c r="N305" s="13">
        <v>5.18</v>
      </c>
      <c r="P305"/>
      <c r="Q305" s="12"/>
      <c r="R305" s="12"/>
    </row>
    <row r="306" spans="1:18" x14ac:dyDescent="0.2">
      <c r="A306">
        <v>3</v>
      </c>
      <c r="B306" t="s">
        <v>31</v>
      </c>
      <c r="C306">
        <v>2018</v>
      </c>
      <c r="D306">
        <v>5</v>
      </c>
      <c r="E306" s="4">
        <v>5934</v>
      </c>
      <c r="F306" s="9">
        <v>0</v>
      </c>
      <c r="G306" s="6">
        <v>4503</v>
      </c>
      <c r="H306" s="9">
        <f t="shared" si="4"/>
        <v>5934</v>
      </c>
      <c r="I306" s="6">
        <v>14575</v>
      </c>
      <c r="J306" s="6">
        <f>VLOOKUP(Table1[[#This Row],[Province]],[1]Sheet1!$A$4:$B$37,2,FALSE)</f>
        <v>5066500</v>
      </c>
      <c r="K306">
        <v>1</v>
      </c>
      <c r="L306" s="4">
        <v>0.73994000000000004</v>
      </c>
      <c r="M306" s="4">
        <v>100.800005</v>
      </c>
      <c r="N306" s="13">
        <v>5.18</v>
      </c>
      <c r="P306"/>
      <c r="Q306" s="12"/>
      <c r="R306" s="12"/>
    </row>
    <row r="307" spans="1:18" x14ac:dyDescent="0.2">
      <c r="A307">
        <v>3</v>
      </c>
      <c r="B307" t="s">
        <v>31</v>
      </c>
      <c r="C307">
        <v>2018</v>
      </c>
      <c r="D307">
        <v>5</v>
      </c>
      <c r="E307" s="4">
        <v>0</v>
      </c>
      <c r="F307" s="9">
        <v>0</v>
      </c>
      <c r="G307" s="6">
        <v>5558</v>
      </c>
      <c r="H307" s="9">
        <f t="shared" si="4"/>
        <v>0</v>
      </c>
      <c r="I307" s="6">
        <v>12000</v>
      </c>
      <c r="J307" s="6">
        <f>VLOOKUP(Table1[[#This Row],[Province]],[1]Sheet1!$A$4:$B$37,2,FALSE)</f>
        <v>5066500</v>
      </c>
      <c r="K307">
        <v>1</v>
      </c>
      <c r="L307" s="4">
        <v>0.73994000000000004</v>
      </c>
      <c r="M307" s="4">
        <v>100.800005</v>
      </c>
      <c r="N307" s="13">
        <v>5.18</v>
      </c>
      <c r="P307"/>
      <c r="Q307" s="12"/>
      <c r="R307" s="12"/>
    </row>
    <row r="308" spans="1:18" x14ac:dyDescent="0.2">
      <c r="A308">
        <v>3</v>
      </c>
      <c r="B308" t="s">
        <v>31</v>
      </c>
      <c r="C308">
        <v>2018</v>
      </c>
      <c r="D308">
        <v>6</v>
      </c>
      <c r="E308" s="4">
        <v>0</v>
      </c>
      <c r="F308" s="9">
        <v>0</v>
      </c>
      <c r="G308" s="6">
        <v>4915</v>
      </c>
      <c r="H308" s="9">
        <f t="shared" si="4"/>
        <v>0</v>
      </c>
      <c r="I308" s="6">
        <v>12000</v>
      </c>
      <c r="J308" s="6">
        <f>VLOOKUP(Table1[[#This Row],[Province]],[1]Sheet1!$A$4:$B$37,2,FALSE)</f>
        <v>5066500</v>
      </c>
      <c r="K308">
        <v>0</v>
      </c>
      <c r="L308" s="4">
        <v>0.73994000000000004</v>
      </c>
      <c r="M308" s="4">
        <v>100.800005</v>
      </c>
      <c r="N308" s="13">
        <v>5.18</v>
      </c>
      <c r="P308"/>
      <c r="Q308" s="12"/>
      <c r="R308" s="12"/>
    </row>
    <row r="309" spans="1:18" x14ac:dyDescent="0.2">
      <c r="A309">
        <v>3</v>
      </c>
      <c r="B309" t="s">
        <v>31</v>
      </c>
      <c r="C309">
        <v>2018</v>
      </c>
      <c r="D309">
        <v>7</v>
      </c>
      <c r="E309" s="4">
        <v>0</v>
      </c>
      <c r="F309" s="9">
        <v>0</v>
      </c>
      <c r="G309" s="6">
        <v>3069</v>
      </c>
      <c r="H309" s="9">
        <f t="shared" si="4"/>
        <v>0</v>
      </c>
      <c r="I309" s="6">
        <v>12000</v>
      </c>
      <c r="J309" s="6">
        <f>VLOOKUP(Table1[[#This Row],[Province]],[1]Sheet1!$A$4:$B$37,2,FALSE)</f>
        <v>5066500</v>
      </c>
      <c r="K309">
        <v>0</v>
      </c>
      <c r="L309" s="4">
        <v>0.73994000000000004</v>
      </c>
      <c r="M309" s="4">
        <v>100.800005</v>
      </c>
      <c r="N309" s="13">
        <v>5.18</v>
      </c>
      <c r="P309"/>
      <c r="Q309" s="12"/>
      <c r="R309" s="12"/>
    </row>
    <row r="310" spans="1:18" x14ac:dyDescent="0.2">
      <c r="A310">
        <v>3</v>
      </c>
      <c r="B310" t="s">
        <v>31</v>
      </c>
      <c r="C310">
        <v>2018</v>
      </c>
      <c r="D310">
        <v>8</v>
      </c>
      <c r="E310" s="4">
        <v>0</v>
      </c>
      <c r="F310" s="9">
        <v>0</v>
      </c>
      <c r="G310" s="6">
        <v>3556</v>
      </c>
      <c r="H310" s="9">
        <f t="shared" si="4"/>
        <v>0</v>
      </c>
      <c r="I310" s="6">
        <v>12000</v>
      </c>
      <c r="J310" s="6">
        <f>VLOOKUP(Table1[[#This Row],[Province]],[1]Sheet1!$A$4:$B$37,2,FALSE)</f>
        <v>5066500</v>
      </c>
      <c r="K310">
        <v>0</v>
      </c>
      <c r="L310" s="4">
        <v>0.73994000000000004</v>
      </c>
      <c r="M310" s="4">
        <v>100.800005</v>
      </c>
      <c r="N310" s="13">
        <v>5.18</v>
      </c>
      <c r="P310"/>
      <c r="Q310" s="12"/>
      <c r="R310" s="12"/>
    </row>
    <row r="311" spans="1:18" x14ac:dyDescent="0.2">
      <c r="A311">
        <v>3</v>
      </c>
      <c r="B311" t="s">
        <v>31</v>
      </c>
      <c r="C311">
        <v>2018</v>
      </c>
      <c r="D311">
        <v>9</v>
      </c>
      <c r="E311" s="4">
        <v>0</v>
      </c>
      <c r="F311" s="9">
        <v>0</v>
      </c>
      <c r="G311" s="6">
        <v>2896</v>
      </c>
      <c r="H311" s="9">
        <f t="shared" si="4"/>
        <v>0</v>
      </c>
      <c r="I311" s="6">
        <v>11975</v>
      </c>
      <c r="J311" s="6">
        <f>VLOOKUP(Table1[[#This Row],[Province]],[1]Sheet1!$A$4:$B$37,2,FALSE)</f>
        <v>5066500</v>
      </c>
      <c r="K311">
        <v>0</v>
      </c>
      <c r="L311" s="4">
        <v>0.73994000000000004</v>
      </c>
      <c r="M311" s="4">
        <v>100.800005</v>
      </c>
      <c r="N311" s="13">
        <v>5.18</v>
      </c>
      <c r="P311"/>
      <c r="Q311" s="12"/>
      <c r="R311" s="12"/>
    </row>
    <row r="312" spans="1:18" x14ac:dyDescent="0.2">
      <c r="A312">
        <v>3</v>
      </c>
      <c r="B312" t="s">
        <v>31</v>
      </c>
      <c r="C312">
        <v>2018</v>
      </c>
      <c r="D312">
        <v>11</v>
      </c>
      <c r="E312" s="4">
        <v>0</v>
      </c>
      <c r="F312" s="9">
        <v>0</v>
      </c>
      <c r="G312" s="6">
        <v>3773</v>
      </c>
      <c r="H312" s="9">
        <f t="shared" si="4"/>
        <v>0</v>
      </c>
      <c r="I312" s="6">
        <v>12800</v>
      </c>
      <c r="J312" s="6">
        <f>VLOOKUP(Table1[[#This Row],[Province]],[1]Sheet1!$A$4:$B$37,2,FALSE)</f>
        <v>5066500</v>
      </c>
      <c r="K312">
        <v>0</v>
      </c>
      <c r="L312" s="4">
        <v>0.73994000000000004</v>
      </c>
      <c r="M312" s="4">
        <v>100.800005</v>
      </c>
      <c r="N312" s="13">
        <v>5.18</v>
      </c>
      <c r="P312"/>
      <c r="Q312" s="12"/>
      <c r="R312" s="12"/>
    </row>
    <row r="313" spans="1:18" x14ac:dyDescent="0.2">
      <c r="A313">
        <v>3</v>
      </c>
      <c r="B313" t="s">
        <v>31</v>
      </c>
      <c r="C313">
        <v>2018</v>
      </c>
      <c r="D313">
        <v>12</v>
      </c>
      <c r="E313" s="4">
        <v>0</v>
      </c>
      <c r="F313" s="9">
        <v>0</v>
      </c>
      <c r="G313" s="6">
        <v>2783</v>
      </c>
      <c r="H313" s="9">
        <f t="shared" si="4"/>
        <v>0</v>
      </c>
      <c r="I313" s="6">
        <v>12725</v>
      </c>
      <c r="J313" s="6">
        <f>VLOOKUP(Table1[[#This Row],[Province]],[1]Sheet1!$A$4:$B$37,2,FALSE)</f>
        <v>5066500</v>
      </c>
      <c r="K313">
        <v>1</v>
      </c>
      <c r="L313" s="4">
        <v>0.73994000000000004</v>
      </c>
      <c r="M313" s="4">
        <v>100.800005</v>
      </c>
      <c r="N313" s="13">
        <v>5.18</v>
      </c>
      <c r="P313"/>
      <c r="Q313" s="12"/>
      <c r="R313" s="12"/>
    </row>
    <row r="314" spans="1:18" x14ac:dyDescent="0.2">
      <c r="A314">
        <v>3</v>
      </c>
      <c r="B314" t="s">
        <v>31</v>
      </c>
      <c r="C314">
        <v>2019</v>
      </c>
      <c r="D314">
        <v>1</v>
      </c>
      <c r="E314" s="4">
        <v>0</v>
      </c>
      <c r="F314" s="9">
        <v>0</v>
      </c>
      <c r="G314" s="6">
        <v>3346</v>
      </c>
      <c r="H314" s="9">
        <f t="shared" si="4"/>
        <v>0</v>
      </c>
      <c r="I314" s="6">
        <v>12017</v>
      </c>
      <c r="J314" s="6">
        <f>VLOOKUP(Table1[[#This Row],[Province]],[1]Sheet1!$A$4:$B$37,2,FALSE)</f>
        <v>5066500</v>
      </c>
      <c r="K314">
        <v>0</v>
      </c>
      <c r="L314" s="4">
        <v>0.73994000000000004</v>
      </c>
      <c r="M314" s="4">
        <v>100.800005</v>
      </c>
      <c r="N314" s="13">
        <v>5.01</v>
      </c>
      <c r="P314"/>
      <c r="Q314" s="12"/>
      <c r="R314" s="12"/>
    </row>
    <row r="315" spans="1:18" x14ac:dyDescent="0.2">
      <c r="A315">
        <v>3</v>
      </c>
      <c r="B315" t="s">
        <v>31</v>
      </c>
      <c r="C315">
        <v>2019</v>
      </c>
      <c r="D315">
        <v>2</v>
      </c>
      <c r="E315" s="4">
        <v>0</v>
      </c>
      <c r="F315" s="9">
        <v>0</v>
      </c>
      <c r="G315" s="6">
        <v>2594</v>
      </c>
      <c r="H315" s="9">
        <f t="shared" si="4"/>
        <v>0</v>
      </c>
      <c r="I315" s="6">
        <v>12000</v>
      </c>
      <c r="J315" s="6">
        <f>VLOOKUP(Table1[[#This Row],[Province]],[1]Sheet1!$A$4:$B$37,2,FALSE)</f>
        <v>5066500</v>
      </c>
      <c r="K315">
        <v>0</v>
      </c>
      <c r="L315" s="4">
        <v>0.73994000000000004</v>
      </c>
      <c r="M315" s="4">
        <v>100.800005</v>
      </c>
      <c r="N315" s="13">
        <v>5.01</v>
      </c>
      <c r="P315"/>
      <c r="Q315" s="12"/>
      <c r="R315" s="12"/>
    </row>
    <row r="316" spans="1:18" x14ac:dyDescent="0.2">
      <c r="A316">
        <v>3</v>
      </c>
      <c r="B316" t="s">
        <v>31</v>
      </c>
      <c r="C316">
        <v>2019</v>
      </c>
      <c r="D316">
        <v>3</v>
      </c>
      <c r="E316" s="4">
        <v>0</v>
      </c>
      <c r="F316" s="9">
        <v>0</v>
      </c>
      <c r="G316" s="6">
        <v>494</v>
      </c>
      <c r="H316" s="9">
        <f t="shared" si="4"/>
        <v>0</v>
      </c>
      <c r="I316" s="6">
        <v>12000</v>
      </c>
      <c r="J316" s="6">
        <f>VLOOKUP(Table1[[#This Row],[Province]],[1]Sheet1!$A$4:$B$37,2,FALSE)</f>
        <v>5066500</v>
      </c>
      <c r="K316">
        <v>0</v>
      </c>
      <c r="L316" s="4">
        <v>0.73994000000000004</v>
      </c>
      <c r="M316" s="4">
        <v>100.800005</v>
      </c>
      <c r="N316" s="13">
        <v>5.01</v>
      </c>
      <c r="P316"/>
      <c r="Q316" s="12"/>
      <c r="R316" s="12"/>
    </row>
    <row r="317" spans="1:18" x14ac:dyDescent="0.2">
      <c r="A317">
        <v>3</v>
      </c>
      <c r="B317" t="s">
        <v>31</v>
      </c>
      <c r="C317">
        <v>2019</v>
      </c>
      <c r="D317">
        <v>4</v>
      </c>
      <c r="E317" s="4">
        <v>0</v>
      </c>
      <c r="F317" s="9">
        <v>0</v>
      </c>
      <c r="G317" s="6">
        <v>3145</v>
      </c>
      <c r="H317" s="9">
        <f t="shared" si="4"/>
        <v>0</v>
      </c>
      <c r="I317" s="6">
        <v>12000</v>
      </c>
      <c r="J317" s="6">
        <f>VLOOKUP(Table1[[#This Row],[Province]],[1]Sheet1!$A$4:$B$37,2,FALSE)</f>
        <v>5066500</v>
      </c>
      <c r="K317">
        <v>0</v>
      </c>
      <c r="L317" s="4">
        <v>0.73994000000000004</v>
      </c>
      <c r="M317" s="4">
        <v>100.800005</v>
      </c>
      <c r="N317" s="13">
        <v>5.01</v>
      </c>
      <c r="P317"/>
      <c r="Q317" s="12"/>
      <c r="R317" s="12"/>
    </row>
    <row r="318" spans="1:18" x14ac:dyDescent="0.2">
      <c r="A318">
        <v>3</v>
      </c>
      <c r="B318" t="s">
        <v>31</v>
      </c>
      <c r="C318">
        <v>2019</v>
      </c>
      <c r="D318">
        <v>5</v>
      </c>
      <c r="E318" s="4">
        <v>0</v>
      </c>
      <c r="F318" s="9">
        <v>0</v>
      </c>
      <c r="G318" s="6">
        <v>4405</v>
      </c>
      <c r="H318" s="9">
        <f t="shared" si="4"/>
        <v>0</v>
      </c>
      <c r="I318" s="6">
        <v>12485</v>
      </c>
      <c r="J318" s="6">
        <f>VLOOKUP(Table1[[#This Row],[Province]],[1]Sheet1!$A$4:$B$37,2,FALSE)</f>
        <v>5066500</v>
      </c>
      <c r="K318">
        <v>1</v>
      </c>
      <c r="L318" s="4">
        <v>0.73994000000000004</v>
      </c>
      <c r="M318" s="4">
        <v>100.800005</v>
      </c>
      <c r="N318" s="13">
        <v>5.01</v>
      </c>
      <c r="P318"/>
      <c r="Q318" s="12"/>
      <c r="R318" s="12"/>
    </row>
    <row r="319" spans="1:18" x14ac:dyDescent="0.2">
      <c r="A319">
        <v>3</v>
      </c>
      <c r="B319" t="s">
        <v>31</v>
      </c>
      <c r="C319">
        <v>2019</v>
      </c>
      <c r="D319">
        <v>6</v>
      </c>
      <c r="E319" s="4">
        <v>0</v>
      </c>
      <c r="F319" s="9">
        <v>0</v>
      </c>
      <c r="G319" s="6">
        <v>6441</v>
      </c>
      <c r="H319" s="9">
        <f t="shared" si="4"/>
        <v>0</v>
      </c>
      <c r="I319" s="6">
        <v>12628</v>
      </c>
      <c r="J319" s="6">
        <f>VLOOKUP(Table1[[#This Row],[Province]],[1]Sheet1!$A$4:$B$37,2,FALSE)</f>
        <v>5066500</v>
      </c>
      <c r="K319">
        <v>0</v>
      </c>
      <c r="L319" s="4">
        <v>0.73994000000000004</v>
      </c>
      <c r="M319" s="4">
        <v>100.800005</v>
      </c>
      <c r="N319" s="13">
        <v>5.01</v>
      </c>
      <c r="P319"/>
      <c r="Q319" s="12"/>
      <c r="R319" s="12"/>
    </row>
    <row r="320" spans="1:18" x14ac:dyDescent="0.2">
      <c r="A320">
        <v>3</v>
      </c>
      <c r="B320" t="s">
        <v>31</v>
      </c>
      <c r="C320">
        <v>2019</v>
      </c>
      <c r="D320">
        <v>7</v>
      </c>
      <c r="E320" s="4">
        <v>0</v>
      </c>
      <c r="F320" s="9">
        <v>0</v>
      </c>
      <c r="G320" s="6">
        <v>3921</v>
      </c>
      <c r="H320" s="9">
        <f t="shared" si="4"/>
        <v>0</v>
      </c>
      <c r="I320" s="6">
        <v>13236</v>
      </c>
      <c r="J320" s="6">
        <f>VLOOKUP(Table1[[#This Row],[Province]],[1]Sheet1!$A$4:$B$37,2,FALSE)</f>
        <v>5066500</v>
      </c>
      <c r="K320">
        <v>0</v>
      </c>
      <c r="L320" s="4">
        <v>0.73994000000000004</v>
      </c>
      <c r="M320" s="4">
        <v>100.800005</v>
      </c>
      <c r="N320" s="13">
        <v>5.01</v>
      </c>
      <c r="P320"/>
      <c r="Q320" s="12"/>
      <c r="R320" s="12"/>
    </row>
    <row r="321" spans="1:18" x14ac:dyDescent="0.2">
      <c r="A321">
        <v>3</v>
      </c>
      <c r="B321" t="s">
        <v>31</v>
      </c>
      <c r="C321">
        <v>2019</v>
      </c>
      <c r="D321">
        <v>8</v>
      </c>
      <c r="E321" s="4">
        <v>0</v>
      </c>
      <c r="F321" s="9">
        <v>0</v>
      </c>
      <c r="G321" s="6">
        <v>3919</v>
      </c>
      <c r="H321" s="9">
        <f t="shared" si="4"/>
        <v>0</v>
      </c>
      <c r="I321" s="6">
        <v>13277</v>
      </c>
      <c r="J321" s="6">
        <f>VLOOKUP(Table1[[#This Row],[Province]],[1]Sheet1!$A$4:$B$37,2,FALSE)</f>
        <v>5066500</v>
      </c>
      <c r="K321">
        <v>0</v>
      </c>
      <c r="L321" s="4">
        <v>0.73994000000000004</v>
      </c>
      <c r="M321" s="4">
        <v>100.800005</v>
      </c>
      <c r="N321" s="13">
        <v>5.01</v>
      </c>
      <c r="P321"/>
      <c r="Q321" s="12"/>
      <c r="R321" s="12"/>
    </row>
    <row r="322" spans="1:18" x14ac:dyDescent="0.2">
      <c r="A322">
        <v>3</v>
      </c>
      <c r="B322" t="s">
        <v>31</v>
      </c>
      <c r="C322">
        <v>2019</v>
      </c>
      <c r="D322">
        <v>9</v>
      </c>
      <c r="E322" s="4">
        <v>0</v>
      </c>
      <c r="F322" s="9">
        <v>0</v>
      </c>
      <c r="G322" s="6">
        <v>2984</v>
      </c>
      <c r="H322" s="9">
        <f t="shared" ref="H322:H385" si="5">F322+E322</f>
        <v>0</v>
      </c>
      <c r="I322" s="6">
        <v>13044</v>
      </c>
      <c r="J322" s="6">
        <f>VLOOKUP(Table1[[#This Row],[Province]],[1]Sheet1!$A$4:$B$37,2,FALSE)</f>
        <v>5066500</v>
      </c>
      <c r="K322">
        <v>0</v>
      </c>
      <c r="L322" s="4">
        <v>0.73994000000000004</v>
      </c>
      <c r="M322" s="4">
        <v>100.800005</v>
      </c>
      <c r="N322" s="13">
        <v>5.01</v>
      </c>
      <c r="P322"/>
      <c r="Q322" s="12"/>
      <c r="R322" s="12"/>
    </row>
    <row r="323" spans="1:18" x14ac:dyDescent="0.2">
      <c r="A323">
        <v>3</v>
      </c>
      <c r="B323" t="s">
        <v>31</v>
      </c>
      <c r="C323">
        <v>2019</v>
      </c>
      <c r="D323">
        <v>10</v>
      </c>
      <c r="E323" s="4">
        <v>0</v>
      </c>
      <c r="F323" s="9">
        <v>0</v>
      </c>
      <c r="G323" s="6">
        <v>4713</v>
      </c>
      <c r="H323" s="9">
        <f t="shared" si="5"/>
        <v>0</v>
      </c>
      <c r="I323" s="6">
        <v>13256</v>
      </c>
      <c r="J323" s="6">
        <f>VLOOKUP(Table1[[#This Row],[Province]],[1]Sheet1!$A$4:$B$37,2,FALSE)</f>
        <v>5066500</v>
      </c>
      <c r="K323">
        <v>0</v>
      </c>
      <c r="L323" s="4">
        <v>0.73994000000000004</v>
      </c>
      <c r="M323" s="4">
        <v>100.800005</v>
      </c>
      <c r="N323" s="13">
        <v>5.01</v>
      </c>
      <c r="P323"/>
      <c r="Q323" s="12"/>
      <c r="R323" s="12"/>
    </row>
    <row r="324" spans="1:18" x14ac:dyDescent="0.2">
      <c r="A324">
        <v>3</v>
      </c>
      <c r="B324" t="s">
        <v>31</v>
      </c>
      <c r="C324">
        <v>2019</v>
      </c>
      <c r="D324">
        <v>11</v>
      </c>
      <c r="E324" s="4">
        <v>0</v>
      </c>
      <c r="F324" s="9">
        <v>0</v>
      </c>
      <c r="G324" s="6">
        <v>2668</v>
      </c>
      <c r="H324" s="9">
        <f t="shared" si="5"/>
        <v>0</v>
      </c>
      <c r="I324" s="6">
        <v>13500</v>
      </c>
      <c r="J324" s="6">
        <f>VLOOKUP(Table1[[#This Row],[Province]],[1]Sheet1!$A$4:$B$37,2,FALSE)</f>
        <v>5066500</v>
      </c>
      <c r="K324">
        <v>0</v>
      </c>
      <c r="L324" s="4">
        <v>0.73994000000000004</v>
      </c>
      <c r="M324" s="4">
        <v>100.800005</v>
      </c>
      <c r="N324" s="13">
        <v>5.01</v>
      </c>
      <c r="P324"/>
      <c r="Q324" s="12"/>
      <c r="R324" s="12"/>
    </row>
    <row r="325" spans="1:18" x14ac:dyDescent="0.2">
      <c r="A325">
        <v>3</v>
      </c>
      <c r="B325" t="s">
        <v>31</v>
      </c>
      <c r="C325">
        <v>2019</v>
      </c>
      <c r="D325">
        <v>12</v>
      </c>
      <c r="E325" s="4">
        <v>0</v>
      </c>
      <c r="F325" s="9">
        <v>0</v>
      </c>
      <c r="G325" s="6">
        <v>3261</v>
      </c>
      <c r="H325" s="9">
        <f t="shared" si="5"/>
        <v>0</v>
      </c>
      <c r="I325" s="6">
        <v>13067</v>
      </c>
      <c r="J325" s="6">
        <f>VLOOKUP(Table1[[#This Row],[Province]],[1]Sheet1!$A$4:$B$37,2,FALSE)</f>
        <v>5066500</v>
      </c>
      <c r="K325">
        <v>1</v>
      </c>
      <c r="L325" s="4">
        <v>0.73994000000000004</v>
      </c>
      <c r="M325" s="4">
        <v>100.800005</v>
      </c>
      <c r="N325" s="13">
        <v>5.01</v>
      </c>
      <c r="P325"/>
      <c r="Q325" s="12"/>
      <c r="R325" s="12"/>
    </row>
    <row r="326" spans="1:18" x14ac:dyDescent="0.2">
      <c r="A326">
        <v>3</v>
      </c>
      <c r="B326" t="s">
        <v>31</v>
      </c>
      <c r="C326">
        <v>2020</v>
      </c>
      <c r="D326">
        <v>1</v>
      </c>
      <c r="E326" s="4">
        <v>0</v>
      </c>
      <c r="F326" s="9">
        <v>0</v>
      </c>
      <c r="G326" s="6">
        <v>5380</v>
      </c>
      <c r="H326" s="9">
        <f t="shared" si="5"/>
        <v>0</v>
      </c>
      <c r="I326" s="6">
        <v>13000</v>
      </c>
      <c r="J326" s="6">
        <f>VLOOKUP(Table1[[#This Row],[Province]],[1]Sheet1!$A$4:$B$37,2,FALSE)</f>
        <v>5066500</v>
      </c>
      <c r="K326">
        <v>0</v>
      </c>
      <c r="L326" s="4">
        <v>0.73994000000000004</v>
      </c>
      <c r="M326" s="4">
        <v>100.800005</v>
      </c>
      <c r="N326" s="13">
        <v>-1.61</v>
      </c>
      <c r="P326"/>
      <c r="Q326" s="12"/>
      <c r="R326" s="12"/>
    </row>
    <row r="327" spans="1:18" x14ac:dyDescent="0.2">
      <c r="A327">
        <v>3</v>
      </c>
      <c r="B327" t="s">
        <v>31</v>
      </c>
      <c r="C327">
        <v>2020</v>
      </c>
      <c r="D327">
        <v>2</v>
      </c>
      <c r="E327" s="4">
        <v>0</v>
      </c>
      <c r="F327" s="9">
        <v>0</v>
      </c>
      <c r="G327" s="6">
        <v>3008</v>
      </c>
      <c r="H327" s="9">
        <f t="shared" si="5"/>
        <v>0</v>
      </c>
      <c r="I327" s="6">
        <v>12036</v>
      </c>
      <c r="J327" s="6">
        <f>VLOOKUP(Table1[[#This Row],[Province]],[1]Sheet1!$A$4:$B$37,2,FALSE)</f>
        <v>5066500</v>
      </c>
      <c r="K327">
        <v>0</v>
      </c>
      <c r="L327" s="4">
        <v>0.73994000000000004</v>
      </c>
      <c r="M327" s="4">
        <v>100.800005</v>
      </c>
      <c r="N327" s="13">
        <v>-1.61</v>
      </c>
      <c r="P327"/>
      <c r="Q327" s="12"/>
      <c r="R327" s="12"/>
    </row>
    <row r="328" spans="1:18" x14ac:dyDescent="0.2">
      <c r="A328">
        <v>3</v>
      </c>
      <c r="B328" t="s">
        <v>31</v>
      </c>
      <c r="C328">
        <v>2020</v>
      </c>
      <c r="D328">
        <v>3</v>
      </c>
      <c r="E328" s="4">
        <v>0</v>
      </c>
      <c r="F328" s="9">
        <v>0</v>
      </c>
      <c r="G328" s="6">
        <v>3766</v>
      </c>
      <c r="H328" s="9">
        <f t="shared" si="5"/>
        <v>0</v>
      </c>
      <c r="I328" s="6">
        <v>14822</v>
      </c>
      <c r="J328" s="6">
        <f>VLOOKUP(Table1[[#This Row],[Province]],[1]Sheet1!$A$4:$B$37,2,FALSE)</f>
        <v>5066500</v>
      </c>
      <c r="K328">
        <v>0</v>
      </c>
      <c r="L328" s="4">
        <v>0.73994000000000004</v>
      </c>
      <c r="M328" s="4">
        <v>100.800005</v>
      </c>
      <c r="N328" s="13">
        <v>-1.61</v>
      </c>
      <c r="P328"/>
      <c r="Q328" s="12"/>
      <c r="R328" s="12"/>
    </row>
    <row r="329" spans="1:18" x14ac:dyDescent="0.2">
      <c r="A329">
        <v>3</v>
      </c>
      <c r="B329" t="s">
        <v>31</v>
      </c>
      <c r="C329">
        <v>2020</v>
      </c>
      <c r="D329">
        <v>4</v>
      </c>
      <c r="E329" s="4">
        <v>0</v>
      </c>
      <c r="F329" s="9">
        <v>0</v>
      </c>
      <c r="G329" s="6">
        <v>4947</v>
      </c>
      <c r="H329" s="9">
        <f t="shared" si="5"/>
        <v>0</v>
      </c>
      <c r="I329" s="6">
        <v>16441</v>
      </c>
      <c r="J329" s="6">
        <f>VLOOKUP(Table1[[#This Row],[Province]],[1]Sheet1!$A$4:$B$37,2,FALSE)</f>
        <v>5066500</v>
      </c>
      <c r="K329">
        <v>1</v>
      </c>
      <c r="L329" s="4">
        <v>0.73994000000000004</v>
      </c>
      <c r="M329" s="4">
        <v>100.800005</v>
      </c>
      <c r="N329" s="13">
        <v>-1.61</v>
      </c>
      <c r="P329"/>
      <c r="Q329" s="12"/>
      <c r="R329" s="12"/>
    </row>
    <row r="330" spans="1:18" x14ac:dyDescent="0.2">
      <c r="A330">
        <v>3</v>
      </c>
      <c r="B330" t="s">
        <v>31</v>
      </c>
      <c r="C330">
        <v>2020</v>
      </c>
      <c r="D330">
        <v>5</v>
      </c>
      <c r="E330" s="4">
        <v>0</v>
      </c>
      <c r="F330" s="9">
        <v>0</v>
      </c>
      <c r="G330" s="6">
        <v>3233</v>
      </c>
      <c r="H330" s="9">
        <f t="shared" si="5"/>
        <v>0</v>
      </c>
      <c r="I330" s="6">
        <v>16720</v>
      </c>
      <c r="J330" s="6">
        <f>VLOOKUP(Table1[[#This Row],[Province]],[1]Sheet1!$A$4:$B$37,2,FALSE)</f>
        <v>5066500</v>
      </c>
      <c r="K330">
        <v>0</v>
      </c>
      <c r="L330" s="4">
        <v>0.73994000000000004</v>
      </c>
      <c r="M330" s="4">
        <v>100.800005</v>
      </c>
      <c r="N330" s="13">
        <v>-1.61</v>
      </c>
      <c r="P330"/>
      <c r="Q330" s="12"/>
      <c r="R330" s="12"/>
    </row>
    <row r="331" spans="1:18" x14ac:dyDescent="0.2">
      <c r="A331">
        <v>3</v>
      </c>
      <c r="B331" t="s">
        <v>31</v>
      </c>
      <c r="C331">
        <v>2020</v>
      </c>
      <c r="D331">
        <v>6</v>
      </c>
      <c r="E331" s="4">
        <v>0</v>
      </c>
      <c r="F331" s="9">
        <v>0</v>
      </c>
      <c r="G331" s="6">
        <v>8202</v>
      </c>
      <c r="H331" s="9">
        <f t="shared" si="5"/>
        <v>0</v>
      </c>
      <c r="I331" s="6">
        <v>16214</v>
      </c>
      <c r="J331" s="6">
        <f>VLOOKUP(Table1[[#This Row],[Province]],[1]Sheet1!$A$4:$B$37,2,FALSE)</f>
        <v>5066500</v>
      </c>
      <c r="K331">
        <v>0</v>
      </c>
      <c r="L331" s="4">
        <v>0.73994000000000004</v>
      </c>
      <c r="M331" s="4">
        <v>100.800005</v>
      </c>
      <c r="N331" s="13">
        <v>-1.61</v>
      </c>
      <c r="P331"/>
      <c r="Q331" s="12"/>
      <c r="R331" s="12"/>
    </row>
    <row r="332" spans="1:18" x14ac:dyDescent="0.2">
      <c r="A332">
        <v>3</v>
      </c>
      <c r="B332" t="s">
        <v>31</v>
      </c>
      <c r="C332">
        <v>2020</v>
      </c>
      <c r="D332">
        <v>7</v>
      </c>
      <c r="E332" s="4">
        <v>0</v>
      </c>
      <c r="F332" s="9">
        <v>0</v>
      </c>
      <c r="G332" s="6">
        <v>3151</v>
      </c>
      <c r="H332" s="9">
        <f t="shared" si="5"/>
        <v>0</v>
      </c>
      <c r="I332" s="6">
        <v>15900</v>
      </c>
      <c r="J332" s="6">
        <f>VLOOKUP(Table1[[#This Row],[Province]],[1]Sheet1!$A$4:$B$37,2,FALSE)</f>
        <v>5066500</v>
      </c>
      <c r="K332">
        <v>0</v>
      </c>
      <c r="L332" s="4">
        <v>0.73994000000000004</v>
      </c>
      <c r="M332" s="4">
        <v>100.800005</v>
      </c>
      <c r="N332" s="13">
        <v>-1.61</v>
      </c>
      <c r="P332"/>
      <c r="Q332" s="12"/>
      <c r="R332" s="12"/>
    </row>
    <row r="333" spans="1:18" x14ac:dyDescent="0.2">
      <c r="A333">
        <v>3</v>
      </c>
      <c r="B333" t="s">
        <v>31</v>
      </c>
      <c r="C333">
        <v>2020</v>
      </c>
      <c r="D333">
        <v>8</v>
      </c>
      <c r="E333" s="4">
        <v>0</v>
      </c>
      <c r="F333" s="9">
        <v>0</v>
      </c>
      <c r="G333" s="6">
        <v>6801</v>
      </c>
      <c r="H333" s="9">
        <f t="shared" si="5"/>
        <v>0</v>
      </c>
      <c r="I333" s="6">
        <v>15833</v>
      </c>
      <c r="J333" s="6">
        <f>VLOOKUP(Table1[[#This Row],[Province]],[1]Sheet1!$A$4:$B$37,2,FALSE)</f>
        <v>5066500</v>
      </c>
      <c r="K333">
        <v>0</v>
      </c>
      <c r="L333" s="4">
        <v>0.73994000000000004</v>
      </c>
      <c r="M333" s="4">
        <v>100.800005</v>
      </c>
      <c r="N333" s="13">
        <v>-1.61</v>
      </c>
      <c r="P333"/>
      <c r="Q333" s="12"/>
      <c r="R333" s="12"/>
    </row>
    <row r="334" spans="1:18" x14ac:dyDescent="0.2">
      <c r="A334">
        <v>3</v>
      </c>
      <c r="B334" t="s">
        <v>31</v>
      </c>
      <c r="C334">
        <v>2020</v>
      </c>
      <c r="D334">
        <v>9</v>
      </c>
      <c r="E334" s="4">
        <v>0</v>
      </c>
      <c r="F334" s="9">
        <v>0</v>
      </c>
      <c r="G334" s="6">
        <v>3252</v>
      </c>
      <c r="H334" s="9">
        <f t="shared" si="5"/>
        <v>0</v>
      </c>
      <c r="I334" s="6">
        <v>13876</v>
      </c>
      <c r="J334" s="6">
        <f>VLOOKUP(Table1[[#This Row],[Province]],[1]Sheet1!$A$4:$B$37,2,FALSE)</f>
        <v>5066500</v>
      </c>
      <c r="K334">
        <v>0</v>
      </c>
      <c r="L334" s="4">
        <v>0.73994000000000004</v>
      </c>
      <c r="M334" s="4">
        <v>100.800005</v>
      </c>
      <c r="N334" s="13">
        <v>-1.61</v>
      </c>
      <c r="P334"/>
      <c r="Q334" s="12"/>
      <c r="R334" s="12"/>
    </row>
    <row r="335" spans="1:18" x14ac:dyDescent="0.2">
      <c r="A335">
        <v>3</v>
      </c>
      <c r="B335" t="s">
        <v>31</v>
      </c>
      <c r="C335">
        <v>2020</v>
      </c>
      <c r="D335">
        <v>10</v>
      </c>
      <c r="E335" s="4">
        <v>0</v>
      </c>
      <c r="F335" s="9">
        <v>0</v>
      </c>
      <c r="G335" s="6">
        <v>6161</v>
      </c>
      <c r="H335" s="9">
        <f t="shared" si="5"/>
        <v>0</v>
      </c>
      <c r="I335" s="6">
        <v>12829</v>
      </c>
      <c r="J335" s="6">
        <f>VLOOKUP(Table1[[#This Row],[Province]],[1]Sheet1!$A$4:$B$37,2,FALSE)</f>
        <v>5066500</v>
      </c>
      <c r="K335">
        <v>0</v>
      </c>
      <c r="L335" s="4">
        <v>0.73994000000000004</v>
      </c>
      <c r="M335" s="4">
        <v>100.800005</v>
      </c>
      <c r="N335" s="13">
        <v>-1.61</v>
      </c>
      <c r="P335"/>
      <c r="Q335" s="12"/>
      <c r="R335" s="12"/>
    </row>
    <row r="336" spans="1:18" x14ac:dyDescent="0.2">
      <c r="A336">
        <v>3</v>
      </c>
      <c r="B336" t="s">
        <v>31</v>
      </c>
      <c r="C336">
        <v>2020</v>
      </c>
      <c r="D336">
        <v>11</v>
      </c>
      <c r="E336" s="4">
        <v>0</v>
      </c>
      <c r="F336" s="9">
        <v>0</v>
      </c>
      <c r="G336" s="6">
        <v>4446</v>
      </c>
      <c r="H336" s="9">
        <f t="shared" si="5"/>
        <v>0</v>
      </c>
      <c r="I336" s="6">
        <v>12929</v>
      </c>
      <c r="J336" s="6">
        <f>VLOOKUP(Table1[[#This Row],[Province]],[1]Sheet1!$A$4:$B$37,2,FALSE)</f>
        <v>5066500</v>
      </c>
      <c r="K336">
        <v>0</v>
      </c>
      <c r="L336" s="4">
        <v>0.73994000000000004</v>
      </c>
      <c r="M336" s="4">
        <v>100.800005</v>
      </c>
      <c r="N336" s="13">
        <v>-1.61</v>
      </c>
      <c r="P336"/>
      <c r="Q336" s="12"/>
      <c r="R336" s="12"/>
    </row>
    <row r="337" spans="1:18" x14ac:dyDescent="0.2">
      <c r="A337">
        <v>3</v>
      </c>
      <c r="B337" t="s">
        <v>31</v>
      </c>
      <c r="C337">
        <v>2020</v>
      </c>
      <c r="D337">
        <v>12</v>
      </c>
      <c r="E337" s="4">
        <v>0</v>
      </c>
      <c r="F337" s="9">
        <v>0</v>
      </c>
      <c r="G337" s="6">
        <v>2632</v>
      </c>
      <c r="H337" s="9">
        <f t="shared" si="5"/>
        <v>0</v>
      </c>
      <c r="I337" s="6">
        <v>13000</v>
      </c>
      <c r="J337" s="6">
        <f>VLOOKUP(Table1[[#This Row],[Province]],[1]Sheet1!$A$4:$B$37,2,FALSE)</f>
        <v>5066500</v>
      </c>
      <c r="K337">
        <v>1</v>
      </c>
      <c r="L337" s="4">
        <v>0.73994000000000004</v>
      </c>
      <c r="M337" s="4">
        <v>100.800005</v>
      </c>
      <c r="N337" s="13">
        <v>-1.61</v>
      </c>
      <c r="P337"/>
      <c r="Q337" s="12"/>
      <c r="R337" s="12"/>
    </row>
    <row r="338" spans="1:18" x14ac:dyDescent="0.2">
      <c r="A338">
        <v>3</v>
      </c>
      <c r="B338" t="s">
        <v>31</v>
      </c>
      <c r="C338">
        <v>2021</v>
      </c>
      <c r="D338">
        <v>1</v>
      </c>
      <c r="E338" s="4">
        <v>0</v>
      </c>
      <c r="F338" s="9">
        <v>0</v>
      </c>
      <c r="G338" s="6">
        <v>2295</v>
      </c>
      <c r="H338" s="9">
        <f t="shared" si="5"/>
        <v>0</v>
      </c>
      <c r="I338" s="6">
        <v>13208</v>
      </c>
      <c r="J338" s="6">
        <f>VLOOKUP(Table1[[#This Row],[Province]],[1]Sheet1!$A$4:$B$37,2,FALSE)</f>
        <v>5066500</v>
      </c>
      <c r="K338">
        <v>0</v>
      </c>
      <c r="L338" s="4">
        <v>0.73994000000000004</v>
      </c>
      <c r="M338" s="4">
        <v>100.800005</v>
      </c>
      <c r="N338" s="13">
        <v>3.29</v>
      </c>
      <c r="P338"/>
      <c r="Q338" s="12"/>
      <c r="R338" s="12"/>
    </row>
    <row r="339" spans="1:18" x14ac:dyDescent="0.2">
      <c r="A339">
        <v>3</v>
      </c>
      <c r="B339" t="s">
        <v>31</v>
      </c>
      <c r="C339">
        <v>2021</v>
      </c>
      <c r="D339">
        <v>2</v>
      </c>
      <c r="E339" s="4">
        <v>0</v>
      </c>
      <c r="F339" s="9">
        <v>0</v>
      </c>
      <c r="G339" s="6">
        <v>1453</v>
      </c>
      <c r="H339" s="9">
        <f t="shared" si="5"/>
        <v>0</v>
      </c>
      <c r="I339" s="6">
        <v>14000</v>
      </c>
      <c r="J339" s="6">
        <f>VLOOKUP(Table1[[#This Row],[Province]],[1]Sheet1!$A$4:$B$37,2,FALSE)</f>
        <v>5066500</v>
      </c>
      <c r="K339">
        <v>0</v>
      </c>
      <c r="L339" s="4">
        <v>0.73994000000000004</v>
      </c>
      <c r="M339" s="4">
        <v>100.800005</v>
      </c>
      <c r="N339" s="13">
        <v>3.29</v>
      </c>
      <c r="P339"/>
      <c r="Q339" s="12"/>
      <c r="R339" s="12"/>
    </row>
    <row r="340" spans="1:18" x14ac:dyDescent="0.2">
      <c r="A340">
        <v>3</v>
      </c>
      <c r="B340" t="s">
        <v>31</v>
      </c>
      <c r="C340">
        <v>2021</v>
      </c>
      <c r="D340">
        <v>3</v>
      </c>
      <c r="E340" s="4">
        <v>0</v>
      </c>
      <c r="F340" s="9">
        <v>0</v>
      </c>
      <c r="G340" s="6">
        <v>451</v>
      </c>
      <c r="H340" s="9">
        <f t="shared" si="5"/>
        <v>0</v>
      </c>
      <c r="I340" s="6">
        <v>14000</v>
      </c>
      <c r="J340" s="6">
        <f>VLOOKUP(Table1[[#This Row],[Province]],[1]Sheet1!$A$4:$B$37,2,FALSE)</f>
        <v>5066500</v>
      </c>
      <c r="K340">
        <v>0</v>
      </c>
      <c r="L340" s="4">
        <v>0.73994000000000004</v>
      </c>
      <c r="M340" s="4">
        <v>100.800005</v>
      </c>
      <c r="N340" s="13">
        <v>3.29</v>
      </c>
      <c r="P340"/>
      <c r="Q340" s="12"/>
      <c r="R340" s="12"/>
    </row>
    <row r="341" spans="1:18" x14ac:dyDescent="0.2">
      <c r="A341">
        <v>3</v>
      </c>
      <c r="B341" t="s">
        <v>31</v>
      </c>
      <c r="C341">
        <v>2021</v>
      </c>
      <c r="D341">
        <v>4</v>
      </c>
      <c r="E341" s="4">
        <v>0</v>
      </c>
      <c r="F341" s="9">
        <v>0</v>
      </c>
      <c r="G341" s="6">
        <v>3033</v>
      </c>
      <c r="H341" s="9">
        <f t="shared" si="5"/>
        <v>0</v>
      </c>
      <c r="I341" s="6">
        <v>13000</v>
      </c>
      <c r="J341" s="6">
        <f>VLOOKUP(Table1[[#This Row],[Province]],[1]Sheet1!$A$4:$B$37,2,FALSE)</f>
        <v>5066500</v>
      </c>
      <c r="K341">
        <v>1</v>
      </c>
      <c r="L341" s="4">
        <v>0.73994000000000004</v>
      </c>
      <c r="M341" s="4">
        <v>100.800005</v>
      </c>
      <c r="N341" s="13">
        <v>3.29</v>
      </c>
      <c r="P341"/>
      <c r="Q341" s="12"/>
      <c r="R341" s="12"/>
    </row>
    <row r="342" spans="1:18" x14ac:dyDescent="0.2">
      <c r="A342">
        <v>3</v>
      </c>
      <c r="B342" t="s">
        <v>31</v>
      </c>
      <c r="C342">
        <v>2021</v>
      </c>
      <c r="D342">
        <v>5</v>
      </c>
      <c r="E342" s="4">
        <v>0</v>
      </c>
      <c r="F342" s="9">
        <v>0</v>
      </c>
      <c r="G342" s="6">
        <v>672</v>
      </c>
      <c r="H342" s="9">
        <f t="shared" si="5"/>
        <v>0</v>
      </c>
      <c r="I342" s="6">
        <v>12910</v>
      </c>
      <c r="J342" s="6">
        <f>VLOOKUP(Table1[[#This Row],[Province]],[1]Sheet1!$A$4:$B$37,2,FALSE)</f>
        <v>5066500</v>
      </c>
      <c r="K342">
        <v>0</v>
      </c>
      <c r="L342" s="4">
        <v>0.73994000000000004</v>
      </c>
      <c r="M342" s="4">
        <v>100.800005</v>
      </c>
      <c r="N342" s="13">
        <v>3.29</v>
      </c>
      <c r="P342"/>
      <c r="Q342" s="12"/>
      <c r="R342" s="12"/>
    </row>
    <row r="343" spans="1:18" x14ac:dyDescent="0.2">
      <c r="A343">
        <v>3</v>
      </c>
      <c r="B343" t="s">
        <v>31</v>
      </c>
      <c r="C343">
        <v>2021</v>
      </c>
      <c r="D343">
        <v>6</v>
      </c>
      <c r="E343" s="4">
        <v>0</v>
      </c>
      <c r="F343" s="9">
        <v>0</v>
      </c>
      <c r="G343" s="6">
        <v>1341</v>
      </c>
      <c r="H343" s="9">
        <f t="shared" si="5"/>
        <v>0</v>
      </c>
      <c r="I343" s="6">
        <v>12900</v>
      </c>
      <c r="J343" s="6">
        <f>VLOOKUP(Table1[[#This Row],[Province]],[1]Sheet1!$A$4:$B$37,2,FALSE)</f>
        <v>5066500</v>
      </c>
      <c r="K343">
        <v>0</v>
      </c>
      <c r="L343" s="4">
        <v>0.73994000000000004</v>
      </c>
      <c r="M343" s="4">
        <v>100.800005</v>
      </c>
      <c r="N343" s="13">
        <v>3.29</v>
      </c>
      <c r="P343"/>
      <c r="Q343" s="12"/>
      <c r="R343" s="12"/>
    </row>
    <row r="344" spans="1:18" x14ac:dyDescent="0.2">
      <c r="A344">
        <v>3</v>
      </c>
      <c r="B344" t="s">
        <v>31</v>
      </c>
      <c r="C344">
        <v>2021</v>
      </c>
      <c r="D344">
        <v>7</v>
      </c>
      <c r="E344" s="4">
        <v>0</v>
      </c>
      <c r="F344" s="9">
        <v>0</v>
      </c>
      <c r="G344" s="6">
        <v>4149</v>
      </c>
      <c r="H344" s="9">
        <f t="shared" si="5"/>
        <v>0</v>
      </c>
      <c r="I344" s="6">
        <v>12875</v>
      </c>
      <c r="J344" s="6">
        <f>VLOOKUP(Table1[[#This Row],[Province]],[1]Sheet1!$A$4:$B$37,2,FALSE)</f>
        <v>5066500</v>
      </c>
      <c r="K344">
        <v>0</v>
      </c>
      <c r="L344" s="4">
        <v>0.73994000000000004</v>
      </c>
      <c r="M344" s="4">
        <v>100.800005</v>
      </c>
      <c r="N344" s="13">
        <v>3.29</v>
      </c>
      <c r="P344"/>
      <c r="Q344" s="12"/>
      <c r="R344" s="12"/>
    </row>
    <row r="345" spans="1:18" x14ac:dyDescent="0.2">
      <c r="A345">
        <v>3</v>
      </c>
      <c r="B345" t="s">
        <v>31</v>
      </c>
      <c r="C345">
        <v>2021</v>
      </c>
      <c r="D345">
        <v>8</v>
      </c>
      <c r="E345" s="4">
        <v>0</v>
      </c>
      <c r="F345" s="9">
        <v>0</v>
      </c>
      <c r="G345" s="6">
        <v>2178</v>
      </c>
      <c r="H345" s="9">
        <f t="shared" si="5"/>
        <v>0</v>
      </c>
      <c r="I345" s="6">
        <v>12860</v>
      </c>
      <c r="J345" s="6">
        <f>VLOOKUP(Table1[[#This Row],[Province]],[1]Sheet1!$A$4:$B$37,2,FALSE)</f>
        <v>5066500</v>
      </c>
      <c r="K345">
        <v>0</v>
      </c>
      <c r="L345" s="4">
        <v>0.73994000000000004</v>
      </c>
      <c r="M345" s="4">
        <v>100.800005</v>
      </c>
      <c r="N345" s="13">
        <v>3.29</v>
      </c>
      <c r="P345"/>
      <c r="Q345" s="12"/>
      <c r="R345" s="12"/>
    </row>
    <row r="346" spans="1:18" x14ac:dyDescent="0.2">
      <c r="A346">
        <v>3</v>
      </c>
      <c r="B346" t="s">
        <v>31</v>
      </c>
      <c r="C346">
        <v>2021</v>
      </c>
      <c r="D346">
        <v>9</v>
      </c>
      <c r="E346" s="4">
        <v>0</v>
      </c>
      <c r="F346" s="9">
        <v>0</v>
      </c>
      <c r="G346" s="6">
        <v>7236</v>
      </c>
      <c r="H346" s="9">
        <f t="shared" si="5"/>
        <v>0</v>
      </c>
      <c r="I346" s="6">
        <v>12900</v>
      </c>
      <c r="J346" s="6">
        <f>VLOOKUP(Table1[[#This Row],[Province]],[1]Sheet1!$A$4:$B$37,2,FALSE)</f>
        <v>5066500</v>
      </c>
      <c r="K346">
        <v>0</v>
      </c>
      <c r="L346" s="4">
        <v>0.73994000000000004</v>
      </c>
      <c r="M346" s="4">
        <v>100.800005</v>
      </c>
      <c r="N346" s="13">
        <v>3.29</v>
      </c>
      <c r="P346"/>
      <c r="Q346" s="12"/>
      <c r="R346" s="12"/>
    </row>
    <row r="347" spans="1:18" x14ac:dyDescent="0.2">
      <c r="A347">
        <v>3</v>
      </c>
      <c r="B347" t="s">
        <v>31</v>
      </c>
      <c r="C347">
        <v>2021</v>
      </c>
      <c r="D347">
        <v>10</v>
      </c>
      <c r="E347" s="4">
        <v>0</v>
      </c>
      <c r="F347" s="9">
        <v>0</v>
      </c>
      <c r="G347" s="6">
        <v>4024</v>
      </c>
      <c r="H347" s="9">
        <f t="shared" si="5"/>
        <v>0</v>
      </c>
      <c r="I347" s="6">
        <v>12910</v>
      </c>
      <c r="J347" s="6">
        <f>VLOOKUP(Table1[[#This Row],[Province]],[1]Sheet1!$A$4:$B$37,2,FALSE)</f>
        <v>5066500</v>
      </c>
      <c r="K347">
        <v>0</v>
      </c>
      <c r="L347" s="4">
        <v>0.73994000000000004</v>
      </c>
      <c r="M347" s="4">
        <v>100.800005</v>
      </c>
      <c r="N347" s="13">
        <v>3.29</v>
      </c>
      <c r="P347"/>
      <c r="Q347" s="12"/>
      <c r="R347" s="12"/>
    </row>
    <row r="348" spans="1:18" x14ac:dyDescent="0.2">
      <c r="A348">
        <v>3</v>
      </c>
      <c r="B348" t="s">
        <v>31</v>
      </c>
      <c r="C348">
        <v>2021</v>
      </c>
      <c r="D348">
        <v>11</v>
      </c>
      <c r="E348" s="4">
        <v>0</v>
      </c>
      <c r="F348" s="9">
        <v>0</v>
      </c>
      <c r="G348" s="6">
        <v>5570</v>
      </c>
      <c r="H348" s="9">
        <f t="shared" si="5"/>
        <v>0</v>
      </c>
      <c r="I348" s="6">
        <v>12910</v>
      </c>
      <c r="J348" s="6">
        <f>VLOOKUP(Table1[[#This Row],[Province]],[1]Sheet1!$A$4:$B$37,2,FALSE)</f>
        <v>5066500</v>
      </c>
      <c r="K348">
        <v>0</v>
      </c>
      <c r="L348" s="4">
        <v>0.73994000000000004</v>
      </c>
      <c r="M348" s="4">
        <v>100.800005</v>
      </c>
      <c r="N348" s="13">
        <v>3.29</v>
      </c>
      <c r="P348"/>
      <c r="Q348" s="12"/>
      <c r="R348" s="12"/>
    </row>
    <row r="349" spans="1:18" x14ac:dyDescent="0.2">
      <c r="A349">
        <v>3</v>
      </c>
      <c r="B349" t="s">
        <v>31</v>
      </c>
      <c r="C349">
        <v>2021</v>
      </c>
      <c r="D349">
        <v>12</v>
      </c>
      <c r="E349" s="4">
        <v>0</v>
      </c>
      <c r="F349" s="9">
        <v>0</v>
      </c>
      <c r="G349" s="6">
        <v>7234</v>
      </c>
      <c r="H349" s="9">
        <f t="shared" si="5"/>
        <v>0</v>
      </c>
      <c r="I349" s="6">
        <v>12988</v>
      </c>
      <c r="J349" s="6">
        <f>VLOOKUP(Table1[[#This Row],[Province]],[1]Sheet1!$A$4:$B$37,2,FALSE)</f>
        <v>5066500</v>
      </c>
      <c r="K349">
        <v>1</v>
      </c>
      <c r="L349" s="4">
        <v>0.73994000000000004</v>
      </c>
      <c r="M349" s="4">
        <v>100.800005</v>
      </c>
      <c r="N349" s="13">
        <v>3.29</v>
      </c>
      <c r="P349"/>
      <c r="Q349" s="12"/>
      <c r="R349" s="12"/>
    </row>
    <row r="350" spans="1:18" x14ac:dyDescent="0.2">
      <c r="A350">
        <v>3</v>
      </c>
      <c r="B350" t="s">
        <v>31</v>
      </c>
      <c r="C350">
        <v>2022</v>
      </c>
      <c r="D350">
        <v>1</v>
      </c>
      <c r="E350" s="6">
        <v>0</v>
      </c>
      <c r="F350" s="9">
        <v>0</v>
      </c>
      <c r="G350" s="6">
        <v>5938</v>
      </c>
      <c r="H350" s="9">
        <f t="shared" si="5"/>
        <v>0</v>
      </c>
      <c r="I350" s="6">
        <v>13740</v>
      </c>
      <c r="J350" s="6">
        <f>VLOOKUP(Table1[[#This Row],[Province]],[1]Sheet1!$A$4:$B$37,2,FALSE)</f>
        <v>5066500</v>
      </c>
      <c r="K350">
        <v>0</v>
      </c>
      <c r="L350" s="4">
        <v>0.73994000000000004</v>
      </c>
      <c r="M350" s="4">
        <v>100.800005</v>
      </c>
      <c r="N350" s="13">
        <v>4.3600000000000003</v>
      </c>
      <c r="P350"/>
      <c r="Q350" s="12"/>
      <c r="R350" s="12"/>
    </row>
    <row r="351" spans="1:18" x14ac:dyDescent="0.2">
      <c r="A351">
        <v>3</v>
      </c>
      <c r="B351" t="s">
        <v>31</v>
      </c>
      <c r="C351">
        <v>2022</v>
      </c>
      <c r="D351">
        <v>2</v>
      </c>
      <c r="E351" s="6">
        <v>0</v>
      </c>
      <c r="F351" s="9">
        <v>0</v>
      </c>
      <c r="G351" s="6">
        <v>6551</v>
      </c>
      <c r="H351" s="9">
        <f t="shared" si="5"/>
        <v>0</v>
      </c>
      <c r="I351" s="6">
        <v>13978</v>
      </c>
      <c r="J351" s="6">
        <f>VLOOKUP(Table1[[#This Row],[Province]],[1]Sheet1!$A$4:$B$37,2,FALSE)</f>
        <v>5066500</v>
      </c>
      <c r="K351">
        <v>0</v>
      </c>
      <c r="L351" s="4">
        <v>0.73994000000000004</v>
      </c>
      <c r="M351" s="4">
        <v>100.800005</v>
      </c>
      <c r="N351" s="13">
        <v>4.3600000000000003</v>
      </c>
      <c r="P351"/>
      <c r="Q351" s="12"/>
      <c r="R351" s="12"/>
    </row>
    <row r="352" spans="1:18" x14ac:dyDescent="0.2">
      <c r="A352">
        <v>3</v>
      </c>
      <c r="B352" t="s">
        <v>31</v>
      </c>
      <c r="C352">
        <v>2022</v>
      </c>
      <c r="D352">
        <v>3</v>
      </c>
      <c r="E352" s="6">
        <v>0</v>
      </c>
      <c r="F352" s="9">
        <v>0</v>
      </c>
      <c r="G352" s="6">
        <v>6105</v>
      </c>
      <c r="H352" s="9">
        <f t="shared" si="5"/>
        <v>0</v>
      </c>
      <c r="I352" s="6">
        <v>14193</v>
      </c>
      <c r="J352" s="6">
        <f>VLOOKUP(Table1[[#This Row],[Province]],[1]Sheet1!$A$4:$B$37,2,FALSE)</f>
        <v>5066500</v>
      </c>
      <c r="K352">
        <v>0</v>
      </c>
      <c r="L352" s="4">
        <v>0.73994000000000004</v>
      </c>
      <c r="M352" s="4">
        <v>100.800005</v>
      </c>
      <c r="N352" s="13">
        <v>4.3600000000000003</v>
      </c>
      <c r="P352"/>
      <c r="Q352" s="12"/>
      <c r="R352" s="12"/>
    </row>
    <row r="353" spans="1:18" x14ac:dyDescent="0.2">
      <c r="A353">
        <v>3</v>
      </c>
      <c r="B353" t="s">
        <v>31</v>
      </c>
      <c r="C353">
        <v>2022</v>
      </c>
      <c r="D353">
        <v>4</v>
      </c>
      <c r="E353" s="6">
        <v>0</v>
      </c>
      <c r="F353" s="9">
        <v>0</v>
      </c>
      <c r="G353" s="6">
        <v>6754</v>
      </c>
      <c r="H353" s="9">
        <f t="shared" si="5"/>
        <v>0</v>
      </c>
      <c r="I353" s="6">
        <v>14700</v>
      </c>
      <c r="J353" s="6">
        <f>VLOOKUP(Table1[[#This Row],[Province]],[1]Sheet1!$A$4:$B$37,2,FALSE)</f>
        <v>5066500</v>
      </c>
      <c r="K353">
        <v>1</v>
      </c>
      <c r="L353" s="4">
        <v>0.73994000000000004</v>
      </c>
      <c r="M353" s="4">
        <v>100.800005</v>
      </c>
      <c r="N353" s="13">
        <v>4.3600000000000003</v>
      </c>
      <c r="P353"/>
      <c r="Q353" s="12"/>
      <c r="R353" s="12"/>
    </row>
    <row r="354" spans="1:18" x14ac:dyDescent="0.2">
      <c r="A354">
        <v>3</v>
      </c>
      <c r="B354" t="s">
        <v>31</v>
      </c>
      <c r="C354">
        <v>2022</v>
      </c>
      <c r="D354">
        <v>5</v>
      </c>
      <c r="E354" s="6">
        <v>0</v>
      </c>
      <c r="F354" s="9">
        <v>0</v>
      </c>
      <c r="G354" s="6">
        <v>4402</v>
      </c>
      <c r="H354" s="9">
        <f t="shared" si="5"/>
        <v>0</v>
      </c>
      <c r="I354" s="6">
        <v>14867</v>
      </c>
      <c r="J354" s="6">
        <f>VLOOKUP(Table1[[#This Row],[Province]],[1]Sheet1!$A$4:$B$37,2,FALSE)</f>
        <v>5066500</v>
      </c>
      <c r="K354">
        <v>0</v>
      </c>
      <c r="L354" s="4">
        <v>0.73994000000000004</v>
      </c>
      <c r="M354" s="4">
        <v>100.800005</v>
      </c>
      <c r="N354" s="13">
        <v>4.3600000000000003</v>
      </c>
      <c r="P354"/>
      <c r="Q354" s="12"/>
      <c r="R354" s="12"/>
    </row>
    <row r="355" spans="1:18" x14ac:dyDescent="0.2">
      <c r="A355">
        <v>3</v>
      </c>
      <c r="B355" t="s">
        <v>31</v>
      </c>
      <c r="C355">
        <v>2022</v>
      </c>
      <c r="D355">
        <v>6</v>
      </c>
      <c r="E355" s="6">
        <v>0</v>
      </c>
      <c r="F355" s="9">
        <v>0</v>
      </c>
      <c r="G355" s="6">
        <v>6120</v>
      </c>
      <c r="H355" s="9">
        <f t="shared" si="5"/>
        <v>0</v>
      </c>
      <c r="I355" s="6">
        <v>14333</v>
      </c>
      <c r="J355" s="6">
        <f>VLOOKUP(Table1[[#This Row],[Province]],[1]Sheet1!$A$4:$B$37,2,FALSE)</f>
        <v>5066500</v>
      </c>
      <c r="K355">
        <v>0</v>
      </c>
      <c r="L355" s="4">
        <v>0.73994000000000004</v>
      </c>
      <c r="M355" s="4">
        <v>100.800005</v>
      </c>
      <c r="N355" s="13">
        <v>4.3600000000000003</v>
      </c>
      <c r="P355"/>
      <c r="Q355" s="12"/>
      <c r="R355" s="12"/>
    </row>
    <row r="356" spans="1:18" x14ac:dyDescent="0.2">
      <c r="A356">
        <v>3</v>
      </c>
      <c r="B356" t="s">
        <v>31</v>
      </c>
      <c r="C356">
        <v>2022</v>
      </c>
      <c r="D356">
        <v>7</v>
      </c>
      <c r="E356" s="6">
        <v>0</v>
      </c>
      <c r="F356" s="9">
        <v>0</v>
      </c>
      <c r="G356" s="6">
        <v>4917</v>
      </c>
      <c r="H356" s="9">
        <f t="shared" si="5"/>
        <v>0</v>
      </c>
      <c r="I356" s="6">
        <v>14000</v>
      </c>
      <c r="J356" s="6">
        <f>VLOOKUP(Table1[[#This Row],[Province]],[1]Sheet1!$A$4:$B$37,2,FALSE)</f>
        <v>5066500</v>
      </c>
      <c r="K356">
        <v>0</v>
      </c>
      <c r="L356" s="4">
        <v>0.73994000000000004</v>
      </c>
      <c r="M356" s="4">
        <v>100.800005</v>
      </c>
      <c r="N356" s="13">
        <v>4.3600000000000003</v>
      </c>
      <c r="P356"/>
      <c r="Q356" s="12"/>
      <c r="R356" s="12"/>
    </row>
    <row r="357" spans="1:18" x14ac:dyDescent="0.2">
      <c r="A357">
        <v>3</v>
      </c>
      <c r="B357" t="s">
        <v>31</v>
      </c>
      <c r="C357">
        <v>2022</v>
      </c>
      <c r="D357">
        <v>8</v>
      </c>
      <c r="E357" s="6">
        <v>0</v>
      </c>
      <c r="F357" s="9">
        <v>0</v>
      </c>
      <c r="G357" s="6">
        <v>5772</v>
      </c>
      <c r="H357" s="9">
        <f t="shared" si="5"/>
        <v>0</v>
      </c>
      <c r="I357" s="6">
        <v>13936</v>
      </c>
      <c r="J357" s="6">
        <f>VLOOKUP(Table1[[#This Row],[Province]],[1]Sheet1!$A$4:$B$37,2,FALSE)</f>
        <v>5066500</v>
      </c>
      <c r="K357">
        <v>0</v>
      </c>
      <c r="L357" s="4">
        <v>0.73994000000000004</v>
      </c>
      <c r="M357" s="4">
        <v>100.800005</v>
      </c>
      <c r="N357" s="13">
        <v>4.3600000000000003</v>
      </c>
      <c r="P357"/>
      <c r="Q357" s="12"/>
      <c r="R357" s="12"/>
    </row>
    <row r="358" spans="1:18" x14ac:dyDescent="0.2">
      <c r="A358">
        <v>3</v>
      </c>
      <c r="B358" t="s">
        <v>31</v>
      </c>
      <c r="C358">
        <v>2022</v>
      </c>
      <c r="D358">
        <v>9</v>
      </c>
      <c r="E358" s="6">
        <v>0</v>
      </c>
      <c r="F358" s="9">
        <v>0</v>
      </c>
      <c r="G358" s="6">
        <v>4698</v>
      </c>
      <c r="H358" s="9">
        <f t="shared" si="5"/>
        <v>0</v>
      </c>
      <c r="I358" s="6">
        <v>13296</v>
      </c>
      <c r="J358" s="6">
        <f>VLOOKUP(Table1[[#This Row],[Province]],[1]Sheet1!$A$4:$B$37,2,FALSE)</f>
        <v>5066500</v>
      </c>
      <c r="K358">
        <v>0</v>
      </c>
      <c r="L358" s="4">
        <v>0.73994000000000004</v>
      </c>
      <c r="M358" s="4">
        <v>100.800005</v>
      </c>
      <c r="N358" s="13">
        <v>4.3600000000000003</v>
      </c>
      <c r="P358"/>
      <c r="Q358" s="12"/>
      <c r="R358" s="12"/>
    </row>
    <row r="359" spans="1:18" x14ac:dyDescent="0.2">
      <c r="A359">
        <v>3</v>
      </c>
      <c r="B359" t="s">
        <v>31</v>
      </c>
      <c r="C359">
        <v>2022</v>
      </c>
      <c r="D359">
        <v>10</v>
      </c>
      <c r="E359" s="6">
        <v>0</v>
      </c>
      <c r="F359" s="9">
        <v>0</v>
      </c>
      <c r="G359" s="6">
        <v>4794</v>
      </c>
      <c r="H359" s="9">
        <f t="shared" si="5"/>
        <v>0</v>
      </c>
      <c r="I359" s="6">
        <v>13232</v>
      </c>
      <c r="J359" s="6">
        <f>VLOOKUP(Table1[[#This Row],[Province]],[1]Sheet1!$A$4:$B$37,2,FALSE)</f>
        <v>5066500</v>
      </c>
      <c r="K359">
        <v>0</v>
      </c>
      <c r="L359" s="4">
        <v>0.73994000000000004</v>
      </c>
      <c r="M359" s="4">
        <v>100.800005</v>
      </c>
      <c r="N359" s="13">
        <v>4.3600000000000003</v>
      </c>
      <c r="P359"/>
      <c r="Q359" s="12"/>
      <c r="R359" s="12"/>
    </row>
    <row r="360" spans="1:18" x14ac:dyDescent="0.2">
      <c r="A360">
        <v>3</v>
      </c>
      <c r="B360" t="s">
        <v>31</v>
      </c>
      <c r="C360">
        <v>2022</v>
      </c>
      <c r="D360">
        <v>11</v>
      </c>
      <c r="E360" s="6">
        <v>0</v>
      </c>
      <c r="F360" s="9">
        <v>0</v>
      </c>
      <c r="G360" s="6">
        <v>5547</v>
      </c>
      <c r="H360" s="9">
        <f t="shared" si="5"/>
        <v>0</v>
      </c>
      <c r="I360" s="6">
        <v>13889</v>
      </c>
      <c r="J360" s="6">
        <f>VLOOKUP(Table1[[#This Row],[Province]],[1]Sheet1!$A$4:$B$37,2,FALSE)</f>
        <v>5066500</v>
      </c>
      <c r="K360">
        <v>0</v>
      </c>
      <c r="L360" s="4">
        <v>0.73994000000000004</v>
      </c>
      <c r="M360" s="4">
        <v>100.800005</v>
      </c>
      <c r="N360" s="13">
        <v>4.3600000000000003</v>
      </c>
      <c r="P360"/>
      <c r="Q360" s="12"/>
      <c r="R360" s="12"/>
    </row>
    <row r="361" spans="1:18" x14ac:dyDescent="0.2">
      <c r="A361">
        <v>3</v>
      </c>
      <c r="B361" t="s">
        <v>31</v>
      </c>
      <c r="C361">
        <v>2022</v>
      </c>
      <c r="D361">
        <v>12</v>
      </c>
      <c r="E361" s="6">
        <v>0</v>
      </c>
      <c r="F361" s="9">
        <v>0</v>
      </c>
      <c r="G361" s="6">
        <v>5264</v>
      </c>
      <c r="H361" s="9">
        <f t="shared" si="5"/>
        <v>0</v>
      </c>
      <c r="I361" s="6">
        <v>13948</v>
      </c>
      <c r="J361" s="6">
        <f>VLOOKUP(Table1[[#This Row],[Province]],[1]Sheet1!$A$4:$B$37,2,FALSE)</f>
        <v>5066500</v>
      </c>
      <c r="K361">
        <v>1</v>
      </c>
      <c r="L361" s="4">
        <v>0.73994000000000004</v>
      </c>
      <c r="M361" s="4">
        <v>100.800005</v>
      </c>
      <c r="N361" s="13">
        <v>4.3600000000000003</v>
      </c>
      <c r="P361"/>
      <c r="Q361" s="12"/>
      <c r="R361" s="12"/>
    </row>
    <row r="362" spans="1:18" x14ac:dyDescent="0.2">
      <c r="A362">
        <v>4</v>
      </c>
      <c r="B362" t="s">
        <v>25</v>
      </c>
      <c r="C362">
        <v>2013</v>
      </c>
      <c r="D362">
        <v>1</v>
      </c>
      <c r="E362" s="4">
        <v>0</v>
      </c>
      <c r="F362" s="9">
        <v>10.839</v>
      </c>
      <c r="G362" s="6">
        <v>4090</v>
      </c>
      <c r="H362" s="9">
        <f t="shared" si="5"/>
        <v>10.839</v>
      </c>
      <c r="I362" s="6">
        <v>13057</v>
      </c>
      <c r="J362" s="6">
        <f>VLOOKUP(Table1[[#This Row],[Province]],[1]Sheet1!$A$4:$B$37,2,FALSE)</f>
        <v>6033300</v>
      </c>
      <c r="K362">
        <v>0</v>
      </c>
      <c r="L362" s="4">
        <v>0.29334700000000002</v>
      </c>
      <c r="M362" s="4">
        <v>101.706829</v>
      </c>
      <c r="N362" s="6"/>
      <c r="P362"/>
      <c r="Q362" s="12"/>
      <c r="R362" s="12"/>
    </row>
    <row r="363" spans="1:18" x14ac:dyDescent="0.2">
      <c r="A363">
        <v>4</v>
      </c>
      <c r="B363" t="s">
        <v>25</v>
      </c>
      <c r="C363">
        <v>2013</v>
      </c>
      <c r="D363">
        <v>2</v>
      </c>
      <c r="E363" s="4">
        <v>0</v>
      </c>
      <c r="F363" s="9">
        <v>0</v>
      </c>
      <c r="G363" s="6">
        <v>3920</v>
      </c>
      <c r="H363" s="9">
        <f t="shared" si="5"/>
        <v>0</v>
      </c>
      <c r="I363" s="6">
        <v>13115</v>
      </c>
      <c r="J363" s="6">
        <f>VLOOKUP(Table1[[#This Row],[Province]],[1]Sheet1!$A$4:$B$37,2,FALSE)</f>
        <v>6033300</v>
      </c>
      <c r="K363">
        <v>0</v>
      </c>
      <c r="L363" s="4">
        <v>0.29334700000000002</v>
      </c>
      <c r="M363" s="4">
        <v>101.706829</v>
      </c>
      <c r="N363" s="6"/>
      <c r="P363"/>
      <c r="Q363" s="12"/>
      <c r="R363" s="12"/>
    </row>
    <row r="364" spans="1:18" x14ac:dyDescent="0.2">
      <c r="A364">
        <v>4</v>
      </c>
      <c r="B364" t="s">
        <v>25</v>
      </c>
      <c r="C364">
        <v>2013</v>
      </c>
      <c r="D364">
        <v>3</v>
      </c>
      <c r="E364" s="4">
        <v>0</v>
      </c>
      <c r="F364" s="9">
        <v>0</v>
      </c>
      <c r="G364" s="6">
        <v>4041</v>
      </c>
      <c r="H364" s="9">
        <f t="shared" si="5"/>
        <v>0</v>
      </c>
      <c r="I364" s="6">
        <v>12500</v>
      </c>
      <c r="J364" s="6">
        <f>VLOOKUP(Table1[[#This Row],[Province]],[1]Sheet1!$A$4:$B$37,2,FALSE)</f>
        <v>6033300</v>
      </c>
      <c r="K364">
        <v>0</v>
      </c>
      <c r="L364" s="4">
        <v>0.29334700000000002</v>
      </c>
      <c r="M364" s="4">
        <v>101.706829</v>
      </c>
      <c r="N364" s="6"/>
      <c r="P364"/>
      <c r="Q364" s="12"/>
      <c r="R364" s="12"/>
    </row>
    <row r="365" spans="1:18" x14ac:dyDescent="0.2">
      <c r="A365">
        <v>4</v>
      </c>
      <c r="B365" t="s">
        <v>25</v>
      </c>
      <c r="C365">
        <v>2013</v>
      </c>
      <c r="D365">
        <v>4</v>
      </c>
      <c r="E365" s="4">
        <v>0</v>
      </c>
      <c r="F365" s="9">
        <v>0</v>
      </c>
      <c r="G365" s="6">
        <v>5251</v>
      </c>
      <c r="H365" s="9">
        <f t="shared" si="5"/>
        <v>0</v>
      </c>
      <c r="I365" s="6">
        <v>12182</v>
      </c>
      <c r="J365" s="6">
        <f>VLOOKUP(Table1[[#This Row],[Province]],[1]Sheet1!$A$4:$B$37,2,FALSE)</f>
        <v>6033300</v>
      </c>
      <c r="K365">
        <v>0</v>
      </c>
      <c r="L365" s="4">
        <v>0.29334700000000002</v>
      </c>
      <c r="M365" s="4">
        <v>101.706829</v>
      </c>
      <c r="N365" s="6"/>
      <c r="P365"/>
      <c r="Q365" s="12"/>
      <c r="R365" s="12"/>
    </row>
    <row r="366" spans="1:18" x14ac:dyDescent="0.2">
      <c r="A366">
        <v>4</v>
      </c>
      <c r="B366" t="s">
        <v>25</v>
      </c>
      <c r="C366">
        <v>2013</v>
      </c>
      <c r="D366">
        <v>5</v>
      </c>
      <c r="E366" s="4">
        <v>0</v>
      </c>
      <c r="F366" s="9">
        <v>0</v>
      </c>
      <c r="G366" s="6">
        <v>6365</v>
      </c>
      <c r="H366" s="9">
        <f t="shared" si="5"/>
        <v>0</v>
      </c>
      <c r="I366" s="6">
        <v>12132</v>
      </c>
      <c r="J366" s="6">
        <f>VLOOKUP(Table1[[#This Row],[Province]],[1]Sheet1!$A$4:$B$37,2,FALSE)</f>
        <v>6033300</v>
      </c>
      <c r="K366">
        <v>0</v>
      </c>
      <c r="L366" s="4">
        <v>0.29334700000000002</v>
      </c>
      <c r="M366" s="4">
        <v>101.706829</v>
      </c>
      <c r="N366" s="6"/>
      <c r="P366"/>
      <c r="Q366" s="12"/>
      <c r="R366" s="12"/>
    </row>
    <row r="367" spans="1:18" x14ac:dyDescent="0.2">
      <c r="A367">
        <v>4</v>
      </c>
      <c r="B367" t="s">
        <v>25</v>
      </c>
      <c r="C367">
        <v>2013</v>
      </c>
      <c r="D367">
        <v>6</v>
      </c>
      <c r="E367" s="4">
        <v>0</v>
      </c>
      <c r="F367" s="9">
        <v>0</v>
      </c>
      <c r="G367" s="6">
        <v>5300</v>
      </c>
      <c r="H367" s="9">
        <f t="shared" si="5"/>
        <v>0</v>
      </c>
      <c r="I367" s="6">
        <v>12489</v>
      </c>
      <c r="J367" s="6">
        <f>VLOOKUP(Table1[[#This Row],[Province]],[1]Sheet1!$A$4:$B$37,2,FALSE)</f>
        <v>6033300</v>
      </c>
      <c r="K367">
        <v>0</v>
      </c>
      <c r="L367" s="4">
        <v>0.29334700000000002</v>
      </c>
      <c r="M367" s="4">
        <v>101.706829</v>
      </c>
      <c r="N367" s="6"/>
      <c r="P367"/>
      <c r="Q367" s="12"/>
      <c r="R367" s="12"/>
    </row>
    <row r="368" spans="1:18" x14ac:dyDescent="0.2">
      <c r="A368">
        <v>4</v>
      </c>
      <c r="B368" t="s">
        <v>25</v>
      </c>
      <c r="C368">
        <v>2013</v>
      </c>
      <c r="D368">
        <v>7</v>
      </c>
      <c r="E368" s="4">
        <v>0</v>
      </c>
      <c r="F368" s="9">
        <v>0</v>
      </c>
      <c r="G368" s="6">
        <v>9196</v>
      </c>
      <c r="H368" s="9">
        <f t="shared" si="5"/>
        <v>0</v>
      </c>
      <c r="I368" s="6">
        <v>13636</v>
      </c>
      <c r="J368" s="6">
        <f>VLOOKUP(Table1[[#This Row],[Province]],[1]Sheet1!$A$4:$B$37,2,FALSE)</f>
        <v>6033300</v>
      </c>
      <c r="K368">
        <v>1</v>
      </c>
      <c r="L368" s="4">
        <v>0.29334700000000002</v>
      </c>
      <c r="M368" s="4">
        <v>101.706829</v>
      </c>
      <c r="N368" s="6"/>
      <c r="P368"/>
      <c r="Q368" s="12"/>
      <c r="R368" s="12"/>
    </row>
    <row r="369" spans="1:18" x14ac:dyDescent="0.2">
      <c r="A369">
        <v>4</v>
      </c>
      <c r="B369" t="s">
        <v>25</v>
      </c>
      <c r="C369">
        <v>2013</v>
      </c>
      <c r="D369">
        <v>8</v>
      </c>
      <c r="E369" s="4">
        <v>0</v>
      </c>
      <c r="F369" s="9">
        <v>19.736000000000001</v>
      </c>
      <c r="G369" s="6">
        <v>3364</v>
      </c>
      <c r="H369" s="9">
        <f t="shared" si="5"/>
        <v>19.736000000000001</v>
      </c>
      <c r="I369" s="6">
        <v>12382</v>
      </c>
      <c r="J369" s="6">
        <f>VLOOKUP(Table1[[#This Row],[Province]],[1]Sheet1!$A$4:$B$37,2,FALSE)</f>
        <v>6033300</v>
      </c>
      <c r="K369">
        <v>0</v>
      </c>
      <c r="L369" s="4">
        <v>0.29334700000000002</v>
      </c>
      <c r="M369" s="4">
        <v>101.706829</v>
      </c>
      <c r="N369" s="6"/>
      <c r="P369"/>
      <c r="Q369" s="12"/>
      <c r="R369" s="12"/>
    </row>
    <row r="370" spans="1:18" x14ac:dyDescent="0.2">
      <c r="A370">
        <v>4</v>
      </c>
      <c r="B370" t="s">
        <v>25</v>
      </c>
      <c r="C370">
        <v>2013</v>
      </c>
      <c r="D370">
        <v>9</v>
      </c>
      <c r="E370" s="4">
        <v>0</v>
      </c>
      <c r="F370" s="9">
        <v>0</v>
      </c>
      <c r="G370" s="6">
        <v>7187</v>
      </c>
      <c r="H370" s="9">
        <f t="shared" si="5"/>
        <v>0</v>
      </c>
      <c r="I370" s="6">
        <v>12310</v>
      </c>
      <c r="J370" s="6">
        <f>VLOOKUP(Table1[[#This Row],[Province]],[1]Sheet1!$A$4:$B$37,2,FALSE)</f>
        <v>6033300</v>
      </c>
      <c r="K370">
        <v>0</v>
      </c>
      <c r="L370" s="4">
        <v>0.29334700000000002</v>
      </c>
      <c r="M370" s="4">
        <v>101.706829</v>
      </c>
      <c r="N370" s="6"/>
      <c r="P370"/>
      <c r="Q370" s="12"/>
      <c r="R370" s="12"/>
    </row>
    <row r="371" spans="1:18" x14ac:dyDescent="0.2">
      <c r="A371">
        <v>4</v>
      </c>
      <c r="B371" t="s">
        <v>25</v>
      </c>
      <c r="C371">
        <v>2013</v>
      </c>
      <c r="D371">
        <v>10</v>
      </c>
      <c r="E371" s="4">
        <v>0</v>
      </c>
      <c r="F371" s="9">
        <v>0</v>
      </c>
      <c r="G371" s="6">
        <v>5881</v>
      </c>
      <c r="H371" s="9">
        <f t="shared" si="5"/>
        <v>0</v>
      </c>
      <c r="I371" s="6">
        <v>12119</v>
      </c>
      <c r="J371" s="6">
        <f>VLOOKUP(Table1[[#This Row],[Province]],[1]Sheet1!$A$4:$B$37,2,FALSE)</f>
        <v>6033300</v>
      </c>
      <c r="K371">
        <v>0</v>
      </c>
      <c r="L371" s="4">
        <v>0.29334700000000002</v>
      </c>
      <c r="M371" s="4">
        <v>101.706829</v>
      </c>
      <c r="N371" s="6"/>
      <c r="P371"/>
      <c r="Q371" s="12"/>
      <c r="R371" s="12"/>
    </row>
    <row r="372" spans="1:18" x14ac:dyDescent="0.2">
      <c r="A372">
        <v>4</v>
      </c>
      <c r="B372" t="s">
        <v>25</v>
      </c>
      <c r="C372">
        <v>2013</v>
      </c>
      <c r="D372">
        <v>11</v>
      </c>
      <c r="E372" s="4">
        <v>0</v>
      </c>
      <c r="F372" s="9">
        <v>0</v>
      </c>
      <c r="G372" s="6">
        <v>4332</v>
      </c>
      <c r="H372" s="9">
        <f t="shared" si="5"/>
        <v>0</v>
      </c>
      <c r="I372" s="6">
        <v>12000</v>
      </c>
      <c r="J372" s="6">
        <f>VLOOKUP(Table1[[#This Row],[Province]],[1]Sheet1!$A$4:$B$37,2,FALSE)</f>
        <v>6033300</v>
      </c>
      <c r="K372">
        <v>0</v>
      </c>
      <c r="L372" s="4">
        <v>0.29334700000000002</v>
      </c>
      <c r="M372" s="4">
        <v>101.706829</v>
      </c>
      <c r="N372" s="6"/>
      <c r="P372"/>
      <c r="Q372" s="12"/>
      <c r="R372" s="12"/>
    </row>
    <row r="373" spans="1:18" x14ac:dyDescent="0.2">
      <c r="A373">
        <v>4</v>
      </c>
      <c r="B373" t="s">
        <v>25</v>
      </c>
      <c r="C373">
        <v>2013</v>
      </c>
      <c r="D373">
        <v>12</v>
      </c>
      <c r="E373" s="4">
        <v>0</v>
      </c>
      <c r="F373" s="9">
        <v>0</v>
      </c>
      <c r="G373" s="6">
        <v>6026</v>
      </c>
      <c r="H373" s="9">
        <f t="shared" si="5"/>
        <v>0</v>
      </c>
      <c r="I373" s="6">
        <v>12000</v>
      </c>
      <c r="J373" s="6">
        <f>VLOOKUP(Table1[[#This Row],[Province]],[1]Sheet1!$A$4:$B$37,2,FALSE)</f>
        <v>6033300</v>
      </c>
      <c r="K373">
        <v>1</v>
      </c>
      <c r="L373" s="4">
        <v>0.29334700000000002</v>
      </c>
      <c r="M373" s="4">
        <v>101.706829</v>
      </c>
      <c r="N373" s="6"/>
      <c r="P373"/>
      <c r="Q373" s="12"/>
      <c r="R373" s="12"/>
    </row>
    <row r="374" spans="1:18" x14ac:dyDescent="0.2">
      <c r="A374">
        <v>4</v>
      </c>
      <c r="B374" t="s">
        <v>25</v>
      </c>
      <c r="C374">
        <v>2014</v>
      </c>
      <c r="D374">
        <v>1</v>
      </c>
      <c r="E374" s="4">
        <v>0</v>
      </c>
      <c r="F374" s="9">
        <v>0</v>
      </c>
      <c r="G374" s="6">
        <v>4270</v>
      </c>
      <c r="H374" s="9">
        <f t="shared" si="5"/>
        <v>0</v>
      </c>
      <c r="I374" s="6">
        <v>11485</v>
      </c>
      <c r="J374" s="6">
        <f>VLOOKUP(Table1[[#This Row],[Province]],[1]Sheet1!$A$4:$B$37,2,FALSE)</f>
        <v>6033300</v>
      </c>
      <c r="K374">
        <v>0</v>
      </c>
      <c r="L374" s="4">
        <v>0.29334700000000002</v>
      </c>
      <c r="M374" s="4">
        <v>101.706829</v>
      </c>
      <c r="N374" s="6"/>
      <c r="P374"/>
      <c r="Q374" s="12"/>
      <c r="R374" s="12"/>
    </row>
    <row r="375" spans="1:18" x14ac:dyDescent="0.2">
      <c r="A375">
        <v>4</v>
      </c>
      <c r="B375" t="s">
        <v>25</v>
      </c>
      <c r="C375">
        <v>2014</v>
      </c>
      <c r="D375">
        <v>2</v>
      </c>
      <c r="E375" s="4">
        <v>0</v>
      </c>
      <c r="F375" s="9">
        <v>10.574</v>
      </c>
      <c r="G375" s="6">
        <v>3810</v>
      </c>
      <c r="H375" s="9">
        <f t="shared" si="5"/>
        <v>10.574</v>
      </c>
      <c r="I375" s="6">
        <v>11200</v>
      </c>
      <c r="J375" s="6">
        <f>VLOOKUP(Table1[[#This Row],[Province]],[1]Sheet1!$A$4:$B$37,2,FALSE)</f>
        <v>6033300</v>
      </c>
      <c r="K375">
        <v>0</v>
      </c>
      <c r="L375" s="4">
        <v>0.29334700000000002</v>
      </c>
      <c r="M375" s="4">
        <v>101.706829</v>
      </c>
      <c r="N375" s="6"/>
      <c r="P375"/>
      <c r="Q375" s="12"/>
      <c r="R375" s="12"/>
    </row>
    <row r="376" spans="1:18" x14ac:dyDescent="0.2">
      <c r="A376">
        <v>4</v>
      </c>
      <c r="B376" t="s">
        <v>25</v>
      </c>
      <c r="C376">
        <v>2014</v>
      </c>
      <c r="D376">
        <v>3</v>
      </c>
      <c r="E376" s="4">
        <v>0</v>
      </c>
      <c r="F376" s="9">
        <v>0</v>
      </c>
      <c r="G376" s="6">
        <v>4278</v>
      </c>
      <c r="H376" s="9">
        <f t="shared" si="5"/>
        <v>0</v>
      </c>
      <c r="I376" s="6">
        <v>11000</v>
      </c>
      <c r="J376" s="6">
        <f>VLOOKUP(Table1[[#This Row],[Province]],[1]Sheet1!$A$4:$B$37,2,FALSE)</f>
        <v>6033300</v>
      </c>
      <c r="K376">
        <v>0</v>
      </c>
      <c r="L376" s="4">
        <v>0.29334700000000002</v>
      </c>
      <c r="M376" s="4">
        <v>101.706829</v>
      </c>
      <c r="N376" s="6"/>
      <c r="P376"/>
      <c r="Q376" s="12"/>
      <c r="R376" s="12"/>
    </row>
    <row r="377" spans="1:18" x14ac:dyDescent="0.2">
      <c r="A377">
        <v>4</v>
      </c>
      <c r="B377" t="s">
        <v>25</v>
      </c>
      <c r="C377">
        <v>2014</v>
      </c>
      <c r="D377">
        <v>4</v>
      </c>
      <c r="E377" s="4">
        <v>0</v>
      </c>
      <c r="F377" s="9">
        <v>0</v>
      </c>
      <c r="G377" s="6">
        <v>5510</v>
      </c>
      <c r="H377" s="9">
        <f t="shared" si="5"/>
        <v>0</v>
      </c>
      <c r="I377" s="6">
        <v>11000</v>
      </c>
      <c r="J377" s="6">
        <f>VLOOKUP(Table1[[#This Row],[Province]],[1]Sheet1!$A$4:$B$37,2,FALSE)</f>
        <v>6033300</v>
      </c>
      <c r="K377">
        <v>0</v>
      </c>
      <c r="L377" s="4">
        <v>0.29334700000000002</v>
      </c>
      <c r="M377" s="4">
        <v>101.706829</v>
      </c>
      <c r="N377" s="6"/>
      <c r="P377"/>
      <c r="Q377" s="12"/>
      <c r="R377" s="12"/>
    </row>
    <row r="378" spans="1:18" x14ac:dyDescent="0.2">
      <c r="A378">
        <v>4</v>
      </c>
      <c r="B378" t="s">
        <v>25</v>
      </c>
      <c r="C378">
        <v>2014</v>
      </c>
      <c r="D378">
        <v>5</v>
      </c>
      <c r="E378" s="4">
        <v>0</v>
      </c>
      <c r="F378" s="9">
        <v>0</v>
      </c>
      <c r="G378" s="6">
        <v>6172</v>
      </c>
      <c r="H378" s="9">
        <f t="shared" si="5"/>
        <v>0</v>
      </c>
      <c r="I378" s="6">
        <v>10972</v>
      </c>
      <c r="J378" s="6">
        <f>VLOOKUP(Table1[[#This Row],[Province]],[1]Sheet1!$A$4:$B$37,2,FALSE)</f>
        <v>6033300</v>
      </c>
      <c r="K378">
        <v>0</v>
      </c>
      <c r="L378" s="4">
        <v>0.29334700000000002</v>
      </c>
      <c r="M378" s="4">
        <v>101.706829</v>
      </c>
      <c r="N378" s="6"/>
      <c r="P378"/>
      <c r="Q378" s="12"/>
      <c r="R378" s="12"/>
    </row>
    <row r="379" spans="1:18" x14ac:dyDescent="0.2">
      <c r="A379">
        <v>4</v>
      </c>
      <c r="B379" t="s">
        <v>25</v>
      </c>
      <c r="C379">
        <v>2014</v>
      </c>
      <c r="D379">
        <v>6</v>
      </c>
      <c r="E379" s="4">
        <v>0</v>
      </c>
      <c r="F379" s="9">
        <v>0</v>
      </c>
      <c r="G379" s="6">
        <v>8783</v>
      </c>
      <c r="H379" s="9">
        <f t="shared" si="5"/>
        <v>0</v>
      </c>
      <c r="I379" s="6">
        <v>11000</v>
      </c>
      <c r="J379" s="6">
        <f>VLOOKUP(Table1[[#This Row],[Province]],[1]Sheet1!$A$4:$B$37,2,FALSE)</f>
        <v>6033300</v>
      </c>
      <c r="K379">
        <v>1</v>
      </c>
      <c r="L379" s="4">
        <v>0.29334700000000002</v>
      </c>
      <c r="M379" s="4">
        <v>101.706829</v>
      </c>
      <c r="N379" s="6"/>
      <c r="P379"/>
      <c r="Q379" s="12"/>
      <c r="R379" s="12"/>
    </row>
    <row r="380" spans="1:18" x14ac:dyDescent="0.2">
      <c r="A380">
        <v>4</v>
      </c>
      <c r="B380" t="s">
        <v>25</v>
      </c>
      <c r="C380">
        <v>2014</v>
      </c>
      <c r="D380">
        <v>7</v>
      </c>
      <c r="E380" s="4">
        <v>0</v>
      </c>
      <c r="F380" s="9">
        <v>0</v>
      </c>
      <c r="G380" s="6">
        <v>5510</v>
      </c>
      <c r="H380" s="9">
        <f t="shared" si="5"/>
        <v>0</v>
      </c>
      <c r="I380" s="6">
        <v>11000</v>
      </c>
      <c r="J380" s="6">
        <f>VLOOKUP(Table1[[#This Row],[Province]],[1]Sheet1!$A$4:$B$37,2,FALSE)</f>
        <v>6033300</v>
      </c>
      <c r="K380">
        <v>0</v>
      </c>
      <c r="L380" s="4">
        <v>0.29334700000000002</v>
      </c>
      <c r="M380" s="4">
        <v>101.706829</v>
      </c>
      <c r="N380" s="6"/>
      <c r="P380"/>
      <c r="Q380" s="12"/>
      <c r="R380" s="12"/>
    </row>
    <row r="381" spans="1:18" x14ac:dyDescent="0.2">
      <c r="A381">
        <v>4</v>
      </c>
      <c r="B381" t="s">
        <v>25</v>
      </c>
      <c r="C381">
        <v>2014</v>
      </c>
      <c r="D381">
        <v>8</v>
      </c>
      <c r="E381" s="4">
        <v>0</v>
      </c>
      <c r="F381" s="9">
        <v>0</v>
      </c>
      <c r="G381" s="6">
        <v>5312</v>
      </c>
      <c r="H381" s="9">
        <f t="shared" si="5"/>
        <v>0</v>
      </c>
      <c r="I381" s="6">
        <v>11000</v>
      </c>
      <c r="J381" s="6">
        <f>VLOOKUP(Table1[[#This Row],[Province]],[1]Sheet1!$A$4:$B$37,2,FALSE)</f>
        <v>6033300</v>
      </c>
      <c r="K381">
        <v>0</v>
      </c>
      <c r="L381" s="4">
        <v>0.29334700000000002</v>
      </c>
      <c r="M381" s="4">
        <v>101.706829</v>
      </c>
      <c r="N381" s="6"/>
      <c r="P381"/>
      <c r="Q381" s="12"/>
      <c r="R381" s="12"/>
    </row>
    <row r="382" spans="1:18" x14ac:dyDescent="0.2">
      <c r="A382">
        <v>4</v>
      </c>
      <c r="B382" t="s">
        <v>25</v>
      </c>
      <c r="C382">
        <v>2014</v>
      </c>
      <c r="D382">
        <v>9</v>
      </c>
      <c r="E382" s="4">
        <v>0</v>
      </c>
      <c r="F382" s="9">
        <v>0</v>
      </c>
      <c r="G382" s="6">
        <v>5346</v>
      </c>
      <c r="H382" s="9">
        <f t="shared" si="5"/>
        <v>0</v>
      </c>
      <c r="I382" s="6">
        <v>11000</v>
      </c>
      <c r="J382" s="6">
        <f>VLOOKUP(Table1[[#This Row],[Province]],[1]Sheet1!$A$4:$B$37,2,FALSE)</f>
        <v>6033300</v>
      </c>
      <c r="K382">
        <v>0</v>
      </c>
      <c r="L382" s="4">
        <v>0.29334700000000002</v>
      </c>
      <c r="M382" s="4">
        <v>101.706829</v>
      </c>
      <c r="N382" s="6"/>
      <c r="P382"/>
      <c r="Q382" s="12"/>
      <c r="R382" s="12"/>
    </row>
    <row r="383" spans="1:18" x14ac:dyDescent="0.2">
      <c r="A383">
        <v>4</v>
      </c>
      <c r="B383" t="s">
        <v>25</v>
      </c>
      <c r="C383">
        <v>2014</v>
      </c>
      <c r="D383">
        <v>10</v>
      </c>
      <c r="E383" s="4">
        <v>0</v>
      </c>
      <c r="F383" s="9">
        <v>0</v>
      </c>
      <c r="G383" s="6">
        <v>7931</v>
      </c>
      <c r="H383" s="9">
        <f t="shared" si="5"/>
        <v>0</v>
      </c>
      <c r="I383" s="6">
        <v>11000</v>
      </c>
      <c r="J383" s="6">
        <f>VLOOKUP(Table1[[#This Row],[Province]],[1]Sheet1!$A$4:$B$37,2,FALSE)</f>
        <v>6033300</v>
      </c>
      <c r="K383">
        <v>0</v>
      </c>
      <c r="L383" s="4">
        <v>0.29334700000000002</v>
      </c>
      <c r="M383" s="4">
        <v>101.706829</v>
      </c>
      <c r="N383" s="6"/>
      <c r="P383"/>
      <c r="Q383" s="12"/>
      <c r="R383" s="12"/>
    </row>
    <row r="384" spans="1:18" x14ac:dyDescent="0.2">
      <c r="A384">
        <v>4</v>
      </c>
      <c r="B384" t="s">
        <v>25</v>
      </c>
      <c r="C384">
        <v>2014</v>
      </c>
      <c r="D384">
        <v>11</v>
      </c>
      <c r="E384" s="4">
        <v>0</v>
      </c>
      <c r="F384" s="9">
        <v>0</v>
      </c>
      <c r="G384" s="6">
        <v>6328</v>
      </c>
      <c r="H384" s="9">
        <f t="shared" si="5"/>
        <v>0</v>
      </c>
      <c r="I384" s="6">
        <v>11000</v>
      </c>
      <c r="J384" s="6">
        <f>VLOOKUP(Table1[[#This Row],[Province]],[1]Sheet1!$A$4:$B$37,2,FALSE)</f>
        <v>6033300</v>
      </c>
      <c r="K384">
        <v>0</v>
      </c>
      <c r="L384" s="4">
        <v>0.29334700000000002</v>
      </c>
      <c r="M384" s="4">
        <v>101.706829</v>
      </c>
      <c r="N384" s="6"/>
      <c r="P384"/>
      <c r="Q384" s="12"/>
      <c r="R384" s="12"/>
    </row>
    <row r="385" spans="1:18" x14ac:dyDescent="0.2">
      <c r="A385">
        <v>4</v>
      </c>
      <c r="B385" t="s">
        <v>25</v>
      </c>
      <c r="C385">
        <v>2014</v>
      </c>
      <c r="D385">
        <v>12</v>
      </c>
      <c r="E385" s="4">
        <v>0</v>
      </c>
      <c r="F385" s="9">
        <v>0</v>
      </c>
      <c r="G385" s="6">
        <v>7379</v>
      </c>
      <c r="H385" s="9">
        <f t="shared" si="5"/>
        <v>0</v>
      </c>
      <c r="I385" s="6">
        <v>11000</v>
      </c>
      <c r="J385" s="6">
        <f>VLOOKUP(Table1[[#This Row],[Province]],[1]Sheet1!$A$4:$B$37,2,FALSE)</f>
        <v>6033300</v>
      </c>
      <c r="K385">
        <v>1</v>
      </c>
      <c r="L385" s="4">
        <v>0.29334700000000002</v>
      </c>
      <c r="M385" s="4">
        <v>101.706829</v>
      </c>
      <c r="N385" s="6"/>
      <c r="P385"/>
      <c r="Q385" s="12"/>
      <c r="R385" s="12"/>
    </row>
    <row r="386" spans="1:18" x14ac:dyDescent="0.2">
      <c r="A386">
        <v>4</v>
      </c>
      <c r="B386" t="s">
        <v>25</v>
      </c>
      <c r="C386">
        <v>2015</v>
      </c>
      <c r="D386">
        <v>1</v>
      </c>
      <c r="E386" s="4">
        <v>0</v>
      </c>
      <c r="F386" s="9">
        <v>0</v>
      </c>
      <c r="G386" s="6">
        <v>3671</v>
      </c>
      <c r="H386" s="9">
        <f t="shared" ref="H386:H449" si="6">F386+E386</f>
        <v>0</v>
      </c>
      <c r="I386" s="6">
        <v>11000</v>
      </c>
      <c r="J386" s="6">
        <f>VLOOKUP(Table1[[#This Row],[Province]],[1]Sheet1!$A$4:$B$37,2,FALSE)</f>
        <v>6033300</v>
      </c>
      <c r="K386">
        <v>0</v>
      </c>
      <c r="L386" s="4">
        <v>0.29334700000000002</v>
      </c>
      <c r="M386" s="4">
        <v>101.706829</v>
      </c>
      <c r="N386" s="6"/>
      <c r="P386"/>
      <c r="Q386" s="12"/>
      <c r="R386" s="12"/>
    </row>
    <row r="387" spans="1:18" x14ac:dyDescent="0.2">
      <c r="A387">
        <v>4</v>
      </c>
      <c r="B387" t="s">
        <v>25</v>
      </c>
      <c r="C387">
        <v>2015</v>
      </c>
      <c r="D387">
        <v>2</v>
      </c>
      <c r="E387" s="4">
        <v>0</v>
      </c>
      <c r="F387" s="9">
        <v>0</v>
      </c>
      <c r="G387" s="6">
        <v>9260</v>
      </c>
      <c r="H387" s="9">
        <f t="shared" si="6"/>
        <v>0</v>
      </c>
      <c r="I387" s="6">
        <v>10908</v>
      </c>
      <c r="J387" s="6">
        <f>VLOOKUP(Table1[[#This Row],[Province]],[1]Sheet1!$A$4:$B$37,2,FALSE)</f>
        <v>6033300</v>
      </c>
      <c r="K387">
        <v>0</v>
      </c>
      <c r="L387" s="4">
        <v>0.29334700000000002</v>
      </c>
      <c r="M387" s="4">
        <v>101.706829</v>
      </c>
      <c r="N387" s="6"/>
      <c r="P387"/>
      <c r="Q387" s="12"/>
      <c r="R387" s="12"/>
    </row>
    <row r="388" spans="1:18" x14ac:dyDescent="0.2">
      <c r="A388">
        <v>4</v>
      </c>
      <c r="B388" t="s">
        <v>25</v>
      </c>
      <c r="C388">
        <v>2015</v>
      </c>
      <c r="D388">
        <v>3</v>
      </c>
      <c r="E388" s="4">
        <v>0</v>
      </c>
      <c r="F388" s="9">
        <v>0</v>
      </c>
      <c r="G388" s="6">
        <v>4202</v>
      </c>
      <c r="H388" s="9">
        <f t="shared" si="6"/>
        <v>0</v>
      </c>
      <c r="I388" s="6">
        <v>10943</v>
      </c>
      <c r="J388" s="6">
        <f>VLOOKUP(Table1[[#This Row],[Province]],[1]Sheet1!$A$4:$B$37,2,FALSE)</f>
        <v>6033300</v>
      </c>
      <c r="K388">
        <v>0</v>
      </c>
      <c r="L388" s="4">
        <v>0.29334700000000002</v>
      </c>
      <c r="M388" s="4">
        <v>101.706829</v>
      </c>
      <c r="N388" s="6"/>
      <c r="P388"/>
      <c r="Q388" s="12"/>
      <c r="R388" s="12"/>
    </row>
    <row r="389" spans="1:18" x14ac:dyDescent="0.2">
      <c r="A389">
        <v>4</v>
      </c>
      <c r="B389" t="s">
        <v>25</v>
      </c>
      <c r="C389">
        <v>2015</v>
      </c>
      <c r="D389">
        <v>4</v>
      </c>
      <c r="E389" s="4">
        <v>0</v>
      </c>
      <c r="F389" s="9">
        <v>0</v>
      </c>
      <c r="G389" s="6">
        <v>6961</v>
      </c>
      <c r="H389" s="9">
        <f t="shared" si="6"/>
        <v>0</v>
      </c>
      <c r="I389" s="6">
        <v>11000</v>
      </c>
      <c r="J389" s="6">
        <f>VLOOKUP(Table1[[#This Row],[Province]],[1]Sheet1!$A$4:$B$37,2,FALSE)</f>
        <v>6033300</v>
      </c>
      <c r="K389">
        <v>0</v>
      </c>
      <c r="L389" s="4">
        <v>0.29334700000000002</v>
      </c>
      <c r="M389" s="4">
        <v>101.706829</v>
      </c>
      <c r="N389" s="6"/>
      <c r="P389"/>
      <c r="Q389" s="12"/>
      <c r="R389" s="12"/>
    </row>
    <row r="390" spans="1:18" x14ac:dyDescent="0.2">
      <c r="A390">
        <v>4</v>
      </c>
      <c r="B390" t="s">
        <v>25</v>
      </c>
      <c r="C390">
        <v>2015</v>
      </c>
      <c r="D390">
        <v>5</v>
      </c>
      <c r="E390" s="4">
        <v>0</v>
      </c>
      <c r="F390" s="9">
        <v>0</v>
      </c>
      <c r="G390" s="6">
        <v>6670</v>
      </c>
      <c r="H390" s="9">
        <f t="shared" si="6"/>
        <v>0</v>
      </c>
      <c r="I390" s="6">
        <v>11171</v>
      </c>
      <c r="J390" s="6">
        <f>VLOOKUP(Table1[[#This Row],[Province]],[1]Sheet1!$A$4:$B$37,2,FALSE)</f>
        <v>6033300</v>
      </c>
      <c r="K390">
        <v>0</v>
      </c>
      <c r="L390" s="4">
        <v>0.29334700000000002</v>
      </c>
      <c r="M390" s="4">
        <v>101.706829</v>
      </c>
      <c r="N390" s="6"/>
      <c r="P390"/>
      <c r="Q390" s="12"/>
      <c r="R390" s="12"/>
    </row>
    <row r="391" spans="1:18" x14ac:dyDescent="0.2">
      <c r="A391">
        <v>4</v>
      </c>
      <c r="B391" t="s">
        <v>25</v>
      </c>
      <c r="C391">
        <v>2015</v>
      </c>
      <c r="D391">
        <v>6</v>
      </c>
      <c r="E391" s="4">
        <v>0</v>
      </c>
      <c r="F391" s="9">
        <v>0</v>
      </c>
      <c r="G391" s="6">
        <v>7579</v>
      </c>
      <c r="H391" s="9">
        <f t="shared" si="6"/>
        <v>0</v>
      </c>
      <c r="I391" s="6">
        <v>12845</v>
      </c>
      <c r="J391" s="6">
        <f>VLOOKUP(Table1[[#This Row],[Province]],[1]Sheet1!$A$4:$B$37,2,FALSE)</f>
        <v>6033300</v>
      </c>
      <c r="K391">
        <v>1</v>
      </c>
      <c r="L391" s="4">
        <v>0.29334700000000002</v>
      </c>
      <c r="M391" s="4">
        <v>101.706829</v>
      </c>
      <c r="N391" s="6"/>
      <c r="P391"/>
      <c r="Q391" s="12"/>
      <c r="R391" s="12"/>
    </row>
    <row r="392" spans="1:18" x14ac:dyDescent="0.2">
      <c r="A392">
        <v>4</v>
      </c>
      <c r="B392" t="s">
        <v>25</v>
      </c>
      <c r="C392">
        <v>2015</v>
      </c>
      <c r="D392">
        <v>7</v>
      </c>
      <c r="E392" s="4">
        <v>0</v>
      </c>
      <c r="F392" s="9">
        <v>0</v>
      </c>
      <c r="G392" s="6">
        <v>5174</v>
      </c>
      <c r="H392" s="9">
        <f t="shared" si="6"/>
        <v>0</v>
      </c>
      <c r="I392" s="6">
        <v>13000</v>
      </c>
      <c r="J392" s="6">
        <f>VLOOKUP(Table1[[#This Row],[Province]],[1]Sheet1!$A$4:$B$37,2,FALSE)</f>
        <v>6033300</v>
      </c>
      <c r="K392">
        <v>0</v>
      </c>
      <c r="L392" s="4">
        <v>0.29334700000000002</v>
      </c>
      <c r="M392" s="4">
        <v>101.706829</v>
      </c>
      <c r="N392" s="6"/>
      <c r="P392"/>
      <c r="Q392" s="12"/>
      <c r="R392" s="12"/>
    </row>
    <row r="393" spans="1:18" x14ac:dyDescent="0.2">
      <c r="A393">
        <v>4</v>
      </c>
      <c r="B393" t="s">
        <v>25</v>
      </c>
      <c r="C393">
        <v>2015</v>
      </c>
      <c r="D393">
        <v>8</v>
      </c>
      <c r="E393" s="4">
        <v>0</v>
      </c>
      <c r="F393" s="9">
        <v>0</v>
      </c>
      <c r="G393" s="6">
        <v>5121</v>
      </c>
      <c r="H393" s="9">
        <f t="shared" si="6"/>
        <v>0</v>
      </c>
      <c r="I393" s="6">
        <v>12888</v>
      </c>
      <c r="J393" s="6">
        <f>VLOOKUP(Table1[[#This Row],[Province]],[1]Sheet1!$A$4:$B$37,2,FALSE)</f>
        <v>6033300</v>
      </c>
      <c r="K393">
        <v>0</v>
      </c>
      <c r="L393" s="4">
        <v>0.29334700000000002</v>
      </c>
      <c r="M393" s="4">
        <v>101.706829</v>
      </c>
      <c r="N393" s="6"/>
      <c r="P393"/>
      <c r="Q393" s="12"/>
      <c r="R393" s="12"/>
    </row>
    <row r="394" spans="1:18" x14ac:dyDescent="0.2">
      <c r="A394">
        <v>4</v>
      </c>
      <c r="B394" t="s">
        <v>25</v>
      </c>
      <c r="C394">
        <v>2015</v>
      </c>
      <c r="D394">
        <v>9</v>
      </c>
      <c r="E394" s="4">
        <v>0</v>
      </c>
      <c r="F394" s="9">
        <v>0</v>
      </c>
      <c r="G394" s="6">
        <v>6872</v>
      </c>
      <c r="H394" s="9">
        <f t="shared" si="6"/>
        <v>0</v>
      </c>
      <c r="I394" s="6">
        <v>12238</v>
      </c>
      <c r="J394" s="6">
        <f>VLOOKUP(Table1[[#This Row],[Province]],[1]Sheet1!$A$4:$B$37,2,FALSE)</f>
        <v>6033300</v>
      </c>
      <c r="K394">
        <v>0</v>
      </c>
      <c r="L394" s="4">
        <v>0.29334700000000002</v>
      </c>
      <c r="M394" s="4">
        <v>101.706829</v>
      </c>
      <c r="N394" s="6"/>
      <c r="P394"/>
      <c r="Q394" s="12"/>
      <c r="R394" s="12"/>
    </row>
    <row r="395" spans="1:18" x14ac:dyDescent="0.2">
      <c r="A395">
        <v>4</v>
      </c>
      <c r="B395" t="s">
        <v>25</v>
      </c>
      <c r="C395">
        <v>2015</v>
      </c>
      <c r="D395">
        <v>10</v>
      </c>
      <c r="E395" s="4">
        <v>0</v>
      </c>
      <c r="F395" s="9">
        <v>0</v>
      </c>
      <c r="G395" s="6">
        <v>4581</v>
      </c>
      <c r="H395" s="9">
        <f t="shared" si="6"/>
        <v>0</v>
      </c>
      <c r="I395" s="6">
        <v>11976</v>
      </c>
      <c r="J395" s="6">
        <f>VLOOKUP(Table1[[#This Row],[Province]],[1]Sheet1!$A$4:$B$37,2,FALSE)</f>
        <v>6033300</v>
      </c>
      <c r="K395">
        <v>0</v>
      </c>
      <c r="L395" s="4">
        <v>0.29334700000000002</v>
      </c>
      <c r="M395" s="4">
        <v>101.706829</v>
      </c>
      <c r="N395" s="6"/>
      <c r="P395"/>
      <c r="Q395" s="12"/>
      <c r="R395" s="12"/>
    </row>
    <row r="396" spans="1:18" x14ac:dyDescent="0.2">
      <c r="A396">
        <v>4</v>
      </c>
      <c r="B396" t="s">
        <v>25</v>
      </c>
      <c r="C396">
        <v>2015</v>
      </c>
      <c r="D396">
        <v>11</v>
      </c>
      <c r="E396" s="4">
        <v>0</v>
      </c>
      <c r="F396" s="9">
        <v>0</v>
      </c>
      <c r="G396" s="6">
        <v>6040</v>
      </c>
      <c r="H396" s="9">
        <f t="shared" si="6"/>
        <v>0</v>
      </c>
      <c r="I396" s="6">
        <v>11940</v>
      </c>
      <c r="J396" s="6">
        <f>VLOOKUP(Table1[[#This Row],[Province]],[1]Sheet1!$A$4:$B$37,2,FALSE)</f>
        <v>6033300</v>
      </c>
      <c r="K396">
        <v>0</v>
      </c>
      <c r="L396" s="4">
        <v>0.29334700000000002</v>
      </c>
      <c r="M396" s="4">
        <v>101.706829</v>
      </c>
      <c r="N396" s="6"/>
      <c r="P396"/>
      <c r="Q396" s="12"/>
      <c r="R396" s="12"/>
    </row>
    <row r="397" spans="1:18" x14ac:dyDescent="0.2">
      <c r="A397">
        <v>4</v>
      </c>
      <c r="B397" t="s">
        <v>25</v>
      </c>
      <c r="C397">
        <v>2015</v>
      </c>
      <c r="D397">
        <v>12</v>
      </c>
      <c r="E397" s="4">
        <v>0</v>
      </c>
      <c r="F397" s="9">
        <v>77.760000000000005</v>
      </c>
      <c r="G397" s="6">
        <v>6474</v>
      </c>
      <c r="H397" s="9">
        <f t="shared" si="6"/>
        <v>77.760000000000005</v>
      </c>
      <c r="I397" s="6">
        <v>12000</v>
      </c>
      <c r="J397" s="6">
        <f>VLOOKUP(Table1[[#This Row],[Province]],[1]Sheet1!$A$4:$B$37,2,FALSE)</f>
        <v>6033300</v>
      </c>
      <c r="K397">
        <v>1</v>
      </c>
      <c r="L397" s="4">
        <v>0.29334700000000002</v>
      </c>
      <c r="M397" s="4">
        <v>101.706829</v>
      </c>
      <c r="N397" s="6"/>
      <c r="P397"/>
      <c r="Q397" s="12"/>
      <c r="R397" s="12"/>
    </row>
    <row r="398" spans="1:18" x14ac:dyDescent="0.2">
      <c r="A398">
        <v>4</v>
      </c>
      <c r="B398" t="s">
        <v>25</v>
      </c>
      <c r="C398">
        <v>2016</v>
      </c>
      <c r="D398">
        <v>1</v>
      </c>
      <c r="E398" s="4">
        <v>0</v>
      </c>
      <c r="F398" s="9">
        <v>0</v>
      </c>
      <c r="G398" s="6">
        <v>552</v>
      </c>
      <c r="H398" s="9">
        <f t="shared" si="6"/>
        <v>0</v>
      </c>
      <c r="I398" s="6">
        <v>12225</v>
      </c>
      <c r="J398" s="6">
        <f>VLOOKUP(Table1[[#This Row],[Province]],[1]Sheet1!$A$3:$F$37,3,FALSE)</f>
        <v>6188400</v>
      </c>
      <c r="K398">
        <v>0</v>
      </c>
      <c r="L398" s="4">
        <v>0.29334700000000002</v>
      </c>
      <c r="M398" s="4">
        <v>101.706829</v>
      </c>
      <c r="N398" s="13">
        <v>2.1800000000000002</v>
      </c>
      <c r="P398"/>
      <c r="Q398" s="12"/>
      <c r="R398" s="12"/>
    </row>
    <row r="399" spans="1:18" x14ac:dyDescent="0.2">
      <c r="A399">
        <v>4</v>
      </c>
      <c r="B399" t="s">
        <v>25</v>
      </c>
      <c r="C399">
        <v>2016</v>
      </c>
      <c r="D399">
        <v>2</v>
      </c>
      <c r="E399" s="4">
        <v>0</v>
      </c>
      <c r="F399" s="9">
        <v>0</v>
      </c>
      <c r="G399" s="6">
        <v>4397</v>
      </c>
      <c r="H399" s="9">
        <f t="shared" si="6"/>
        <v>0</v>
      </c>
      <c r="I399" s="6">
        <v>12825</v>
      </c>
      <c r="J399" s="6">
        <f>VLOOKUP(Table1[[#This Row],[Province]],[1]Sheet1!$A$3:$F$37,3,FALSE)</f>
        <v>6188400</v>
      </c>
      <c r="K399">
        <v>0</v>
      </c>
      <c r="L399" s="4">
        <v>0.29334700000000002</v>
      </c>
      <c r="M399" s="4">
        <v>101.706829</v>
      </c>
      <c r="N399" s="13">
        <v>2.1800000000000002</v>
      </c>
      <c r="P399"/>
      <c r="Q399" s="12"/>
      <c r="R399" s="12"/>
    </row>
    <row r="400" spans="1:18" x14ac:dyDescent="0.2">
      <c r="A400">
        <v>4</v>
      </c>
      <c r="B400" t="s">
        <v>25</v>
      </c>
      <c r="C400">
        <v>2016</v>
      </c>
      <c r="D400">
        <v>3</v>
      </c>
      <c r="E400" s="4">
        <v>0</v>
      </c>
      <c r="F400" s="9">
        <v>47.99</v>
      </c>
      <c r="G400" s="6">
        <v>1642</v>
      </c>
      <c r="H400" s="9">
        <f t="shared" si="6"/>
        <v>47.99</v>
      </c>
      <c r="I400" s="6">
        <v>12857</v>
      </c>
      <c r="J400" s="6">
        <f>VLOOKUP(Table1[[#This Row],[Province]],[1]Sheet1!$A$3:$F$37,3,FALSE)</f>
        <v>6188400</v>
      </c>
      <c r="K400">
        <v>0</v>
      </c>
      <c r="L400" s="4">
        <v>0.29334700000000002</v>
      </c>
      <c r="M400" s="4">
        <v>101.706829</v>
      </c>
      <c r="N400" s="13">
        <v>2.1800000000000002</v>
      </c>
      <c r="P400"/>
      <c r="Q400" s="12"/>
      <c r="R400" s="12"/>
    </row>
    <row r="401" spans="1:18" x14ac:dyDescent="0.2">
      <c r="A401">
        <v>4</v>
      </c>
      <c r="B401" t="s">
        <v>25</v>
      </c>
      <c r="C401">
        <v>2016</v>
      </c>
      <c r="D401">
        <v>4</v>
      </c>
      <c r="E401" s="4">
        <v>0</v>
      </c>
      <c r="F401" s="9">
        <v>0</v>
      </c>
      <c r="G401" s="6">
        <v>4665</v>
      </c>
      <c r="H401" s="9">
        <f t="shared" si="6"/>
        <v>0</v>
      </c>
      <c r="I401" s="6">
        <v>12810</v>
      </c>
      <c r="J401" s="6">
        <f>VLOOKUP(Table1[[#This Row],[Province]],[1]Sheet1!$A$3:$F$37,3,FALSE)</f>
        <v>6188400</v>
      </c>
      <c r="K401">
        <v>0</v>
      </c>
      <c r="L401" s="4">
        <v>0.29334700000000002</v>
      </c>
      <c r="M401" s="4">
        <v>101.706829</v>
      </c>
      <c r="N401" s="13">
        <v>2.1800000000000002</v>
      </c>
      <c r="P401"/>
      <c r="Q401" s="12"/>
      <c r="R401" s="12"/>
    </row>
    <row r="402" spans="1:18" x14ac:dyDescent="0.2">
      <c r="A402">
        <v>4</v>
      </c>
      <c r="B402" t="s">
        <v>25</v>
      </c>
      <c r="C402">
        <v>2016</v>
      </c>
      <c r="D402">
        <v>5</v>
      </c>
      <c r="E402" s="4">
        <v>0</v>
      </c>
      <c r="F402" s="9">
        <v>0</v>
      </c>
      <c r="G402" s="6">
        <v>8860</v>
      </c>
      <c r="H402" s="9">
        <f t="shared" si="6"/>
        <v>0</v>
      </c>
      <c r="I402" s="6">
        <v>14788</v>
      </c>
      <c r="J402" s="6">
        <f>VLOOKUP(Table1[[#This Row],[Province]],[1]Sheet1!$A$3:$F$37,3,FALSE)</f>
        <v>6188400</v>
      </c>
      <c r="K402">
        <v>0</v>
      </c>
      <c r="L402" s="4">
        <v>0.29334700000000002</v>
      </c>
      <c r="M402" s="4">
        <v>101.706829</v>
      </c>
      <c r="N402" s="13">
        <v>2.1800000000000002</v>
      </c>
      <c r="P402"/>
      <c r="Q402" s="12"/>
      <c r="R402" s="12"/>
    </row>
    <row r="403" spans="1:18" x14ac:dyDescent="0.2">
      <c r="A403">
        <v>4</v>
      </c>
      <c r="B403" t="s">
        <v>25</v>
      </c>
      <c r="C403">
        <v>2016</v>
      </c>
      <c r="D403">
        <v>6</v>
      </c>
      <c r="E403" s="4">
        <v>0</v>
      </c>
      <c r="F403" s="9">
        <v>5.8000000000000003E-2</v>
      </c>
      <c r="G403" s="6">
        <v>6673</v>
      </c>
      <c r="H403" s="9">
        <f t="shared" si="6"/>
        <v>5.8000000000000003E-2</v>
      </c>
      <c r="I403" s="6">
        <v>15500</v>
      </c>
      <c r="J403" s="6">
        <f>VLOOKUP(Table1[[#This Row],[Province]],[1]Sheet1!$A$3:$F$37,3,FALSE)</f>
        <v>6188400</v>
      </c>
      <c r="K403">
        <v>1</v>
      </c>
      <c r="L403" s="4">
        <v>0.29334700000000002</v>
      </c>
      <c r="M403" s="4">
        <v>101.706829</v>
      </c>
      <c r="N403" s="13">
        <v>2.1800000000000002</v>
      </c>
      <c r="P403"/>
      <c r="Q403" s="12"/>
      <c r="R403" s="12"/>
    </row>
    <row r="404" spans="1:18" x14ac:dyDescent="0.2">
      <c r="A404">
        <v>4</v>
      </c>
      <c r="B404" t="s">
        <v>25</v>
      </c>
      <c r="C404">
        <v>2016</v>
      </c>
      <c r="D404">
        <v>7</v>
      </c>
      <c r="E404" s="4">
        <v>0</v>
      </c>
      <c r="F404" s="9">
        <v>0</v>
      </c>
      <c r="G404" s="6">
        <v>6367</v>
      </c>
      <c r="H404" s="9">
        <f t="shared" si="6"/>
        <v>0</v>
      </c>
      <c r="I404" s="6">
        <v>16703</v>
      </c>
      <c r="J404" s="6">
        <f>VLOOKUP(Table1[[#This Row],[Province]],[1]Sheet1!$A$3:$F$37,3,FALSE)</f>
        <v>6188400</v>
      </c>
      <c r="K404">
        <v>0</v>
      </c>
      <c r="L404" s="4">
        <v>0.29334700000000002</v>
      </c>
      <c r="M404" s="4">
        <v>101.706829</v>
      </c>
      <c r="N404" s="13">
        <v>2.1800000000000002</v>
      </c>
      <c r="P404"/>
      <c r="Q404" s="12"/>
      <c r="R404" s="12"/>
    </row>
    <row r="405" spans="1:18" x14ac:dyDescent="0.2">
      <c r="A405">
        <v>4</v>
      </c>
      <c r="B405" t="s">
        <v>25</v>
      </c>
      <c r="C405">
        <v>2016</v>
      </c>
      <c r="D405">
        <v>8</v>
      </c>
      <c r="E405" s="4">
        <v>0</v>
      </c>
      <c r="F405" s="9">
        <v>0</v>
      </c>
      <c r="G405" s="6">
        <v>6291</v>
      </c>
      <c r="H405" s="9">
        <f t="shared" si="6"/>
        <v>0</v>
      </c>
      <c r="I405" s="6">
        <v>15693</v>
      </c>
      <c r="J405" s="6">
        <f>VLOOKUP(Table1[[#This Row],[Province]],[1]Sheet1!$A$3:$F$37,3,FALSE)</f>
        <v>6188400</v>
      </c>
      <c r="K405">
        <v>0</v>
      </c>
      <c r="L405" s="4">
        <v>0.29334700000000002</v>
      </c>
      <c r="M405" s="4">
        <v>101.706829</v>
      </c>
      <c r="N405" s="13">
        <v>2.1800000000000002</v>
      </c>
      <c r="P405"/>
      <c r="Q405" s="12"/>
      <c r="R405" s="12"/>
    </row>
    <row r="406" spans="1:18" x14ac:dyDescent="0.2">
      <c r="A406">
        <v>4</v>
      </c>
      <c r="B406" t="s">
        <v>25</v>
      </c>
      <c r="C406">
        <v>2016</v>
      </c>
      <c r="D406">
        <v>9</v>
      </c>
      <c r="E406" s="4">
        <v>0</v>
      </c>
      <c r="F406" s="9">
        <v>0</v>
      </c>
      <c r="G406" s="6">
        <v>2432</v>
      </c>
      <c r="H406" s="9">
        <f t="shared" si="6"/>
        <v>0</v>
      </c>
      <c r="I406" s="6">
        <v>14381</v>
      </c>
      <c r="J406" s="6">
        <f>VLOOKUP(Table1[[#This Row],[Province]],[1]Sheet1!$A$3:$F$37,3,FALSE)</f>
        <v>6188400</v>
      </c>
      <c r="K406">
        <v>0</v>
      </c>
      <c r="L406" s="4">
        <v>0.29334700000000002</v>
      </c>
      <c r="M406" s="4">
        <v>101.706829</v>
      </c>
      <c r="N406" s="13">
        <v>2.1800000000000002</v>
      </c>
      <c r="P406"/>
      <c r="Q406" s="12"/>
      <c r="R406" s="12"/>
    </row>
    <row r="407" spans="1:18" x14ac:dyDescent="0.2">
      <c r="A407">
        <v>4</v>
      </c>
      <c r="B407" t="s">
        <v>25</v>
      </c>
      <c r="C407">
        <v>2016</v>
      </c>
      <c r="D407">
        <v>10</v>
      </c>
      <c r="E407" s="4">
        <v>0</v>
      </c>
      <c r="F407" s="9">
        <v>0</v>
      </c>
      <c r="G407" s="6">
        <v>10622</v>
      </c>
      <c r="H407" s="9">
        <f t="shared" si="6"/>
        <v>0</v>
      </c>
      <c r="I407" s="6">
        <v>13786</v>
      </c>
      <c r="J407" s="6">
        <f>VLOOKUP(Table1[[#This Row],[Province]],[1]Sheet1!$A$3:$F$37,3,FALSE)</f>
        <v>6188400</v>
      </c>
      <c r="K407">
        <v>0</v>
      </c>
      <c r="L407" s="4">
        <v>0.29334700000000002</v>
      </c>
      <c r="M407" s="4">
        <v>101.706829</v>
      </c>
      <c r="N407" s="13">
        <v>2.1800000000000002</v>
      </c>
      <c r="P407"/>
      <c r="Q407" s="12"/>
      <c r="R407" s="12"/>
    </row>
    <row r="408" spans="1:18" x14ac:dyDescent="0.2">
      <c r="A408">
        <v>4</v>
      </c>
      <c r="B408" t="s">
        <v>25</v>
      </c>
      <c r="C408">
        <v>2016</v>
      </c>
      <c r="D408">
        <v>11</v>
      </c>
      <c r="E408" s="4">
        <v>0</v>
      </c>
      <c r="F408" s="9">
        <v>0</v>
      </c>
      <c r="G408" s="6">
        <v>3007</v>
      </c>
      <c r="H408" s="9">
        <f t="shared" si="6"/>
        <v>0</v>
      </c>
      <c r="I408" s="6">
        <v>13239</v>
      </c>
      <c r="J408" s="6">
        <f>VLOOKUP(Table1[[#This Row],[Province]],[1]Sheet1!$A$3:$F$37,3,FALSE)</f>
        <v>6188400</v>
      </c>
      <c r="K408">
        <v>0</v>
      </c>
      <c r="L408" s="4">
        <v>0.29334700000000002</v>
      </c>
      <c r="M408" s="4">
        <v>101.706829</v>
      </c>
      <c r="N408" s="13">
        <v>2.1800000000000002</v>
      </c>
      <c r="P408"/>
      <c r="Q408" s="12"/>
      <c r="R408" s="12"/>
    </row>
    <row r="409" spans="1:18" x14ac:dyDescent="0.2">
      <c r="A409">
        <v>4</v>
      </c>
      <c r="B409" t="s">
        <v>25</v>
      </c>
      <c r="C409">
        <v>2016</v>
      </c>
      <c r="D409">
        <v>12</v>
      </c>
      <c r="E409" s="4">
        <v>0</v>
      </c>
      <c r="F409" s="9">
        <v>0</v>
      </c>
      <c r="G409" s="6">
        <v>3010</v>
      </c>
      <c r="H409" s="9">
        <f t="shared" si="6"/>
        <v>0</v>
      </c>
      <c r="I409" s="6">
        <v>13250</v>
      </c>
      <c r="J409" s="6">
        <f>VLOOKUP(Table1[[#This Row],[Province]],[1]Sheet1!$A$3:$F$37,3,FALSE)</f>
        <v>6188400</v>
      </c>
      <c r="K409">
        <v>1</v>
      </c>
      <c r="L409" s="4">
        <v>0.29334700000000002</v>
      </c>
      <c r="M409" s="4">
        <v>101.706829</v>
      </c>
      <c r="N409" s="13">
        <v>2.1800000000000002</v>
      </c>
      <c r="P409"/>
      <c r="Q409" s="12"/>
      <c r="R409" s="12"/>
    </row>
    <row r="410" spans="1:18" x14ac:dyDescent="0.2">
      <c r="A410">
        <v>4</v>
      </c>
      <c r="B410" t="s">
        <v>25</v>
      </c>
      <c r="C410">
        <v>2017</v>
      </c>
      <c r="D410">
        <v>1</v>
      </c>
      <c r="E410" s="4">
        <v>0</v>
      </c>
      <c r="F410" s="9">
        <v>0</v>
      </c>
      <c r="G410" s="6">
        <v>6037</v>
      </c>
      <c r="H410" s="9">
        <f t="shared" si="6"/>
        <v>0</v>
      </c>
      <c r="I410" s="6">
        <v>13113</v>
      </c>
      <c r="J410" s="6">
        <f>VLOOKUP(Table1[[#This Row],[Province]],[1]Sheet1!$A$3:$F$37,3,FALSE)</f>
        <v>6188400</v>
      </c>
      <c r="K410">
        <v>0</v>
      </c>
      <c r="L410" s="4">
        <v>0.29334700000000002</v>
      </c>
      <c r="M410" s="4">
        <v>101.706829</v>
      </c>
      <c r="N410" s="13">
        <v>2.66</v>
      </c>
      <c r="P410"/>
      <c r="Q410" s="12"/>
      <c r="R410" s="12"/>
    </row>
    <row r="411" spans="1:18" x14ac:dyDescent="0.2">
      <c r="A411">
        <v>4</v>
      </c>
      <c r="B411" t="s">
        <v>25</v>
      </c>
      <c r="C411">
        <v>2017</v>
      </c>
      <c r="D411">
        <v>2</v>
      </c>
      <c r="E411" s="4">
        <v>0</v>
      </c>
      <c r="F411" s="9">
        <v>0</v>
      </c>
      <c r="G411" s="6">
        <v>3468</v>
      </c>
      <c r="H411" s="9">
        <f t="shared" si="6"/>
        <v>0</v>
      </c>
      <c r="I411" s="6">
        <v>13395</v>
      </c>
      <c r="J411" s="6">
        <f>VLOOKUP(Table1[[#This Row],[Province]],[1]Sheet1!$A$3:$F$37,3,FALSE)</f>
        <v>6188400</v>
      </c>
      <c r="K411">
        <v>0</v>
      </c>
      <c r="L411" s="4">
        <v>0.29334700000000002</v>
      </c>
      <c r="M411" s="4">
        <v>101.706829</v>
      </c>
      <c r="N411" s="13">
        <v>2.66</v>
      </c>
      <c r="P411"/>
      <c r="Q411" s="12"/>
      <c r="R411" s="12"/>
    </row>
    <row r="412" spans="1:18" x14ac:dyDescent="0.2">
      <c r="A412">
        <v>4</v>
      </c>
      <c r="B412" t="s">
        <v>25</v>
      </c>
      <c r="C412">
        <v>2017</v>
      </c>
      <c r="D412">
        <v>3</v>
      </c>
      <c r="E412" s="4">
        <v>0</v>
      </c>
      <c r="F412" s="9">
        <v>0</v>
      </c>
      <c r="G412" s="6">
        <v>2710</v>
      </c>
      <c r="H412" s="9">
        <f t="shared" si="6"/>
        <v>0</v>
      </c>
      <c r="I412" s="6">
        <v>13455</v>
      </c>
      <c r="J412" s="6">
        <f>VLOOKUP(Table1[[#This Row],[Province]],[1]Sheet1!$A$3:$F$37,3,FALSE)</f>
        <v>6188400</v>
      </c>
      <c r="K412">
        <v>0</v>
      </c>
      <c r="L412" s="4">
        <v>0.29334700000000002</v>
      </c>
      <c r="M412" s="4">
        <v>101.706829</v>
      </c>
      <c r="N412" s="13">
        <v>2.66</v>
      </c>
      <c r="P412"/>
      <c r="Q412" s="12"/>
      <c r="R412" s="12"/>
    </row>
    <row r="413" spans="1:18" x14ac:dyDescent="0.2">
      <c r="A413">
        <v>4</v>
      </c>
      <c r="B413" t="s">
        <v>25</v>
      </c>
      <c r="C413">
        <v>2017</v>
      </c>
      <c r="D413">
        <v>4</v>
      </c>
      <c r="E413" s="4">
        <v>0</v>
      </c>
      <c r="F413" s="9">
        <v>0</v>
      </c>
      <c r="G413" s="6">
        <v>1936</v>
      </c>
      <c r="H413" s="9">
        <f t="shared" si="6"/>
        <v>0</v>
      </c>
      <c r="I413" s="6">
        <v>13235</v>
      </c>
      <c r="J413" s="6">
        <f>VLOOKUP(Table1[[#This Row],[Province]],[1]Sheet1!$A$3:$F$37,3,FALSE)</f>
        <v>6188400</v>
      </c>
      <c r="K413">
        <v>0</v>
      </c>
      <c r="L413" s="4">
        <v>0.29334700000000002</v>
      </c>
      <c r="M413" s="4">
        <v>101.706829</v>
      </c>
      <c r="N413" s="13">
        <v>2.66</v>
      </c>
      <c r="P413"/>
      <c r="Q413" s="12"/>
      <c r="R413" s="12"/>
    </row>
    <row r="414" spans="1:18" x14ac:dyDescent="0.2">
      <c r="A414">
        <v>4</v>
      </c>
      <c r="B414" t="s">
        <v>25</v>
      </c>
      <c r="C414">
        <v>2017</v>
      </c>
      <c r="D414">
        <v>5</v>
      </c>
      <c r="E414" s="4">
        <v>0</v>
      </c>
      <c r="F414" s="9">
        <v>8.64</v>
      </c>
      <c r="G414" s="6">
        <v>1864</v>
      </c>
      <c r="H414" s="9">
        <f t="shared" si="6"/>
        <v>8.64</v>
      </c>
      <c r="I414" s="6">
        <v>13000</v>
      </c>
      <c r="J414" s="6">
        <f>VLOOKUP(Table1[[#This Row],[Province]],[1]Sheet1!$A$3:$F$37,3,FALSE)</f>
        <v>6188400</v>
      </c>
      <c r="K414">
        <v>1</v>
      </c>
      <c r="L414" s="4">
        <v>0.29334700000000002</v>
      </c>
      <c r="M414" s="4">
        <v>101.706829</v>
      </c>
      <c r="N414" s="13">
        <v>2.66</v>
      </c>
      <c r="P414"/>
      <c r="Q414" s="12"/>
      <c r="R414" s="12"/>
    </row>
    <row r="415" spans="1:18" x14ac:dyDescent="0.2">
      <c r="A415">
        <v>4</v>
      </c>
      <c r="B415" t="s">
        <v>25</v>
      </c>
      <c r="C415">
        <v>2017</v>
      </c>
      <c r="D415">
        <v>6</v>
      </c>
      <c r="E415" s="4">
        <v>0</v>
      </c>
      <c r="F415" s="9">
        <v>0</v>
      </c>
      <c r="G415" s="6">
        <v>3449</v>
      </c>
      <c r="H415" s="9">
        <f t="shared" si="6"/>
        <v>0</v>
      </c>
      <c r="I415" s="6">
        <v>12767</v>
      </c>
      <c r="J415" s="6">
        <f>VLOOKUP(Table1[[#This Row],[Province]],[1]Sheet1!$A$3:$F$37,3,FALSE)</f>
        <v>6188400</v>
      </c>
      <c r="K415">
        <v>0</v>
      </c>
      <c r="L415" s="4">
        <v>0.29334700000000002</v>
      </c>
      <c r="M415" s="4">
        <v>101.706829</v>
      </c>
      <c r="N415" s="13">
        <v>2.66</v>
      </c>
      <c r="P415"/>
      <c r="Q415" s="12"/>
      <c r="R415" s="12"/>
    </row>
    <row r="416" spans="1:18" x14ac:dyDescent="0.2">
      <c r="A416">
        <v>4</v>
      </c>
      <c r="B416" t="s">
        <v>25</v>
      </c>
      <c r="C416">
        <v>2017</v>
      </c>
      <c r="D416">
        <v>7</v>
      </c>
      <c r="E416" s="4">
        <v>0</v>
      </c>
      <c r="F416" s="9">
        <v>0</v>
      </c>
      <c r="G416" s="6">
        <v>3840</v>
      </c>
      <c r="H416" s="9">
        <f t="shared" si="6"/>
        <v>0</v>
      </c>
      <c r="I416" s="6">
        <v>12500</v>
      </c>
      <c r="J416" s="6">
        <f>VLOOKUP(Table1[[#This Row],[Province]],[1]Sheet1!$A$3:$F$37,3,FALSE)</f>
        <v>6188400</v>
      </c>
      <c r="K416">
        <v>0</v>
      </c>
      <c r="L416" s="4">
        <v>0.29334700000000002</v>
      </c>
      <c r="M416" s="4">
        <v>101.706829</v>
      </c>
      <c r="N416" s="13">
        <v>2.66</v>
      </c>
      <c r="P416"/>
      <c r="Q416" s="12"/>
      <c r="R416" s="12"/>
    </row>
    <row r="417" spans="1:18" x14ac:dyDescent="0.2">
      <c r="A417">
        <v>4</v>
      </c>
      <c r="B417" t="s">
        <v>25</v>
      </c>
      <c r="C417">
        <v>2017</v>
      </c>
      <c r="D417">
        <v>8</v>
      </c>
      <c r="E417" s="4">
        <v>0</v>
      </c>
      <c r="F417" s="9">
        <v>0</v>
      </c>
      <c r="G417" s="6">
        <v>7360</v>
      </c>
      <c r="H417" s="9">
        <f t="shared" si="6"/>
        <v>0</v>
      </c>
      <c r="I417" s="6">
        <v>12477</v>
      </c>
      <c r="J417" s="6">
        <f>VLOOKUP(Table1[[#This Row],[Province]],[1]Sheet1!$A$3:$F$37,3,FALSE)</f>
        <v>6188400</v>
      </c>
      <c r="K417">
        <v>0</v>
      </c>
      <c r="L417" s="4">
        <v>0.29334700000000002</v>
      </c>
      <c r="M417" s="4">
        <v>101.706829</v>
      </c>
      <c r="N417" s="13">
        <v>2.66</v>
      </c>
      <c r="P417"/>
      <c r="Q417" s="12"/>
      <c r="R417" s="12"/>
    </row>
    <row r="418" spans="1:18" x14ac:dyDescent="0.2">
      <c r="A418">
        <v>4</v>
      </c>
      <c r="B418" t="s">
        <v>25</v>
      </c>
      <c r="C418">
        <v>2017</v>
      </c>
      <c r="D418">
        <v>9</v>
      </c>
      <c r="E418" s="4">
        <v>0</v>
      </c>
      <c r="F418" s="9">
        <v>0</v>
      </c>
      <c r="G418" s="6">
        <v>7132</v>
      </c>
      <c r="H418" s="9">
        <f t="shared" si="6"/>
        <v>0</v>
      </c>
      <c r="I418" s="6">
        <v>12236</v>
      </c>
      <c r="J418" s="6">
        <f>VLOOKUP(Table1[[#This Row],[Province]],[1]Sheet1!$A$3:$F$37,3,FALSE)</f>
        <v>6188400</v>
      </c>
      <c r="K418">
        <v>0</v>
      </c>
      <c r="L418" s="4">
        <v>0.29334700000000002</v>
      </c>
      <c r="M418" s="4">
        <v>101.706829</v>
      </c>
      <c r="N418" s="13">
        <v>2.66</v>
      </c>
      <c r="P418"/>
      <c r="Q418" s="12"/>
      <c r="R418" s="12"/>
    </row>
    <row r="419" spans="1:18" x14ac:dyDescent="0.2">
      <c r="A419">
        <v>4</v>
      </c>
      <c r="B419" t="s">
        <v>25</v>
      </c>
      <c r="C419">
        <v>2017</v>
      </c>
      <c r="D419">
        <v>10</v>
      </c>
      <c r="E419" s="4">
        <v>0</v>
      </c>
      <c r="F419" s="9">
        <v>0</v>
      </c>
      <c r="G419" s="6">
        <v>9258</v>
      </c>
      <c r="H419" s="9">
        <f t="shared" si="6"/>
        <v>0</v>
      </c>
      <c r="I419" s="6">
        <v>12250</v>
      </c>
      <c r="J419" s="6">
        <f>VLOOKUP(Table1[[#This Row],[Province]],[1]Sheet1!$A$3:$F$37,3,FALSE)</f>
        <v>6188400</v>
      </c>
      <c r="K419">
        <v>0</v>
      </c>
      <c r="L419" s="4">
        <v>0.29334700000000002</v>
      </c>
      <c r="M419" s="4">
        <v>101.706829</v>
      </c>
      <c r="N419" s="13">
        <v>2.66</v>
      </c>
      <c r="P419"/>
      <c r="Q419" s="12"/>
      <c r="R419" s="12"/>
    </row>
    <row r="420" spans="1:18" x14ac:dyDescent="0.2">
      <c r="A420">
        <v>4</v>
      </c>
      <c r="B420" t="s">
        <v>25</v>
      </c>
      <c r="C420">
        <v>2017</v>
      </c>
      <c r="D420">
        <v>11</v>
      </c>
      <c r="E420" s="4">
        <v>0</v>
      </c>
      <c r="F420" s="9">
        <v>0</v>
      </c>
      <c r="G420" s="6">
        <v>2419</v>
      </c>
      <c r="H420" s="9">
        <f t="shared" si="6"/>
        <v>0</v>
      </c>
      <c r="I420" s="6">
        <v>12227</v>
      </c>
      <c r="J420" s="6">
        <f>VLOOKUP(Table1[[#This Row],[Province]],[1]Sheet1!$A$3:$F$37,3,FALSE)</f>
        <v>6188400</v>
      </c>
      <c r="K420">
        <v>0</v>
      </c>
      <c r="L420" s="4">
        <v>0.29334700000000002</v>
      </c>
      <c r="M420" s="4">
        <v>101.706829</v>
      </c>
      <c r="N420" s="13">
        <v>2.66</v>
      </c>
      <c r="P420"/>
      <c r="Q420" s="12"/>
      <c r="R420" s="12"/>
    </row>
    <row r="421" spans="1:18" x14ac:dyDescent="0.2">
      <c r="A421">
        <v>4</v>
      </c>
      <c r="B421" t="s">
        <v>25</v>
      </c>
      <c r="C421">
        <v>2017</v>
      </c>
      <c r="D421">
        <v>12</v>
      </c>
      <c r="E421" s="4">
        <v>0</v>
      </c>
      <c r="F421" s="9">
        <v>0</v>
      </c>
      <c r="G421" s="6">
        <v>4507</v>
      </c>
      <c r="H421" s="9">
        <f t="shared" si="6"/>
        <v>0</v>
      </c>
      <c r="I421" s="6">
        <v>11931</v>
      </c>
      <c r="J421" s="6">
        <f>VLOOKUP(Table1[[#This Row],[Province]],[1]Sheet1!$A$3:$F$37,3,FALSE)</f>
        <v>6188400</v>
      </c>
      <c r="K421">
        <v>1</v>
      </c>
      <c r="L421" s="4">
        <v>0.29334700000000002</v>
      </c>
      <c r="M421" s="4">
        <v>101.706829</v>
      </c>
      <c r="N421" s="13">
        <v>2.66</v>
      </c>
      <c r="P421"/>
      <c r="Q421" s="12"/>
      <c r="R421" s="12"/>
    </row>
    <row r="422" spans="1:18" x14ac:dyDescent="0.2">
      <c r="A422">
        <v>4</v>
      </c>
      <c r="B422" t="s">
        <v>25</v>
      </c>
      <c r="C422">
        <v>2018</v>
      </c>
      <c r="D422">
        <v>1</v>
      </c>
      <c r="E422" s="4">
        <v>0</v>
      </c>
      <c r="F422" s="9">
        <v>0</v>
      </c>
      <c r="G422" s="6">
        <v>10439</v>
      </c>
      <c r="H422" s="9">
        <f t="shared" si="6"/>
        <v>0</v>
      </c>
      <c r="I422" s="6">
        <v>11570</v>
      </c>
      <c r="J422" s="6">
        <f>VLOOKUP(Table1[[#This Row],[Province]],[1]Sheet1!$A$3:$F$37,3,FALSE)</f>
        <v>6188400</v>
      </c>
      <c r="K422">
        <v>0</v>
      </c>
      <c r="L422" s="4">
        <v>0.29334700000000002</v>
      </c>
      <c r="M422" s="4">
        <v>101.706829</v>
      </c>
      <c r="N422" s="13">
        <v>2.35</v>
      </c>
      <c r="P422"/>
      <c r="Q422" s="12"/>
      <c r="R422" s="12"/>
    </row>
    <row r="423" spans="1:18" x14ac:dyDescent="0.2">
      <c r="A423">
        <v>4</v>
      </c>
      <c r="B423" t="s">
        <v>25</v>
      </c>
      <c r="C423">
        <v>2018</v>
      </c>
      <c r="D423">
        <v>2</v>
      </c>
      <c r="E423" s="4">
        <v>0</v>
      </c>
      <c r="F423" s="9">
        <v>0</v>
      </c>
      <c r="G423" s="6">
        <v>4223</v>
      </c>
      <c r="H423" s="9">
        <f t="shared" si="6"/>
        <v>0</v>
      </c>
      <c r="I423" s="6">
        <v>11660</v>
      </c>
      <c r="J423" s="6">
        <f>VLOOKUP(Table1[[#This Row],[Province]],[1]Sheet1!$A$3:$F$37,3,FALSE)</f>
        <v>6188400</v>
      </c>
      <c r="K423">
        <v>0</v>
      </c>
      <c r="L423" s="4">
        <v>0.29334700000000002</v>
      </c>
      <c r="M423" s="4">
        <v>101.706829</v>
      </c>
      <c r="N423" s="13">
        <v>2.35</v>
      </c>
      <c r="P423"/>
      <c r="Q423" s="12"/>
      <c r="R423" s="12"/>
    </row>
    <row r="424" spans="1:18" x14ac:dyDescent="0.2">
      <c r="A424">
        <v>4</v>
      </c>
      <c r="B424" t="s">
        <v>25</v>
      </c>
      <c r="C424">
        <v>2018</v>
      </c>
      <c r="D424">
        <v>3</v>
      </c>
      <c r="E424" s="4">
        <v>0</v>
      </c>
      <c r="F424" s="9">
        <v>0</v>
      </c>
      <c r="G424" s="6">
        <v>6322</v>
      </c>
      <c r="H424" s="9">
        <f t="shared" si="6"/>
        <v>0</v>
      </c>
      <c r="I424" s="6">
        <v>11600</v>
      </c>
      <c r="J424" s="6">
        <f>VLOOKUP(Table1[[#This Row],[Province]],[1]Sheet1!$A$3:$F$37,3,FALSE)</f>
        <v>6188400</v>
      </c>
      <c r="K424">
        <v>0</v>
      </c>
      <c r="L424" s="4">
        <v>0.29334700000000002</v>
      </c>
      <c r="M424" s="4">
        <v>101.706829</v>
      </c>
      <c r="N424" s="13">
        <v>2.35</v>
      </c>
      <c r="P424"/>
      <c r="Q424" s="12"/>
      <c r="R424" s="12"/>
    </row>
    <row r="425" spans="1:18" x14ac:dyDescent="0.2">
      <c r="A425">
        <v>4</v>
      </c>
      <c r="B425" t="s">
        <v>25</v>
      </c>
      <c r="C425">
        <v>2018</v>
      </c>
      <c r="D425">
        <v>4</v>
      </c>
      <c r="E425" s="4">
        <v>0</v>
      </c>
      <c r="F425" s="9">
        <v>0</v>
      </c>
      <c r="G425" s="6">
        <v>7363</v>
      </c>
      <c r="H425" s="9">
        <f t="shared" si="6"/>
        <v>0</v>
      </c>
      <c r="I425" s="6">
        <v>11338</v>
      </c>
      <c r="J425" s="6">
        <f>VLOOKUP(Table1[[#This Row],[Province]],[1]Sheet1!$A$3:$F$37,3,FALSE)</f>
        <v>6188400</v>
      </c>
      <c r="K425">
        <v>0</v>
      </c>
      <c r="L425" s="4">
        <v>0.29334700000000002</v>
      </c>
      <c r="M425" s="4">
        <v>101.706829</v>
      </c>
      <c r="N425" s="13">
        <v>2.35</v>
      </c>
      <c r="P425"/>
      <c r="Q425" s="12"/>
      <c r="R425" s="12"/>
    </row>
    <row r="426" spans="1:18" x14ac:dyDescent="0.2">
      <c r="A426">
        <v>4</v>
      </c>
      <c r="B426" t="s">
        <v>25</v>
      </c>
      <c r="C426">
        <v>2018</v>
      </c>
      <c r="D426">
        <v>5</v>
      </c>
      <c r="E426" s="4">
        <v>0</v>
      </c>
      <c r="F426" s="9">
        <v>15.859</v>
      </c>
      <c r="G426" s="6">
        <v>6446</v>
      </c>
      <c r="H426" s="9">
        <f t="shared" si="6"/>
        <v>15.859</v>
      </c>
      <c r="I426" s="6">
        <v>12000</v>
      </c>
      <c r="J426" s="6">
        <f>VLOOKUP(Table1[[#This Row],[Province]],[1]Sheet1!$A$3:$F$37,3,FALSE)</f>
        <v>6188400</v>
      </c>
      <c r="K426">
        <v>1</v>
      </c>
      <c r="L426" s="4">
        <v>0.29334700000000002</v>
      </c>
      <c r="M426" s="4">
        <v>101.706829</v>
      </c>
      <c r="N426" s="13">
        <v>2.35</v>
      </c>
      <c r="P426"/>
      <c r="Q426" s="12"/>
      <c r="R426" s="12"/>
    </row>
    <row r="427" spans="1:18" x14ac:dyDescent="0.2">
      <c r="A427">
        <v>4</v>
      </c>
      <c r="B427" t="s">
        <v>25</v>
      </c>
      <c r="C427">
        <v>2018</v>
      </c>
      <c r="D427">
        <v>6</v>
      </c>
      <c r="E427" s="4">
        <v>0</v>
      </c>
      <c r="F427" s="9">
        <v>13.243</v>
      </c>
      <c r="G427" s="6">
        <v>8373</v>
      </c>
      <c r="H427" s="9">
        <f t="shared" si="6"/>
        <v>13.243</v>
      </c>
      <c r="I427" s="6">
        <v>12000</v>
      </c>
      <c r="J427" s="6">
        <f>VLOOKUP(Table1[[#This Row],[Province]],[1]Sheet1!$A$3:$F$37,3,FALSE)</f>
        <v>6188400</v>
      </c>
      <c r="K427">
        <v>0</v>
      </c>
      <c r="L427" s="4">
        <v>0.29334700000000002</v>
      </c>
      <c r="M427" s="4">
        <v>101.706829</v>
      </c>
      <c r="N427" s="13">
        <v>2.35</v>
      </c>
      <c r="P427"/>
      <c r="Q427" s="12"/>
      <c r="R427" s="12"/>
    </row>
    <row r="428" spans="1:18" x14ac:dyDescent="0.2">
      <c r="A428">
        <v>4</v>
      </c>
      <c r="B428" t="s">
        <v>25</v>
      </c>
      <c r="C428">
        <v>2018</v>
      </c>
      <c r="D428">
        <v>7</v>
      </c>
      <c r="E428" s="4">
        <v>0</v>
      </c>
      <c r="F428" s="9">
        <v>0</v>
      </c>
      <c r="G428" s="6">
        <v>8838</v>
      </c>
      <c r="H428" s="9">
        <f t="shared" si="6"/>
        <v>0</v>
      </c>
      <c r="I428" s="6">
        <v>12000</v>
      </c>
      <c r="J428" s="6">
        <f>VLOOKUP(Table1[[#This Row],[Province]],[1]Sheet1!$A$3:$F$37,3,FALSE)</f>
        <v>6188400</v>
      </c>
      <c r="K428">
        <v>0</v>
      </c>
      <c r="L428" s="4">
        <v>0.29334700000000002</v>
      </c>
      <c r="M428" s="4">
        <v>101.706829</v>
      </c>
      <c r="N428" s="13">
        <v>2.35</v>
      </c>
      <c r="P428"/>
      <c r="Q428" s="12"/>
      <c r="R428" s="12"/>
    </row>
    <row r="429" spans="1:18" x14ac:dyDescent="0.2">
      <c r="A429">
        <v>4</v>
      </c>
      <c r="B429" t="s">
        <v>25</v>
      </c>
      <c r="C429">
        <v>2018</v>
      </c>
      <c r="D429">
        <v>8</v>
      </c>
      <c r="E429" s="4">
        <v>0</v>
      </c>
      <c r="F429" s="9">
        <v>0</v>
      </c>
      <c r="G429" s="6">
        <v>4279</v>
      </c>
      <c r="H429" s="9">
        <f t="shared" si="6"/>
        <v>0</v>
      </c>
      <c r="I429" s="6">
        <v>12000</v>
      </c>
      <c r="J429" s="6">
        <f>VLOOKUP(Table1[[#This Row],[Province]],[1]Sheet1!$A$3:$F$37,3,FALSE)</f>
        <v>6188400</v>
      </c>
      <c r="K429">
        <v>0</v>
      </c>
      <c r="L429" s="4">
        <v>0.29334700000000002</v>
      </c>
      <c r="M429" s="4">
        <v>101.706829</v>
      </c>
      <c r="N429" s="13">
        <v>2.35</v>
      </c>
      <c r="P429"/>
      <c r="Q429" s="12"/>
      <c r="R429" s="12"/>
    </row>
    <row r="430" spans="1:18" x14ac:dyDescent="0.2">
      <c r="A430">
        <v>4</v>
      </c>
      <c r="B430" t="s">
        <v>25</v>
      </c>
      <c r="C430">
        <v>2018</v>
      </c>
      <c r="D430">
        <v>9</v>
      </c>
      <c r="E430" s="4">
        <v>0</v>
      </c>
      <c r="F430" s="9">
        <v>0</v>
      </c>
      <c r="G430" s="6">
        <v>5032</v>
      </c>
      <c r="H430" s="9">
        <f t="shared" si="6"/>
        <v>0</v>
      </c>
      <c r="I430" s="6">
        <v>12000</v>
      </c>
      <c r="J430" s="6">
        <f>VLOOKUP(Table1[[#This Row],[Province]],[1]Sheet1!$A$3:$F$37,3,FALSE)</f>
        <v>6188400</v>
      </c>
      <c r="K430">
        <v>0</v>
      </c>
      <c r="L430" s="4">
        <v>0.29334700000000002</v>
      </c>
      <c r="M430" s="4">
        <v>101.706829</v>
      </c>
      <c r="N430" s="13">
        <v>2.35</v>
      </c>
      <c r="P430"/>
      <c r="Q430" s="12"/>
      <c r="R430" s="12"/>
    </row>
    <row r="431" spans="1:18" x14ac:dyDescent="0.2">
      <c r="A431">
        <v>4</v>
      </c>
      <c r="B431" t="s">
        <v>25</v>
      </c>
      <c r="C431">
        <v>2018</v>
      </c>
      <c r="D431">
        <v>10</v>
      </c>
      <c r="E431" s="4">
        <v>0</v>
      </c>
      <c r="F431" s="9">
        <v>0</v>
      </c>
      <c r="G431" s="6">
        <v>7037</v>
      </c>
      <c r="H431" s="9">
        <f t="shared" si="6"/>
        <v>0</v>
      </c>
      <c r="I431" s="6">
        <v>11563</v>
      </c>
      <c r="J431" s="6">
        <f>VLOOKUP(Table1[[#This Row],[Province]],[1]Sheet1!$A$3:$F$37,3,FALSE)</f>
        <v>6188400</v>
      </c>
      <c r="K431">
        <v>0</v>
      </c>
      <c r="L431" s="4">
        <v>0.29334700000000002</v>
      </c>
      <c r="M431" s="4">
        <v>101.706829</v>
      </c>
      <c r="N431" s="13">
        <v>2.35</v>
      </c>
      <c r="P431"/>
      <c r="Q431" s="12"/>
      <c r="R431" s="12"/>
    </row>
    <row r="432" spans="1:18" x14ac:dyDescent="0.2">
      <c r="A432">
        <v>4</v>
      </c>
      <c r="B432" t="s">
        <v>25</v>
      </c>
      <c r="C432">
        <v>2018</v>
      </c>
      <c r="D432">
        <v>11</v>
      </c>
      <c r="E432" s="4">
        <v>0</v>
      </c>
      <c r="F432" s="9">
        <v>0</v>
      </c>
      <c r="G432" s="6">
        <v>6223</v>
      </c>
      <c r="H432" s="9">
        <f t="shared" si="6"/>
        <v>0</v>
      </c>
      <c r="I432" s="6">
        <v>11375</v>
      </c>
      <c r="J432" s="6">
        <f>VLOOKUP(Table1[[#This Row],[Province]],[1]Sheet1!$A$3:$F$37,3,FALSE)</f>
        <v>6188400</v>
      </c>
      <c r="K432">
        <v>0</v>
      </c>
      <c r="L432" s="4">
        <v>0.29334700000000002</v>
      </c>
      <c r="M432" s="4">
        <v>101.706829</v>
      </c>
      <c r="N432" s="13">
        <v>2.35</v>
      </c>
      <c r="P432"/>
      <c r="Q432" s="12"/>
      <c r="R432" s="12"/>
    </row>
    <row r="433" spans="1:18" x14ac:dyDescent="0.2">
      <c r="A433">
        <v>4</v>
      </c>
      <c r="B433" t="s">
        <v>25</v>
      </c>
      <c r="C433">
        <v>2018</v>
      </c>
      <c r="D433">
        <v>12</v>
      </c>
      <c r="E433" s="4">
        <v>0</v>
      </c>
      <c r="F433" s="9">
        <v>0</v>
      </c>
      <c r="G433" s="6">
        <v>3885</v>
      </c>
      <c r="H433" s="9">
        <f t="shared" si="6"/>
        <v>0</v>
      </c>
      <c r="I433" s="6">
        <v>11032</v>
      </c>
      <c r="J433" s="6">
        <f>VLOOKUP(Table1[[#This Row],[Province]],[1]Sheet1!$A$3:$F$37,3,FALSE)</f>
        <v>6188400</v>
      </c>
      <c r="K433">
        <v>1</v>
      </c>
      <c r="L433" s="4">
        <v>0.29334700000000002</v>
      </c>
      <c r="M433" s="4">
        <v>101.706829</v>
      </c>
      <c r="N433" s="13">
        <v>2.35</v>
      </c>
      <c r="P433"/>
      <c r="Q433" s="12"/>
      <c r="R433" s="12"/>
    </row>
    <row r="434" spans="1:18" x14ac:dyDescent="0.2">
      <c r="A434">
        <v>4</v>
      </c>
      <c r="B434" t="s">
        <v>25</v>
      </c>
      <c r="C434">
        <v>2019</v>
      </c>
      <c r="D434">
        <v>1</v>
      </c>
      <c r="E434" s="4">
        <v>0</v>
      </c>
      <c r="F434" s="9">
        <v>0</v>
      </c>
      <c r="G434" s="6">
        <v>4555</v>
      </c>
      <c r="H434" s="9">
        <f t="shared" si="6"/>
        <v>0</v>
      </c>
      <c r="I434" s="6">
        <v>11404</v>
      </c>
      <c r="J434" s="6">
        <f>VLOOKUP(Table1[[#This Row],[Province]],[1]Sheet1!$A$3:$F$37,3,FALSE)</f>
        <v>6188400</v>
      </c>
      <c r="K434">
        <v>0</v>
      </c>
      <c r="L434" s="4">
        <v>0.29334700000000002</v>
      </c>
      <c r="M434" s="4">
        <v>101.706829</v>
      </c>
      <c r="N434" s="13">
        <v>2.81</v>
      </c>
      <c r="P434"/>
      <c r="Q434" s="12"/>
      <c r="R434" s="12"/>
    </row>
    <row r="435" spans="1:18" x14ac:dyDescent="0.2">
      <c r="A435">
        <v>4</v>
      </c>
      <c r="B435" t="s">
        <v>25</v>
      </c>
      <c r="C435">
        <v>2019</v>
      </c>
      <c r="D435">
        <v>2</v>
      </c>
      <c r="E435" s="4">
        <v>0</v>
      </c>
      <c r="F435" s="9">
        <v>0</v>
      </c>
      <c r="G435" s="6">
        <v>3709</v>
      </c>
      <c r="H435" s="9">
        <f t="shared" si="6"/>
        <v>0</v>
      </c>
      <c r="I435" s="6">
        <v>11482</v>
      </c>
      <c r="J435" s="6">
        <f>VLOOKUP(Table1[[#This Row],[Province]],[1]Sheet1!$A$3:$F$37,3,FALSE)</f>
        <v>6188400</v>
      </c>
      <c r="K435">
        <v>0</v>
      </c>
      <c r="L435" s="4">
        <v>0.29334700000000002</v>
      </c>
      <c r="M435" s="4">
        <v>101.706829</v>
      </c>
      <c r="N435" s="13">
        <v>2.81</v>
      </c>
      <c r="P435"/>
      <c r="Q435" s="12"/>
      <c r="R435" s="12"/>
    </row>
    <row r="436" spans="1:18" x14ac:dyDescent="0.2">
      <c r="A436">
        <v>4</v>
      </c>
      <c r="B436" t="s">
        <v>25</v>
      </c>
      <c r="C436">
        <v>2019</v>
      </c>
      <c r="D436">
        <v>4</v>
      </c>
      <c r="E436" s="4">
        <v>0</v>
      </c>
      <c r="F436" s="9">
        <v>6.8259999999999996</v>
      </c>
      <c r="G436" s="6">
        <v>4833</v>
      </c>
      <c r="H436" s="9">
        <f t="shared" si="6"/>
        <v>6.8259999999999996</v>
      </c>
      <c r="I436" s="6">
        <v>11978</v>
      </c>
      <c r="J436" s="6">
        <f>VLOOKUP(Table1[[#This Row],[Province]],[1]Sheet1!$A$3:$F$37,3,FALSE)</f>
        <v>6188400</v>
      </c>
      <c r="K436">
        <v>0</v>
      </c>
      <c r="L436" s="4">
        <v>0.29334700000000002</v>
      </c>
      <c r="M436" s="4">
        <v>101.706829</v>
      </c>
      <c r="N436" s="13">
        <v>2.81</v>
      </c>
      <c r="P436"/>
      <c r="Q436" s="12"/>
      <c r="R436" s="12"/>
    </row>
    <row r="437" spans="1:18" x14ac:dyDescent="0.2">
      <c r="A437">
        <v>4</v>
      </c>
      <c r="B437" t="s">
        <v>25</v>
      </c>
      <c r="C437">
        <v>2019</v>
      </c>
      <c r="D437">
        <v>5</v>
      </c>
      <c r="E437" s="4">
        <v>0</v>
      </c>
      <c r="F437" s="9">
        <v>0</v>
      </c>
      <c r="G437" s="6">
        <v>5767</v>
      </c>
      <c r="H437" s="9">
        <f t="shared" si="6"/>
        <v>0</v>
      </c>
      <c r="I437" s="6">
        <v>15033</v>
      </c>
      <c r="J437" s="6">
        <f>VLOOKUP(Table1[[#This Row],[Province]],[1]Sheet1!$A$3:$F$37,3,FALSE)</f>
        <v>6188400</v>
      </c>
      <c r="K437">
        <v>1</v>
      </c>
      <c r="L437" s="4">
        <v>0.29334700000000002</v>
      </c>
      <c r="M437" s="4">
        <v>101.706829</v>
      </c>
      <c r="N437" s="13">
        <v>2.81</v>
      </c>
      <c r="P437"/>
      <c r="Q437" s="12"/>
      <c r="R437" s="12"/>
    </row>
    <row r="438" spans="1:18" x14ac:dyDescent="0.2">
      <c r="A438">
        <v>4</v>
      </c>
      <c r="B438" t="s">
        <v>25</v>
      </c>
      <c r="C438">
        <v>2019</v>
      </c>
      <c r="D438">
        <v>5</v>
      </c>
      <c r="E438" s="4">
        <v>0</v>
      </c>
      <c r="F438" s="9">
        <v>0</v>
      </c>
      <c r="G438" s="6">
        <v>3564</v>
      </c>
      <c r="H438" s="9">
        <f t="shared" si="6"/>
        <v>0</v>
      </c>
      <c r="I438" s="6">
        <v>12780</v>
      </c>
      <c r="J438" s="6">
        <f>VLOOKUP(Table1[[#This Row],[Province]],[1]Sheet1!$A$3:$F$37,3,FALSE)</f>
        <v>6188400</v>
      </c>
      <c r="K438">
        <v>1</v>
      </c>
      <c r="L438" s="4">
        <v>0.29334700000000002</v>
      </c>
      <c r="M438" s="4">
        <v>101.706829</v>
      </c>
      <c r="N438" s="13">
        <v>2.81</v>
      </c>
      <c r="P438"/>
      <c r="Q438" s="12"/>
      <c r="R438" s="12"/>
    </row>
    <row r="439" spans="1:18" x14ac:dyDescent="0.2">
      <c r="A439">
        <v>4</v>
      </c>
      <c r="B439" t="s">
        <v>25</v>
      </c>
      <c r="C439">
        <v>2019</v>
      </c>
      <c r="D439">
        <v>6</v>
      </c>
      <c r="E439" s="4">
        <v>0</v>
      </c>
      <c r="F439" s="9">
        <v>0</v>
      </c>
      <c r="G439" s="6">
        <v>4286</v>
      </c>
      <c r="H439" s="9">
        <f t="shared" si="6"/>
        <v>0</v>
      </c>
      <c r="I439" s="6">
        <v>12964</v>
      </c>
      <c r="J439" s="6">
        <f>VLOOKUP(Table1[[#This Row],[Province]],[1]Sheet1!$A$3:$F$37,3,FALSE)</f>
        <v>6188400</v>
      </c>
      <c r="K439">
        <v>0</v>
      </c>
      <c r="L439" s="4">
        <v>0.29334700000000002</v>
      </c>
      <c r="M439" s="4">
        <v>101.706829</v>
      </c>
      <c r="N439" s="13">
        <v>2.81</v>
      </c>
      <c r="P439"/>
      <c r="Q439" s="12"/>
      <c r="R439" s="12"/>
    </row>
    <row r="440" spans="1:18" x14ac:dyDescent="0.2">
      <c r="A440">
        <v>4</v>
      </c>
      <c r="B440" t="s">
        <v>25</v>
      </c>
      <c r="C440">
        <v>2019</v>
      </c>
      <c r="D440">
        <v>7</v>
      </c>
      <c r="E440" s="4">
        <v>0</v>
      </c>
      <c r="F440" s="9">
        <v>0</v>
      </c>
      <c r="G440" s="6">
        <v>3322</v>
      </c>
      <c r="H440" s="9">
        <f t="shared" si="6"/>
        <v>0</v>
      </c>
      <c r="I440" s="6">
        <v>12756</v>
      </c>
      <c r="J440" s="6">
        <f>VLOOKUP(Table1[[#This Row],[Province]],[1]Sheet1!$A$3:$F$37,3,FALSE)</f>
        <v>6188400</v>
      </c>
      <c r="K440">
        <v>0</v>
      </c>
      <c r="L440" s="4">
        <v>0.29334700000000002</v>
      </c>
      <c r="M440" s="4">
        <v>101.706829</v>
      </c>
      <c r="N440" s="13">
        <v>2.81</v>
      </c>
      <c r="P440"/>
      <c r="Q440" s="12"/>
      <c r="R440" s="12"/>
    </row>
    <row r="441" spans="1:18" x14ac:dyDescent="0.2">
      <c r="A441">
        <v>4</v>
      </c>
      <c r="B441" t="s">
        <v>25</v>
      </c>
      <c r="C441">
        <v>2019</v>
      </c>
      <c r="D441">
        <v>8</v>
      </c>
      <c r="E441" s="4">
        <v>0</v>
      </c>
      <c r="F441" s="9">
        <v>0</v>
      </c>
      <c r="G441" s="6">
        <v>633</v>
      </c>
      <c r="H441" s="9">
        <f t="shared" si="6"/>
        <v>0</v>
      </c>
      <c r="I441" s="6">
        <v>12817</v>
      </c>
      <c r="J441" s="6">
        <f>VLOOKUP(Table1[[#This Row],[Province]],[1]Sheet1!$A$3:$F$37,3,FALSE)</f>
        <v>6188400</v>
      </c>
      <c r="K441">
        <v>0</v>
      </c>
      <c r="L441" s="4">
        <v>0.29334700000000002</v>
      </c>
      <c r="M441" s="4">
        <v>101.706829</v>
      </c>
      <c r="N441" s="13">
        <v>2.81</v>
      </c>
      <c r="P441"/>
      <c r="Q441" s="12"/>
      <c r="R441" s="12"/>
    </row>
    <row r="442" spans="1:18" x14ac:dyDescent="0.2">
      <c r="A442">
        <v>4</v>
      </c>
      <c r="B442" t="s">
        <v>25</v>
      </c>
      <c r="C442">
        <v>2019</v>
      </c>
      <c r="D442">
        <v>9</v>
      </c>
      <c r="E442" s="4">
        <v>0</v>
      </c>
      <c r="F442" s="9">
        <v>0</v>
      </c>
      <c r="G442" s="6">
        <v>4028</v>
      </c>
      <c r="H442" s="9">
        <f t="shared" si="6"/>
        <v>0</v>
      </c>
      <c r="I442" s="6">
        <v>12468</v>
      </c>
      <c r="J442" s="6">
        <f>VLOOKUP(Table1[[#This Row],[Province]],[1]Sheet1!$A$3:$F$37,3,FALSE)</f>
        <v>6188400</v>
      </c>
      <c r="K442">
        <v>0</v>
      </c>
      <c r="L442" s="4">
        <v>0.29334700000000002</v>
      </c>
      <c r="M442" s="4">
        <v>101.706829</v>
      </c>
      <c r="N442" s="13">
        <v>2.81</v>
      </c>
      <c r="P442"/>
      <c r="Q442" s="12"/>
      <c r="R442" s="12"/>
    </row>
    <row r="443" spans="1:18" x14ac:dyDescent="0.2">
      <c r="A443">
        <v>4</v>
      </c>
      <c r="B443" t="s">
        <v>25</v>
      </c>
      <c r="C443">
        <v>2019</v>
      </c>
      <c r="D443">
        <v>10</v>
      </c>
      <c r="E443" s="4">
        <v>0</v>
      </c>
      <c r="F443" s="9">
        <v>0</v>
      </c>
      <c r="G443" s="6">
        <v>5642</v>
      </c>
      <c r="H443" s="9">
        <f t="shared" si="6"/>
        <v>0</v>
      </c>
      <c r="I443" s="6">
        <v>12680</v>
      </c>
      <c r="J443" s="6">
        <f>VLOOKUP(Table1[[#This Row],[Province]],[1]Sheet1!$A$3:$F$37,3,FALSE)</f>
        <v>6188400</v>
      </c>
      <c r="K443">
        <v>0</v>
      </c>
      <c r="L443" s="4">
        <v>0.29334700000000002</v>
      </c>
      <c r="M443" s="4">
        <v>101.706829</v>
      </c>
      <c r="N443" s="13">
        <v>2.81</v>
      </c>
      <c r="P443"/>
      <c r="Q443" s="12"/>
      <c r="R443" s="12"/>
    </row>
    <row r="444" spans="1:18" x14ac:dyDescent="0.2">
      <c r="A444">
        <v>4</v>
      </c>
      <c r="B444" t="s">
        <v>25</v>
      </c>
      <c r="C444">
        <v>2019</v>
      </c>
      <c r="D444">
        <v>11</v>
      </c>
      <c r="E444" s="4">
        <v>0</v>
      </c>
      <c r="F444" s="9">
        <v>0</v>
      </c>
      <c r="G444" s="6">
        <v>8249</v>
      </c>
      <c r="H444" s="9">
        <f t="shared" si="6"/>
        <v>0</v>
      </c>
      <c r="I444" s="6">
        <v>12791</v>
      </c>
      <c r="J444" s="6">
        <f>VLOOKUP(Table1[[#This Row],[Province]],[1]Sheet1!$A$3:$F$37,3,FALSE)</f>
        <v>6188400</v>
      </c>
      <c r="K444">
        <v>0</v>
      </c>
      <c r="L444" s="4">
        <v>0.29334700000000002</v>
      </c>
      <c r="M444" s="4">
        <v>101.706829</v>
      </c>
      <c r="N444" s="13">
        <v>2.81</v>
      </c>
      <c r="P444"/>
      <c r="Q444" s="12"/>
      <c r="R444" s="12"/>
    </row>
    <row r="445" spans="1:18" x14ac:dyDescent="0.2">
      <c r="A445">
        <v>4</v>
      </c>
      <c r="B445" t="s">
        <v>25</v>
      </c>
      <c r="C445">
        <v>2019</v>
      </c>
      <c r="D445">
        <v>12</v>
      </c>
      <c r="E445" s="4">
        <v>0</v>
      </c>
      <c r="F445" s="9">
        <v>0</v>
      </c>
      <c r="G445" s="6">
        <v>5022</v>
      </c>
      <c r="H445" s="9">
        <f t="shared" si="6"/>
        <v>0</v>
      </c>
      <c r="I445" s="6">
        <v>13000</v>
      </c>
      <c r="J445" s="6">
        <f>VLOOKUP(Table1[[#This Row],[Province]],[1]Sheet1!$A$3:$F$37,3,FALSE)</f>
        <v>6188400</v>
      </c>
      <c r="K445">
        <v>1</v>
      </c>
      <c r="L445" s="4">
        <v>0.29334700000000002</v>
      </c>
      <c r="M445" s="4">
        <v>101.706829</v>
      </c>
      <c r="N445" s="13">
        <v>2.81</v>
      </c>
      <c r="P445"/>
      <c r="Q445" s="12"/>
      <c r="R445" s="12"/>
    </row>
    <row r="446" spans="1:18" x14ac:dyDescent="0.2">
      <c r="A446">
        <v>4</v>
      </c>
      <c r="B446" t="s">
        <v>25</v>
      </c>
      <c r="C446">
        <v>2020</v>
      </c>
      <c r="D446">
        <v>1</v>
      </c>
      <c r="E446" s="4">
        <v>0</v>
      </c>
      <c r="F446" s="9">
        <v>0</v>
      </c>
      <c r="G446" s="6">
        <v>4575</v>
      </c>
      <c r="H446" s="9">
        <f t="shared" si="6"/>
        <v>0</v>
      </c>
      <c r="I446" s="6">
        <v>13464</v>
      </c>
      <c r="J446" s="6">
        <f>VLOOKUP(Table1[[#This Row],[Province]],[1]Sheet1!$A$3:$F$37,3,FALSE)</f>
        <v>6188400</v>
      </c>
      <c r="K446">
        <v>0</v>
      </c>
      <c r="L446" s="4">
        <v>0.29334700000000002</v>
      </c>
      <c r="M446" s="4">
        <v>101.706829</v>
      </c>
      <c r="N446" s="13">
        <v>-1.1299999999999999</v>
      </c>
      <c r="P446"/>
      <c r="Q446" s="12"/>
      <c r="R446" s="12"/>
    </row>
    <row r="447" spans="1:18" x14ac:dyDescent="0.2">
      <c r="A447">
        <v>4</v>
      </c>
      <c r="B447" t="s">
        <v>25</v>
      </c>
      <c r="C447">
        <v>2020</v>
      </c>
      <c r="D447">
        <v>2</v>
      </c>
      <c r="E447" s="4">
        <v>0</v>
      </c>
      <c r="F447" s="9">
        <v>0</v>
      </c>
      <c r="G447" s="6">
        <v>3484</v>
      </c>
      <c r="H447" s="9">
        <f t="shared" si="6"/>
        <v>0</v>
      </c>
      <c r="I447" s="6">
        <v>14178</v>
      </c>
      <c r="J447" s="6">
        <f>VLOOKUP(Table1[[#This Row],[Province]],[1]Sheet1!$A$3:$F$37,3,FALSE)</f>
        <v>6188400</v>
      </c>
      <c r="K447">
        <v>0</v>
      </c>
      <c r="L447" s="4">
        <v>0.29334700000000002</v>
      </c>
      <c r="M447" s="4">
        <v>101.706829</v>
      </c>
      <c r="N447" s="13">
        <v>-1.1299999999999999</v>
      </c>
      <c r="P447"/>
      <c r="Q447" s="12"/>
      <c r="R447" s="12"/>
    </row>
    <row r="448" spans="1:18" x14ac:dyDescent="0.2">
      <c r="A448">
        <v>4</v>
      </c>
      <c r="B448" t="s">
        <v>25</v>
      </c>
      <c r="C448">
        <v>2020</v>
      </c>
      <c r="D448">
        <v>3</v>
      </c>
      <c r="E448" s="4">
        <v>0</v>
      </c>
      <c r="F448" s="9">
        <v>0</v>
      </c>
      <c r="G448" s="6">
        <v>5503</v>
      </c>
      <c r="H448" s="9">
        <f t="shared" si="6"/>
        <v>0</v>
      </c>
      <c r="I448" s="6">
        <v>16409</v>
      </c>
      <c r="J448" s="6">
        <f>VLOOKUP(Table1[[#This Row],[Province]],[1]Sheet1!$A$3:$F$37,3,FALSE)</f>
        <v>6188400</v>
      </c>
      <c r="K448">
        <v>0</v>
      </c>
      <c r="L448" s="4">
        <v>0.29334700000000002</v>
      </c>
      <c r="M448" s="4">
        <v>101.706829</v>
      </c>
      <c r="N448" s="13">
        <v>-1.1299999999999999</v>
      </c>
      <c r="P448"/>
      <c r="Q448" s="12"/>
      <c r="R448" s="12"/>
    </row>
    <row r="449" spans="1:18" x14ac:dyDescent="0.2">
      <c r="A449">
        <v>4</v>
      </c>
      <c r="B449" t="s">
        <v>25</v>
      </c>
      <c r="C449">
        <v>2020</v>
      </c>
      <c r="D449">
        <v>4</v>
      </c>
      <c r="E449" s="4">
        <v>0</v>
      </c>
      <c r="F449" s="9">
        <v>0</v>
      </c>
      <c r="G449" s="6">
        <v>3115</v>
      </c>
      <c r="H449" s="9">
        <f t="shared" si="6"/>
        <v>0</v>
      </c>
      <c r="I449" s="6">
        <v>18579</v>
      </c>
      <c r="J449" s="6">
        <f>VLOOKUP(Table1[[#This Row],[Province]],[1]Sheet1!$A$3:$F$37,3,FALSE)</f>
        <v>6188400</v>
      </c>
      <c r="K449">
        <v>1</v>
      </c>
      <c r="L449" s="4">
        <v>0.29334700000000002</v>
      </c>
      <c r="M449" s="4">
        <v>101.706829</v>
      </c>
      <c r="N449" s="13">
        <v>-1.1299999999999999</v>
      </c>
      <c r="P449"/>
      <c r="Q449" s="12"/>
      <c r="R449" s="12"/>
    </row>
    <row r="450" spans="1:18" x14ac:dyDescent="0.2">
      <c r="A450">
        <v>4</v>
      </c>
      <c r="B450" t="s">
        <v>25</v>
      </c>
      <c r="C450">
        <v>2020</v>
      </c>
      <c r="D450">
        <v>5</v>
      </c>
      <c r="E450" s="4">
        <v>0</v>
      </c>
      <c r="F450" s="9">
        <v>0</v>
      </c>
      <c r="G450" s="6">
        <v>3807</v>
      </c>
      <c r="H450" s="9">
        <f t="shared" ref="H450:H513" si="7">F450+E450</f>
        <v>0</v>
      </c>
      <c r="I450" s="6">
        <v>16823</v>
      </c>
      <c r="J450" s="6">
        <f>VLOOKUP(Table1[[#This Row],[Province]],[1]Sheet1!$A$3:$F$37,3,FALSE)</f>
        <v>6188400</v>
      </c>
      <c r="K450">
        <v>0</v>
      </c>
      <c r="L450" s="4">
        <v>0.29334700000000002</v>
      </c>
      <c r="M450" s="4">
        <v>101.706829</v>
      </c>
      <c r="N450" s="13">
        <v>-1.1299999999999999</v>
      </c>
      <c r="P450"/>
      <c r="Q450" s="12"/>
      <c r="R450" s="12"/>
    </row>
    <row r="451" spans="1:18" x14ac:dyDescent="0.2">
      <c r="A451">
        <v>4</v>
      </c>
      <c r="B451" t="s">
        <v>25</v>
      </c>
      <c r="C451">
        <v>2020</v>
      </c>
      <c r="D451">
        <v>6</v>
      </c>
      <c r="E451" s="4">
        <v>0</v>
      </c>
      <c r="F451" s="9">
        <v>4.2000000000000003E-2</v>
      </c>
      <c r="G451" s="6">
        <v>6220</v>
      </c>
      <c r="H451" s="9">
        <f t="shared" si="7"/>
        <v>4.2000000000000003E-2</v>
      </c>
      <c r="I451" s="6">
        <v>15023</v>
      </c>
      <c r="J451" s="6">
        <f>VLOOKUP(Table1[[#This Row],[Province]],[1]Sheet1!$A$3:$F$37,3,FALSE)</f>
        <v>6188400</v>
      </c>
      <c r="K451">
        <v>0</v>
      </c>
      <c r="L451" s="4">
        <v>0.29334700000000002</v>
      </c>
      <c r="M451" s="4">
        <v>101.706829</v>
      </c>
      <c r="N451" s="13">
        <v>-1.1299999999999999</v>
      </c>
      <c r="P451"/>
      <c r="Q451" s="12"/>
      <c r="R451" s="12"/>
    </row>
    <row r="452" spans="1:18" x14ac:dyDescent="0.2">
      <c r="A452">
        <v>4</v>
      </c>
      <c r="B452" t="s">
        <v>25</v>
      </c>
      <c r="C452">
        <v>2020</v>
      </c>
      <c r="D452">
        <v>7</v>
      </c>
      <c r="E452" s="4">
        <v>0</v>
      </c>
      <c r="F452" s="9">
        <v>0</v>
      </c>
      <c r="G452" s="6">
        <v>3478</v>
      </c>
      <c r="H452" s="9">
        <f t="shared" si="7"/>
        <v>0</v>
      </c>
      <c r="I452" s="6">
        <v>13434</v>
      </c>
      <c r="J452" s="6">
        <f>VLOOKUP(Table1[[#This Row],[Province]],[1]Sheet1!$A$3:$F$37,3,FALSE)</f>
        <v>6188400</v>
      </c>
      <c r="K452">
        <v>0</v>
      </c>
      <c r="L452" s="4">
        <v>0.29334700000000002</v>
      </c>
      <c r="M452" s="4">
        <v>101.706829</v>
      </c>
      <c r="N452" s="13">
        <v>-1.1299999999999999</v>
      </c>
      <c r="P452"/>
      <c r="Q452" s="12"/>
      <c r="R452" s="12"/>
    </row>
    <row r="453" spans="1:18" x14ac:dyDescent="0.2">
      <c r="A453">
        <v>4</v>
      </c>
      <c r="B453" t="s">
        <v>25</v>
      </c>
      <c r="C453">
        <v>2020</v>
      </c>
      <c r="D453">
        <v>8</v>
      </c>
      <c r="E453" s="4">
        <v>0</v>
      </c>
      <c r="F453" s="9">
        <v>0</v>
      </c>
      <c r="G453" s="6">
        <v>4354</v>
      </c>
      <c r="H453" s="9">
        <f t="shared" si="7"/>
        <v>0</v>
      </c>
      <c r="I453" s="6">
        <v>12982</v>
      </c>
      <c r="J453" s="6">
        <f>VLOOKUP(Table1[[#This Row],[Province]],[1]Sheet1!$A$3:$F$37,3,FALSE)</f>
        <v>6188400</v>
      </c>
      <c r="K453">
        <v>0</v>
      </c>
      <c r="L453" s="4">
        <v>0.29334700000000002</v>
      </c>
      <c r="M453" s="4">
        <v>101.706829</v>
      </c>
      <c r="N453" s="13">
        <v>-1.1299999999999999</v>
      </c>
      <c r="P453"/>
      <c r="Q453" s="12"/>
      <c r="R453" s="12"/>
    </row>
    <row r="454" spans="1:18" x14ac:dyDescent="0.2">
      <c r="A454">
        <v>4</v>
      </c>
      <c r="B454" t="s">
        <v>25</v>
      </c>
      <c r="C454">
        <v>2020</v>
      </c>
      <c r="D454">
        <v>9</v>
      </c>
      <c r="E454" s="4">
        <v>0</v>
      </c>
      <c r="F454" s="9">
        <v>0</v>
      </c>
      <c r="G454" s="6">
        <v>5720</v>
      </c>
      <c r="H454" s="9">
        <f t="shared" si="7"/>
        <v>0</v>
      </c>
      <c r="I454" s="6">
        <v>12746</v>
      </c>
      <c r="J454" s="6">
        <f>VLOOKUP(Table1[[#This Row],[Province]],[1]Sheet1!$A$3:$F$37,3,FALSE)</f>
        <v>6188400</v>
      </c>
      <c r="K454">
        <v>0</v>
      </c>
      <c r="L454" s="4">
        <v>0.29334700000000002</v>
      </c>
      <c r="M454" s="4">
        <v>101.706829</v>
      </c>
      <c r="N454" s="13">
        <v>-1.1299999999999999</v>
      </c>
      <c r="P454"/>
      <c r="Q454" s="12"/>
      <c r="R454" s="12"/>
    </row>
    <row r="455" spans="1:18" x14ac:dyDescent="0.2">
      <c r="A455">
        <v>4</v>
      </c>
      <c r="B455" t="s">
        <v>25</v>
      </c>
      <c r="C455">
        <v>2020</v>
      </c>
      <c r="D455">
        <v>10</v>
      </c>
      <c r="E455" s="4">
        <v>0</v>
      </c>
      <c r="F455" s="9">
        <v>0</v>
      </c>
      <c r="G455" s="6">
        <v>3738</v>
      </c>
      <c r="H455" s="9">
        <f t="shared" si="7"/>
        <v>0</v>
      </c>
      <c r="I455" s="6">
        <v>12539</v>
      </c>
      <c r="J455" s="6">
        <f>VLOOKUP(Table1[[#This Row],[Province]],[1]Sheet1!$A$3:$F$37,3,FALSE)</f>
        <v>6188400</v>
      </c>
      <c r="K455">
        <v>0</v>
      </c>
      <c r="L455" s="4">
        <v>0.29334700000000002</v>
      </c>
      <c r="M455" s="4">
        <v>101.706829</v>
      </c>
      <c r="N455" s="13">
        <v>-1.1299999999999999</v>
      </c>
      <c r="P455"/>
      <c r="Q455" s="12"/>
      <c r="R455" s="12"/>
    </row>
    <row r="456" spans="1:18" x14ac:dyDescent="0.2">
      <c r="A456">
        <v>4</v>
      </c>
      <c r="B456" t="s">
        <v>25</v>
      </c>
      <c r="C456">
        <v>2020</v>
      </c>
      <c r="D456">
        <v>11</v>
      </c>
      <c r="E456" s="4">
        <v>0</v>
      </c>
      <c r="F456" s="9">
        <v>0</v>
      </c>
      <c r="G456" s="6">
        <v>9482</v>
      </c>
      <c r="H456" s="9">
        <f t="shared" si="7"/>
        <v>0</v>
      </c>
      <c r="I456" s="6">
        <v>12983</v>
      </c>
      <c r="J456" s="6">
        <f>VLOOKUP(Table1[[#This Row],[Province]],[1]Sheet1!$A$3:$F$37,3,FALSE)</f>
        <v>6188400</v>
      </c>
      <c r="K456">
        <v>0</v>
      </c>
      <c r="L456" s="4">
        <v>0.29334700000000002</v>
      </c>
      <c r="M456" s="4">
        <v>101.706829</v>
      </c>
      <c r="N456" s="13">
        <v>-1.1299999999999999</v>
      </c>
      <c r="P456"/>
      <c r="Q456" s="12"/>
      <c r="R456" s="12"/>
    </row>
    <row r="457" spans="1:18" x14ac:dyDescent="0.2">
      <c r="A457">
        <v>4</v>
      </c>
      <c r="B457" t="s">
        <v>25</v>
      </c>
      <c r="C457">
        <v>2020</v>
      </c>
      <c r="D457">
        <v>12</v>
      </c>
      <c r="E457" s="4">
        <v>0</v>
      </c>
      <c r="F457" s="9">
        <v>0</v>
      </c>
      <c r="G457" s="6">
        <v>3643</v>
      </c>
      <c r="H457" s="9">
        <f t="shared" si="7"/>
        <v>0</v>
      </c>
      <c r="I457" s="6">
        <v>13154</v>
      </c>
      <c r="J457" s="6">
        <f>VLOOKUP(Table1[[#This Row],[Province]],[1]Sheet1!$A$3:$F$37,3,FALSE)</f>
        <v>6188400</v>
      </c>
      <c r="K457">
        <v>1</v>
      </c>
      <c r="L457" s="4">
        <v>0.29334700000000002</v>
      </c>
      <c r="M457" s="4">
        <v>101.706829</v>
      </c>
      <c r="N457" s="13">
        <v>-1.1299999999999999</v>
      </c>
      <c r="P457"/>
      <c r="Q457" s="12"/>
      <c r="R457" s="12"/>
    </row>
    <row r="458" spans="1:18" x14ac:dyDescent="0.2">
      <c r="A458">
        <v>4</v>
      </c>
      <c r="B458" t="s">
        <v>25</v>
      </c>
      <c r="C458">
        <v>2021</v>
      </c>
      <c r="D458">
        <v>1</v>
      </c>
      <c r="E458" s="4">
        <v>0</v>
      </c>
      <c r="F458" s="9">
        <v>0</v>
      </c>
      <c r="G458" s="6">
        <v>7896</v>
      </c>
      <c r="H458" s="9">
        <f t="shared" si="7"/>
        <v>0</v>
      </c>
      <c r="I458" s="6">
        <v>13110</v>
      </c>
      <c r="J458" s="6">
        <f>VLOOKUP(Table1[[#This Row],[Province]],[1]Sheet1!$A$3:$F$37,3,FALSE)</f>
        <v>6188400</v>
      </c>
      <c r="K458">
        <v>0</v>
      </c>
      <c r="L458" s="4">
        <v>0.29334700000000002</v>
      </c>
      <c r="M458" s="4">
        <v>101.706829</v>
      </c>
      <c r="N458" s="13">
        <v>3.36</v>
      </c>
      <c r="P458"/>
      <c r="Q458" s="12"/>
      <c r="R458" s="12"/>
    </row>
    <row r="459" spans="1:18" x14ac:dyDescent="0.2">
      <c r="A459">
        <v>4</v>
      </c>
      <c r="B459" t="s">
        <v>25</v>
      </c>
      <c r="C459">
        <v>2021</v>
      </c>
      <c r="D459">
        <v>2</v>
      </c>
      <c r="E459" s="4">
        <v>0</v>
      </c>
      <c r="F459" s="9">
        <v>0</v>
      </c>
      <c r="G459" s="6">
        <v>3775</v>
      </c>
      <c r="H459" s="9">
        <f t="shared" si="7"/>
        <v>0</v>
      </c>
      <c r="I459" s="6">
        <v>13011</v>
      </c>
      <c r="J459" s="6">
        <f>VLOOKUP(Table1[[#This Row],[Province]],[1]Sheet1!$A$3:$F$37,3,FALSE)</f>
        <v>6188400</v>
      </c>
      <c r="K459">
        <v>0</v>
      </c>
      <c r="L459" s="4">
        <v>0.29334700000000002</v>
      </c>
      <c r="M459" s="4">
        <v>101.706829</v>
      </c>
      <c r="N459" s="13">
        <v>3.36</v>
      </c>
      <c r="P459"/>
      <c r="Q459" s="12"/>
      <c r="R459" s="12"/>
    </row>
    <row r="460" spans="1:18" x14ac:dyDescent="0.2">
      <c r="A460">
        <v>4</v>
      </c>
      <c r="B460" t="s">
        <v>25</v>
      </c>
      <c r="C460">
        <v>2021</v>
      </c>
      <c r="D460">
        <v>3</v>
      </c>
      <c r="E460" s="4">
        <v>0</v>
      </c>
      <c r="F460" s="9">
        <v>0</v>
      </c>
      <c r="G460" s="6">
        <v>7152</v>
      </c>
      <c r="H460" s="9">
        <f t="shared" si="7"/>
        <v>0</v>
      </c>
      <c r="I460" s="6">
        <v>12985</v>
      </c>
      <c r="J460" s="6">
        <f>VLOOKUP(Table1[[#This Row],[Province]],[1]Sheet1!$A$3:$F$37,3,FALSE)</f>
        <v>6188400</v>
      </c>
      <c r="K460">
        <v>0</v>
      </c>
      <c r="L460" s="4">
        <v>0.29334700000000002</v>
      </c>
      <c r="M460" s="4">
        <v>101.706829</v>
      </c>
      <c r="N460" s="13">
        <v>3.36</v>
      </c>
      <c r="P460"/>
      <c r="Q460" s="12"/>
      <c r="R460" s="12"/>
    </row>
    <row r="461" spans="1:18" x14ac:dyDescent="0.2">
      <c r="A461">
        <v>4</v>
      </c>
      <c r="B461" t="s">
        <v>25</v>
      </c>
      <c r="C461">
        <v>2021</v>
      </c>
      <c r="D461">
        <v>4</v>
      </c>
      <c r="E461" s="4">
        <v>0</v>
      </c>
      <c r="F461" s="9">
        <v>0</v>
      </c>
      <c r="G461" s="6">
        <v>5162</v>
      </c>
      <c r="H461" s="9">
        <f t="shared" si="7"/>
        <v>0</v>
      </c>
      <c r="I461" s="6">
        <v>13000</v>
      </c>
      <c r="J461" s="6">
        <f>VLOOKUP(Table1[[#This Row],[Province]],[1]Sheet1!$A$3:$F$37,3,FALSE)</f>
        <v>6188400</v>
      </c>
      <c r="K461">
        <v>1</v>
      </c>
      <c r="L461" s="4">
        <v>0.29334700000000002</v>
      </c>
      <c r="M461" s="4">
        <v>101.706829</v>
      </c>
      <c r="N461" s="13">
        <v>3.36</v>
      </c>
      <c r="P461"/>
      <c r="Q461" s="12"/>
      <c r="R461" s="12"/>
    </row>
    <row r="462" spans="1:18" x14ac:dyDescent="0.2">
      <c r="A462">
        <v>4</v>
      </c>
      <c r="B462" t="s">
        <v>25</v>
      </c>
      <c r="C462">
        <v>2021</v>
      </c>
      <c r="D462">
        <v>5</v>
      </c>
      <c r="E462" s="4">
        <v>0</v>
      </c>
      <c r="F462" s="9">
        <v>0</v>
      </c>
      <c r="G462" s="6">
        <v>3055</v>
      </c>
      <c r="H462" s="9">
        <f t="shared" si="7"/>
        <v>0</v>
      </c>
      <c r="I462" s="6">
        <v>13000</v>
      </c>
      <c r="J462" s="6">
        <f>VLOOKUP(Table1[[#This Row],[Province]],[1]Sheet1!$A$3:$F$37,3,FALSE)</f>
        <v>6188400</v>
      </c>
      <c r="K462">
        <v>0</v>
      </c>
      <c r="L462" s="4">
        <v>0.29334700000000002</v>
      </c>
      <c r="M462" s="4">
        <v>101.706829</v>
      </c>
      <c r="N462" s="13">
        <v>3.36</v>
      </c>
      <c r="P462"/>
      <c r="Q462" s="12"/>
      <c r="R462" s="12"/>
    </row>
    <row r="463" spans="1:18" x14ac:dyDescent="0.2">
      <c r="A463">
        <v>4</v>
      </c>
      <c r="B463" t="s">
        <v>25</v>
      </c>
      <c r="C463">
        <v>2021</v>
      </c>
      <c r="D463">
        <v>6</v>
      </c>
      <c r="E463" s="4">
        <v>0</v>
      </c>
      <c r="F463" s="9">
        <v>0</v>
      </c>
      <c r="G463" s="6">
        <v>2664</v>
      </c>
      <c r="H463" s="9">
        <f t="shared" si="7"/>
        <v>0</v>
      </c>
      <c r="I463" s="6">
        <v>12913</v>
      </c>
      <c r="J463" s="6">
        <f>VLOOKUP(Table1[[#This Row],[Province]],[1]Sheet1!$A$3:$F$37,3,FALSE)</f>
        <v>6188400</v>
      </c>
      <c r="K463">
        <v>0</v>
      </c>
      <c r="L463" s="4">
        <v>0.29334700000000002</v>
      </c>
      <c r="M463" s="4">
        <v>101.706829</v>
      </c>
      <c r="N463" s="13">
        <v>3.36</v>
      </c>
      <c r="P463"/>
      <c r="Q463" s="12"/>
      <c r="R463" s="12"/>
    </row>
    <row r="464" spans="1:18" x14ac:dyDescent="0.2">
      <c r="A464">
        <v>4</v>
      </c>
      <c r="B464" t="s">
        <v>25</v>
      </c>
      <c r="C464">
        <v>2021</v>
      </c>
      <c r="D464">
        <v>7</v>
      </c>
      <c r="E464" s="4">
        <v>0</v>
      </c>
      <c r="F464" s="9">
        <v>0.379</v>
      </c>
      <c r="G464" s="6">
        <v>1687</v>
      </c>
      <c r="H464" s="9">
        <f t="shared" si="7"/>
        <v>0.379</v>
      </c>
      <c r="I464" s="6">
        <v>12825</v>
      </c>
      <c r="J464" s="6">
        <f>VLOOKUP(Table1[[#This Row],[Province]],[1]Sheet1!$A$3:$F$37,3,FALSE)</f>
        <v>6188400</v>
      </c>
      <c r="K464">
        <v>0</v>
      </c>
      <c r="L464" s="4">
        <v>0.29334700000000002</v>
      </c>
      <c r="M464" s="4">
        <v>101.706829</v>
      </c>
      <c r="N464" s="13">
        <v>3.36</v>
      </c>
      <c r="P464"/>
      <c r="Q464" s="12"/>
      <c r="R464" s="12"/>
    </row>
    <row r="465" spans="1:18" x14ac:dyDescent="0.2">
      <c r="A465">
        <v>4</v>
      </c>
      <c r="B465" t="s">
        <v>25</v>
      </c>
      <c r="C465">
        <v>2021</v>
      </c>
      <c r="D465">
        <v>8</v>
      </c>
      <c r="E465" s="4">
        <v>0</v>
      </c>
      <c r="F465" s="9">
        <v>1.1120000000000001</v>
      </c>
      <c r="G465" s="6">
        <v>524</v>
      </c>
      <c r="H465" s="9">
        <f t="shared" si="7"/>
        <v>1.1120000000000001</v>
      </c>
      <c r="I465" s="6">
        <v>12840</v>
      </c>
      <c r="J465" s="6">
        <f>VLOOKUP(Table1[[#This Row],[Province]],[1]Sheet1!$A$3:$F$37,3,FALSE)</f>
        <v>6188400</v>
      </c>
      <c r="K465">
        <v>0</v>
      </c>
      <c r="L465" s="4">
        <v>0.29334700000000002</v>
      </c>
      <c r="M465" s="4">
        <v>101.706829</v>
      </c>
      <c r="N465" s="13">
        <v>3.36</v>
      </c>
      <c r="P465"/>
      <c r="Q465" s="12"/>
      <c r="R465" s="12"/>
    </row>
    <row r="466" spans="1:18" x14ac:dyDescent="0.2">
      <c r="A466">
        <v>4</v>
      </c>
      <c r="B466" t="s">
        <v>25</v>
      </c>
      <c r="C466">
        <v>2021</v>
      </c>
      <c r="D466">
        <v>9</v>
      </c>
      <c r="E466" s="4">
        <v>0</v>
      </c>
      <c r="F466" s="9">
        <v>0.33700000000000002</v>
      </c>
      <c r="G466" s="6">
        <v>3521</v>
      </c>
      <c r="H466" s="9">
        <f t="shared" si="7"/>
        <v>0.33700000000000002</v>
      </c>
      <c r="I466" s="6">
        <v>12791</v>
      </c>
      <c r="J466" s="6">
        <f>VLOOKUP(Table1[[#This Row],[Province]],[1]Sheet1!$A$3:$F$37,3,FALSE)</f>
        <v>6188400</v>
      </c>
      <c r="K466">
        <v>0</v>
      </c>
      <c r="L466" s="4">
        <v>0.29334700000000002</v>
      </c>
      <c r="M466" s="4">
        <v>101.706829</v>
      </c>
      <c r="N466" s="13">
        <v>3.36</v>
      </c>
      <c r="P466"/>
      <c r="Q466" s="12"/>
      <c r="R466" s="12"/>
    </row>
    <row r="467" spans="1:18" x14ac:dyDescent="0.2">
      <c r="A467">
        <v>4</v>
      </c>
      <c r="B467" t="s">
        <v>25</v>
      </c>
      <c r="C467">
        <v>2021</v>
      </c>
      <c r="D467">
        <v>10</v>
      </c>
      <c r="E467" s="4">
        <v>0</v>
      </c>
      <c r="F467" s="9">
        <v>0.87</v>
      </c>
      <c r="G467" s="6">
        <v>780</v>
      </c>
      <c r="H467" s="9">
        <f t="shared" si="7"/>
        <v>0.87</v>
      </c>
      <c r="I467" s="6">
        <v>12750</v>
      </c>
      <c r="J467" s="6">
        <f>VLOOKUP(Table1[[#This Row],[Province]],[1]Sheet1!$A$3:$F$37,3,FALSE)</f>
        <v>6188400</v>
      </c>
      <c r="K467">
        <v>0</v>
      </c>
      <c r="L467" s="4">
        <v>0.29334700000000002</v>
      </c>
      <c r="M467" s="4">
        <v>101.706829</v>
      </c>
      <c r="N467" s="13">
        <v>3.36</v>
      </c>
      <c r="P467"/>
      <c r="Q467" s="12"/>
      <c r="R467" s="12"/>
    </row>
    <row r="468" spans="1:18" x14ac:dyDescent="0.2">
      <c r="A468">
        <v>4</v>
      </c>
      <c r="B468" t="s">
        <v>25</v>
      </c>
      <c r="C468">
        <v>2021</v>
      </c>
      <c r="D468">
        <v>11</v>
      </c>
      <c r="E468" s="4">
        <v>0</v>
      </c>
      <c r="F468" s="9">
        <v>0.496</v>
      </c>
      <c r="G468" s="6">
        <v>1557</v>
      </c>
      <c r="H468" s="9">
        <f t="shared" si="7"/>
        <v>0.496</v>
      </c>
      <c r="I468" s="6">
        <v>12780</v>
      </c>
      <c r="J468" s="6">
        <f>VLOOKUP(Table1[[#This Row],[Province]],[1]Sheet1!$A$3:$F$37,3,FALSE)</f>
        <v>6188400</v>
      </c>
      <c r="K468">
        <v>0</v>
      </c>
      <c r="L468" s="4">
        <v>0.29334700000000002</v>
      </c>
      <c r="M468" s="4">
        <v>101.706829</v>
      </c>
      <c r="N468" s="13">
        <v>3.36</v>
      </c>
      <c r="P468"/>
      <c r="Q468" s="12"/>
      <c r="R468" s="12"/>
    </row>
    <row r="469" spans="1:18" x14ac:dyDescent="0.2">
      <c r="A469">
        <v>4</v>
      </c>
      <c r="B469" t="s">
        <v>25</v>
      </c>
      <c r="C469">
        <v>2021</v>
      </c>
      <c r="D469">
        <v>12</v>
      </c>
      <c r="E469" s="4">
        <v>0</v>
      </c>
      <c r="F469" s="9">
        <v>0.73899999999999999</v>
      </c>
      <c r="G469" s="6">
        <v>4816</v>
      </c>
      <c r="H469" s="9">
        <f t="shared" si="7"/>
        <v>0.73899999999999999</v>
      </c>
      <c r="I469" s="6">
        <v>12917</v>
      </c>
      <c r="J469" s="6">
        <f>VLOOKUP(Table1[[#This Row],[Province]],[1]Sheet1!$A$3:$F$37,3,FALSE)</f>
        <v>6188400</v>
      </c>
      <c r="K469">
        <v>1</v>
      </c>
      <c r="L469" s="4">
        <v>0.29334700000000002</v>
      </c>
      <c r="M469" s="4">
        <v>101.706829</v>
      </c>
      <c r="N469" s="13">
        <v>3.36</v>
      </c>
      <c r="P469"/>
      <c r="Q469" s="12"/>
      <c r="R469" s="12"/>
    </row>
    <row r="470" spans="1:18" x14ac:dyDescent="0.2">
      <c r="A470">
        <v>4</v>
      </c>
      <c r="B470" t="s">
        <v>25</v>
      </c>
      <c r="C470">
        <v>2022</v>
      </c>
      <c r="D470">
        <v>1</v>
      </c>
      <c r="E470" s="6">
        <v>0</v>
      </c>
      <c r="F470" s="9">
        <v>0</v>
      </c>
      <c r="G470" s="6">
        <v>2550</v>
      </c>
      <c r="H470" s="9">
        <f t="shared" si="7"/>
        <v>0</v>
      </c>
      <c r="I470" s="6">
        <v>13270</v>
      </c>
      <c r="J470" s="6">
        <f>VLOOKUP(Table1[[#This Row],[Province]],[1]Sheet1!$A$3:$F$37,3,FALSE)</f>
        <v>6188400</v>
      </c>
      <c r="K470">
        <v>0</v>
      </c>
      <c r="L470" s="4">
        <v>0.29334700000000002</v>
      </c>
      <c r="M470" s="4">
        <v>101.706829</v>
      </c>
      <c r="N470" s="13">
        <v>4.55</v>
      </c>
      <c r="P470"/>
      <c r="Q470" s="12"/>
      <c r="R470" s="12"/>
    </row>
    <row r="471" spans="1:18" x14ac:dyDescent="0.2">
      <c r="A471">
        <v>4</v>
      </c>
      <c r="B471" t="s">
        <v>25</v>
      </c>
      <c r="C471">
        <v>2022</v>
      </c>
      <c r="D471">
        <v>2</v>
      </c>
      <c r="E471" s="6">
        <v>0</v>
      </c>
      <c r="F471" s="9">
        <v>0</v>
      </c>
      <c r="G471" s="6">
        <v>8472</v>
      </c>
      <c r="H471" s="9">
        <f t="shared" si="7"/>
        <v>0</v>
      </c>
      <c r="I471" s="6">
        <v>13775</v>
      </c>
      <c r="J471" s="6">
        <f>VLOOKUP(Table1[[#This Row],[Province]],[1]Sheet1!$A$3:$F$37,3,FALSE)</f>
        <v>6188400</v>
      </c>
      <c r="K471">
        <v>0</v>
      </c>
      <c r="L471" s="4">
        <v>0.29334700000000002</v>
      </c>
      <c r="M471" s="4">
        <v>101.706829</v>
      </c>
      <c r="N471" s="13">
        <v>4.55</v>
      </c>
      <c r="P471"/>
      <c r="Q471" s="12"/>
      <c r="R471" s="12"/>
    </row>
    <row r="472" spans="1:18" x14ac:dyDescent="0.2">
      <c r="A472">
        <v>4</v>
      </c>
      <c r="B472" t="s">
        <v>25</v>
      </c>
      <c r="C472">
        <v>2022</v>
      </c>
      <c r="D472">
        <v>3</v>
      </c>
      <c r="E472" s="6">
        <v>0</v>
      </c>
      <c r="F472" s="9">
        <v>2.6749999999999998</v>
      </c>
      <c r="G472" s="6">
        <v>4711</v>
      </c>
      <c r="H472" s="9">
        <f t="shared" si="7"/>
        <v>2.6749999999999998</v>
      </c>
      <c r="I472" s="6">
        <v>14139</v>
      </c>
      <c r="J472" s="6">
        <f>VLOOKUP(Table1[[#This Row],[Province]],[1]Sheet1!$A$3:$F$37,3,FALSE)</f>
        <v>6188400</v>
      </c>
      <c r="K472">
        <v>0</v>
      </c>
      <c r="L472" s="4">
        <v>0.29334700000000002</v>
      </c>
      <c r="M472" s="4">
        <v>101.706829</v>
      </c>
      <c r="N472" s="13">
        <v>4.55</v>
      </c>
      <c r="P472"/>
      <c r="Q472" s="12"/>
      <c r="R472" s="12"/>
    </row>
    <row r="473" spans="1:18" x14ac:dyDescent="0.2">
      <c r="A473">
        <v>4</v>
      </c>
      <c r="B473" t="s">
        <v>25</v>
      </c>
      <c r="C473">
        <v>2022</v>
      </c>
      <c r="D473">
        <v>4</v>
      </c>
      <c r="E473" s="6">
        <v>0</v>
      </c>
      <c r="F473" s="9">
        <v>1.6259999999999999</v>
      </c>
      <c r="G473" s="6">
        <v>6521</v>
      </c>
      <c r="H473" s="9">
        <f t="shared" si="7"/>
        <v>1.6259999999999999</v>
      </c>
      <c r="I473" s="6">
        <v>14618</v>
      </c>
      <c r="J473" s="6">
        <f>VLOOKUP(Table1[[#This Row],[Province]],[1]Sheet1!$A$3:$F$37,3,FALSE)</f>
        <v>6188400</v>
      </c>
      <c r="K473">
        <v>1</v>
      </c>
      <c r="L473" s="4">
        <v>0.29334700000000002</v>
      </c>
      <c r="M473" s="4">
        <v>101.706829</v>
      </c>
      <c r="N473" s="13">
        <v>4.55</v>
      </c>
      <c r="P473"/>
      <c r="Q473" s="12"/>
      <c r="R473" s="12"/>
    </row>
    <row r="474" spans="1:18" x14ac:dyDescent="0.2">
      <c r="A474">
        <v>4</v>
      </c>
      <c r="B474" t="s">
        <v>25</v>
      </c>
      <c r="C474">
        <v>2022</v>
      </c>
      <c r="D474">
        <v>5</v>
      </c>
      <c r="E474" s="6">
        <v>0</v>
      </c>
      <c r="F474" s="9">
        <v>0</v>
      </c>
      <c r="G474" s="6">
        <v>8470</v>
      </c>
      <c r="H474" s="9">
        <f t="shared" si="7"/>
        <v>0</v>
      </c>
      <c r="I474" s="6">
        <v>14603</v>
      </c>
      <c r="J474" s="6">
        <f>VLOOKUP(Table1[[#This Row],[Province]],[1]Sheet1!$A$3:$F$37,3,FALSE)</f>
        <v>6188400</v>
      </c>
      <c r="K474">
        <v>0</v>
      </c>
      <c r="L474" s="4">
        <v>0.29334700000000002</v>
      </c>
      <c r="M474" s="4">
        <v>101.706829</v>
      </c>
      <c r="N474" s="13">
        <v>4.55</v>
      </c>
      <c r="P474"/>
      <c r="Q474" s="12"/>
      <c r="R474" s="12"/>
    </row>
    <row r="475" spans="1:18" x14ac:dyDescent="0.2">
      <c r="A475">
        <v>4</v>
      </c>
      <c r="B475" t="s">
        <v>25</v>
      </c>
      <c r="C475">
        <v>2022</v>
      </c>
      <c r="D475">
        <v>6</v>
      </c>
      <c r="E475" s="6">
        <v>0</v>
      </c>
      <c r="F475" s="9">
        <v>0</v>
      </c>
      <c r="G475" s="6">
        <v>6952</v>
      </c>
      <c r="H475" s="9">
        <f t="shared" si="7"/>
        <v>0</v>
      </c>
      <c r="I475" s="6">
        <v>14221</v>
      </c>
      <c r="J475" s="6">
        <f>VLOOKUP(Table1[[#This Row],[Province]],[1]Sheet1!$A$3:$F$37,3,FALSE)</f>
        <v>6188400</v>
      </c>
      <c r="K475">
        <v>0</v>
      </c>
      <c r="L475" s="4">
        <v>0.29334700000000002</v>
      </c>
      <c r="M475" s="4">
        <v>101.706829</v>
      </c>
      <c r="N475" s="13">
        <v>4.55</v>
      </c>
      <c r="P475"/>
      <c r="Q475" s="12"/>
      <c r="R475" s="12"/>
    </row>
    <row r="476" spans="1:18" x14ac:dyDescent="0.2">
      <c r="A476">
        <v>4</v>
      </c>
      <c r="B476" t="s">
        <v>25</v>
      </c>
      <c r="C476">
        <v>2022</v>
      </c>
      <c r="D476">
        <v>7</v>
      </c>
      <c r="E476" s="6">
        <v>0</v>
      </c>
      <c r="F476" s="9">
        <v>0.217</v>
      </c>
      <c r="G476" s="6">
        <v>7669</v>
      </c>
      <c r="H476" s="9">
        <f t="shared" si="7"/>
        <v>0.217</v>
      </c>
      <c r="I476" s="6">
        <v>14148</v>
      </c>
      <c r="J476" s="6">
        <f>VLOOKUP(Table1[[#This Row],[Province]],[1]Sheet1!$A$3:$F$37,3,FALSE)</f>
        <v>6188400</v>
      </c>
      <c r="K476">
        <v>0</v>
      </c>
      <c r="L476" s="4">
        <v>0.29334700000000002</v>
      </c>
      <c r="M476" s="4">
        <v>101.706829</v>
      </c>
      <c r="N476" s="13">
        <v>4.55</v>
      </c>
      <c r="P476"/>
      <c r="Q476" s="12"/>
      <c r="R476" s="12"/>
    </row>
    <row r="477" spans="1:18" x14ac:dyDescent="0.2">
      <c r="A477">
        <v>4</v>
      </c>
      <c r="B477" t="s">
        <v>25</v>
      </c>
      <c r="C477">
        <v>2022</v>
      </c>
      <c r="D477">
        <v>8</v>
      </c>
      <c r="E477" s="6">
        <v>0</v>
      </c>
      <c r="F477" s="9">
        <v>3.3000000000000002E-2</v>
      </c>
      <c r="G477" s="6">
        <v>7148</v>
      </c>
      <c r="H477" s="9">
        <f t="shared" si="7"/>
        <v>3.3000000000000002E-2</v>
      </c>
      <c r="I477" s="6">
        <v>14100</v>
      </c>
      <c r="J477" s="6">
        <f>VLOOKUP(Table1[[#This Row],[Province]],[1]Sheet1!$A$3:$F$37,3,FALSE)</f>
        <v>6188400</v>
      </c>
      <c r="K477">
        <v>0</v>
      </c>
      <c r="L477" s="4">
        <v>0.29334700000000002</v>
      </c>
      <c r="M477" s="4">
        <v>101.706829</v>
      </c>
      <c r="N477" s="13">
        <v>4.55</v>
      </c>
      <c r="P477"/>
      <c r="Q477" s="12"/>
      <c r="R477" s="12"/>
    </row>
    <row r="478" spans="1:18" x14ac:dyDescent="0.2">
      <c r="A478">
        <v>4</v>
      </c>
      <c r="B478" t="s">
        <v>25</v>
      </c>
      <c r="C478">
        <v>2022</v>
      </c>
      <c r="D478">
        <v>9</v>
      </c>
      <c r="E478" s="6">
        <v>0</v>
      </c>
      <c r="F478" s="9">
        <v>0.64300000000000002</v>
      </c>
      <c r="G478" s="6">
        <v>7908</v>
      </c>
      <c r="H478" s="9">
        <f t="shared" si="7"/>
        <v>0.64300000000000002</v>
      </c>
      <c r="I478" s="6">
        <v>13515</v>
      </c>
      <c r="J478" s="6">
        <f>VLOOKUP(Table1[[#This Row],[Province]],[1]Sheet1!$A$3:$F$37,3,FALSE)</f>
        <v>6188400</v>
      </c>
      <c r="K478">
        <v>0</v>
      </c>
      <c r="L478" s="4">
        <v>0.29334700000000002</v>
      </c>
      <c r="M478" s="4">
        <v>101.706829</v>
      </c>
      <c r="N478" s="13">
        <v>4.55</v>
      </c>
      <c r="P478"/>
      <c r="Q478" s="12"/>
      <c r="R478" s="12"/>
    </row>
    <row r="479" spans="1:18" x14ac:dyDescent="0.2">
      <c r="A479">
        <v>4</v>
      </c>
      <c r="B479" t="s">
        <v>25</v>
      </c>
      <c r="C479">
        <v>2022</v>
      </c>
      <c r="D479">
        <v>10</v>
      </c>
      <c r="E479" s="6">
        <v>0</v>
      </c>
      <c r="F479" s="9">
        <v>0.441</v>
      </c>
      <c r="G479" s="6">
        <v>5153</v>
      </c>
      <c r="H479" s="9">
        <f t="shared" si="7"/>
        <v>0.441</v>
      </c>
      <c r="I479" s="6">
        <v>13491</v>
      </c>
      <c r="J479" s="6">
        <f>VLOOKUP(Table1[[#This Row],[Province]],[1]Sheet1!$A$3:$F$37,3,FALSE)</f>
        <v>6188400</v>
      </c>
      <c r="K479">
        <v>0</v>
      </c>
      <c r="L479" s="4">
        <v>0.29334700000000002</v>
      </c>
      <c r="M479" s="4">
        <v>101.706829</v>
      </c>
      <c r="N479" s="13">
        <v>4.55</v>
      </c>
      <c r="P479"/>
      <c r="Q479" s="12"/>
      <c r="R479" s="12"/>
    </row>
    <row r="480" spans="1:18" x14ac:dyDescent="0.2">
      <c r="A480">
        <v>4</v>
      </c>
      <c r="B480" t="s">
        <v>25</v>
      </c>
      <c r="C480">
        <v>2022</v>
      </c>
      <c r="D480">
        <v>11</v>
      </c>
      <c r="E480" s="6">
        <v>0</v>
      </c>
      <c r="F480" s="9">
        <v>0</v>
      </c>
      <c r="G480" s="6">
        <v>7165</v>
      </c>
      <c r="H480" s="9">
        <f t="shared" si="7"/>
        <v>0</v>
      </c>
      <c r="I480" s="6">
        <v>14100</v>
      </c>
      <c r="J480" s="6">
        <f>VLOOKUP(Table1[[#This Row],[Province]],[1]Sheet1!$A$3:$F$37,3,FALSE)</f>
        <v>6188400</v>
      </c>
      <c r="K480">
        <v>0</v>
      </c>
      <c r="L480" s="4">
        <v>0.29334700000000002</v>
      </c>
      <c r="M480" s="4">
        <v>101.706829</v>
      </c>
      <c r="N480" s="13">
        <v>4.55</v>
      </c>
      <c r="P480"/>
      <c r="Q480" s="12"/>
      <c r="R480" s="12"/>
    </row>
    <row r="481" spans="1:18" x14ac:dyDescent="0.2">
      <c r="A481">
        <v>4</v>
      </c>
      <c r="B481" t="s">
        <v>25</v>
      </c>
      <c r="C481">
        <v>2022</v>
      </c>
      <c r="D481">
        <v>12</v>
      </c>
      <c r="E481" s="6">
        <v>0</v>
      </c>
      <c r="F481" s="9">
        <v>0</v>
      </c>
      <c r="G481" s="6">
        <v>5757</v>
      </c>
      <c r="H481" s="9">
        <f t="shared" si="7"/>
        <v>0</v>
      </c>
      <c r="I481" s="6">
        <v>14100</v>
      </c>
      <c r="J481" s="6">
        <f>VLOOKUP(Table1[[#This Row],[Province]],[1]Sheet1!$A$3:$F$37,3,FALSE)</f>
        <v>6188400</v>
      </c>
      <c r="K481">
        <v>1</v>
      </c>
      <c r="L481" s="4">
        <v>0.29334700000000002</v>
      </c>
      <c r="M481" s="4">
        <v>101.706829</v>
      </c>
      <c r="N481" s="13">
        <v>4.55</v>
      </c>
      <c r="P481"/>
      <c r="Q481" s="12"/>
      <c r="R481" s="12"/>
    </row>
    <row r="482" spans="1:18" x14ac:dyDescent="0.2">
      <c r="A482">
        <v>5</v>
      </c>
      <c r="B482" t="s">
        <v>8</v>
      </c>
      <c r="C482">
        <v>2013</v>
      </c>
      <c r="D482">
        <v>1</v>
      </c>
      <c r="E482" s="4">
        <v>0</v>
      </c>
      <c r="F482" s="9">
        <v>0</v>
      </c>
      <c r="G482" s="6">
        <v>2231</v>
      </c>
      <c r="H482" s="9">
        <f t="shared" si="7"/>
        <v>0</v>
      </c>
      <c r="I482" s="6">
        <v>9571</v>
      </c>
      <c r="J482" s="6">
        <f>VLOOKUP(Table1[[#This Row],[Province]],[1]Sheet1!$A$3:$F$37,3,FALSE)</f>
        <v>3344400</v>
      </c>
      <c r="K482">
        <v>0</v>
      </c>
      <c r="L482" s="4">
        <v>1.4851829999999999</v>
      </c>
      <c r="M482" s="4">
        <v>102.438058</v>
      </c>
      <c r="N482" s="6"/>
      <c r="P482"/>
      <c r="Q482" s="12"/>
      <c r="R482" s="12"/>
    </row>
    <row r="483" spans="1:18" x14ac:dyDescent="0.2">
      <c r="A483">
        <v>5</v>
      </c>
      <c r="B483" t="s">
        <v>8</v>
      </c>
      <c r="C483">
        <v>2013</v>
      </c>
      <c r="D483">
        <v>2</v>
      </c>
      <c r="E483" s="4">
        <v>0</v>
      </c>
      <c r="F483" s="9">
        <v>0</v>
      </c>
      <c r="G483" s="6">
        <v>2138</v>
      </c>
      <c r="H483" s="9">
        <f t="shared" si="7"/>
        <v>0</v>
      </c>
      <c r="I483" s="6">
        <v>8550</v>
      </c>
      <c r="J483" s="6">
        <f>VLOOKUP(Table1[[#This Row],[Province]],[1]Sheet1!$A$3:$F$37,3,FALSE)</f>
        <v>3344400</v>
      </c>
      <c r="K483">
        <v>0</v>
      </c>
      <c r="L483" s="4">
        <v>1.4851829999999999</v>
      </c>
      <c r="M483" s="4">
        <v>102.438058</v>
      </c>
      <c r="N483" s="6"/>
      <c r="P483"/>
      <c r="Q483" s="12"/>
      <c r="R483" s="12"/>
    </row>
    <row r="484" spans="1:18" x14ac:dyDescent="0.2">
      <c r="A484">
        <v>5</v>
      </c>
      <c r="B484" t="s">
        <v>8</v>
      </c>
      <c r="C484">
        <v>2013</v>
      </c>
      <c r="D484">
        <v>3</v>
      </c>
      <c r="E484" s="4">
        <v>0</v>
      </c>
      <c r="F484" s="9">
        <v>0</v>
      </c>
      <c r="G484" s="6">
        <v>2204</v>
      </c>
      <c r="H484" s="9">
        <f t="shared" si="7"/>
        <v>0</v>
      </c>
      <c r="I484" s="6">
        <v>8000</v>
      </c>
      <c r="J484" s="6">
        <f>VLOOKUP(Table1[[#This Row],[Province]],[1]Sheet1!$A$3:$F$37,3,FALSE)</f>
        <v>3344400</v>
      </c>
      <c r="K484">
        <v>0</v>
      </c>
      <c r="L484" s="4">
        <v>1.4851829999999999</v>
      </c>
      <c r="M484" s="4">
        <v>102.438058</v>
      </c>
      <c r="N484" s="6"/>
      <c r="P484"/>
      <c r="Q484" s="12"/>
      <c r="R484" s="12"/>
    </row>
    <row r="485" spans="1:18" x14ac:dyDescent="0.2">
      <c r="A485">
        <v>5</v>
      </c>
      <c r="B485" t="s">
        <v>8</v>
      </c>
      <c r="C485">
        <v>2013</v>
      </c>
      <c r="D485">
        <v>4</v>
      </c>
      <c r="E485" s="4">
        <v>0</v>
      </c>
      <c r="F485" s="9">
        <v>0</v>
      </c>
      <c r="G485" s="6">
        <v>2864</v>
      </c>
      <c r="H485" s="9">
        <f t="shared" si="7"/>
        <v>0</v>
      </c>
      <c r="I485" s="6">
        <v>8000</v>
      </c>
      <c r="J485" s="6">
        <f>VLOOKUP(Table1[[#This Row],[Province]],[1]Sheet1!$A$3:$F$37,3,FALSE)</f>
        <v>3344400</v>
      </c>
      <c r="K485">
        <v>0</v>
      </c>
      <c r="L485" s="4">
        <v>1.4851829999999999</v>
      </c>
      <c r="M485" s="4">
        <v>102.438058</v>
      </c>
      <c r="N485" s="6"/>
      <c r="P485"/>
      <c r="Q485" s="12"/>
      <c r="R485" s="12"/>
    </row>
    <row r="486" spans="1:18" x14ac:dyDescent="0.2">
      <c r="A486">
        <v>5</v>
      </c>
      <c r="B486" t="s">
        <v>8</v>
      </c>
      <c r="C486">
        <v>2013</v>
      </c>
      <c r="D486">
        <v>5</v>
      </c>
      <c r="E486" s="4">
        <v>0</v>
      </c>
      <c r="F486" s="9">
        <v>0</v>
      </c>
      <c r="G486" s="6">
        <v>3472</v>
      </c>
      <c r="H486" s="9">
        <f t="shared" si="7"/>
        <v>0</v>
      </c>
      <c r="I486" s="6">
        <v>8182</v>
      </c>
      <c r="J486" s="6">
        <f>VLOOKUP(Table1[[#This Row],[Province]],[1]Sheet1!$A$3:$F$37,3,FALSE)</f>
        <v>3344400</v>
      </c>
      <c r="K486">
        <v>0</v>
      </c>
      <c r="L486" s="4">
        <v>1.4851829999999999</v>
      </c>
      <c r="M486" s="4">
        <v>102.438058</v>
      </c>
      <c r="N486" s="6"/>
      <c r="P486"/>
      <c r="Q486" s="12"/>
      <c r="R486" s="12"/>
    </row>
    <row r="487" spans="1:18" x14ac:dyDescent="0.2">
      <c r="A487">
        <v>5</v>
      </c>
      <c r="B487" t="s">
        <v>8</v>
      </c>
      <c r="C487">
        <v>2013</v>
      </c>
      <c r="D487">
        <v>6</v>
      </c>
      <c r="E487" s="4">
        <v>0</v>
      </c>
      <c r="F487" s="9">
        <v>0</v>
      </c>
      <c r="G487" s="6">
        <v>2891</v>
      </c>
      <c r="H487" s="9">
        <f t="shared" si="7"/>
        <v>0</v>
      </c>
      <c r="I487" s="6">
        <v>8079</v>
      </c>
      <c r="J487" s="6">
        <f>VLOOKUP(Table1[[#This Row],[Province]],[1]Sheet1!$A$3:$F$37,3,FALSE)</f>
        <v>3344400</v>
      </c>
      <c r="K487">
        <v>0</v>
      </c>
      <c r="L487" s="4">
        <v>1.4851829999999999</v>
      </c>
      <c r="M487" s="4">
        <v>102.438058</v>
      </c>
      <c r="N487" s="6"/>
      <c r="P487"/>
      <c r="Q487" s="12"/>
      <c r="R487" s="12"/>
    </row>
    <row r="488" spans="1:18" x14ac:dyDescent="0.2">
      <c r="A488">
        <v>5</v>
      </c>
      <c r="B488" t="s">
        <v>8</v>
      </c>
      <c r="C488">
        <v>2013</v>
      </c>
      <c r="D488">
        <v>7</v>
      </c>
      <c r="E488" s="4">
        <v>0</v>
      </c>
      <c r="F488" s="9">
        <v>0</v>
      </c>
      <c r="G488" s="6">
        <v>5016</v>
      </c>
      <c r="H488" s="9">
        <f t="shared" si="7"/>
        <v>0</v>
      </c>
      <c r="I488" s="6">
        <v>8727</v>
      </c>
      <c r="J488" s="6">
        <f>VLOOKUP(Table1[[#This Row],[Province]],[1]Sheet1!$A$3:$F$37,3,FALSE)</f>
        <v>3344400</v>
      </c>
      <c r="K488">
        <v>1</v>
      </c>
      <c r="L488" s="4">
        <v>1.4851829999999999</v>
      </c>
      <c r="M488" s="4">
        <v>102.438058</v>
      </c>
      <c r="N488" s="6"/>
      <c r="P488"/>
      <c r="Q488" s="12"/>
      <c r="R488" s="12"/>
    </row>
    <row r="489" spans="1:18" x14ac:dyDescent="0.2">
      <c r="A489">
        <v>5</v>
      </c>
      <c r="B489" t="s">
        <v>8</v>
      </c>
      <c r="C489">
        <v>2013</v>
      </c>
      <c r="D489">
        <v>8</v>
      </c>
      <c r="E489" s="4">
        <v>0</v>
      </c>
      <c r="F489" s="9">
        <v>0</v>
      </c>
      <c r="G489" s="6">
        <v>1835</v>
      </c>
      <c r="H489" s="9">
        <f t="shared" si="7"/>
        <v>0</v>
      </c>
      <c r="I489" s="6">
        <v>8000</v>
      </c>
      <c r="J489" s="6">
        <f>VLOOKUP(Table1[[#This Row],[Province]],[1]Sheet1!$A$3:$F$37,3,FALSE)</f>
        <v>3344400</v>
      </c>
      <c r="K489">
        <v>0</v>
      </c>
      <c r="L489" s="4">
        <v>1.4851829999999999</v>
      </c>
      <c r="M489" s="4">
        <v>102.438058</v>
      </c>
      <c r="N489" s="6"/>
      <c r="P489"/>
      <c r="Q489" s="12"/>
      <c r="R489" s="12"/>
    </row>
    <row r="490" spans="1:18" x14ac:dyDescent="0.2">
      <c r="A490">
        <v>5</v>
      </c>
      <c r="B490" t="s">
        <v>8</v>
      </c>
      <c r="C490">
        <v>2013</v>
      </c>
      <c r="D490">
        <v>9</v>
      </c>
      <c r="E490" s="4">
        <v>0</v>
      </c>
      <c r="F490" s="9">
        <v>0</v>
      </c>
      <c r="G490" s="6">
        <v>3920</v>
      </c>
      <c r="H490" s="9">
        <f t="shared" si="7"/>
        <v>0</v>
      </c>
      <c r="I490" s="6">
        <v>8000</v>
      </c>
      <c r="J490" s="6">
        <f>VLOOKUP(Table1[[#This Row],[Province]],[1]Sheet1!$A$3:$F$37,3,FALSE)</f>
        <v>3344400</v>
      </c>
      <c r="K490">
        <v>0</v>
      </c>
      <c r="L490" s="4">
        <v>1.4851829999999999</v>
      </c>
      <c r="M490" s="4">
        <v>102.438058</v>
      </c>
      <c r="N490" s="6"/>
      <c r="P490"/>
      <c r="Q490" s="12"/>
      <c r="R490" s="12"/>
    </row>
    <row r="491" spans="1:18" x14ac:dyDescent="0.2">
      <c r="A491">
        <v>5</v>
      </c>
      <c r="B491" t="s">
        <v>8</v>
      </c>
      <c r="C491">
        <v>2013</v>
      </c>
      <c r="D491">
        <v>10</v>
      </c>
      <c r="E491" s="4">
        <v>0</v>
      </c>
      <c r="F491" s="9">
        <v>0</v>
      </c>
      <c r="G491" s="6">
        <v>3208</v>
      </c>
      <c r="H491" s="9">
        <f t="shared" si="7"/>
        <v>0</v>
      </c>
      <c r="I491" s="6">
        <v>8000</v>
      </c>
      <c r="J491" s="6">
        <f>VLOOKUP(Table1[[#This Row],[Province]],[1]Sheet1!$A$3:$F$37,3,FALSE)</f>
        <v>3344400</v>
      </c>
      <c r="K491">
        <v>0</v>
      </c>
      <c r="L491" s="4">
        <v>1.4851829999999999</v>
      </c>
      <c r="M491" s="4">
        <v>102.438058</v>
      </c>
      <c r="N491" s="6"/>
      <c r="P491"/>
      <c r="Q491" s="12"/>
      <c r="R491" s="12"/>
    </row>
    <row r="492" spans="1:18" x14ac:dyDescent="0.2">
      <c r="A492">
        <v>5</v>
      </c>
      <c r="B492" t="s">
        <v>8</v>
      </c>
      <c r="C492">
        <v>2013</v>
      </c>
      <c r="D492">
        <v>11</v>
      </c>
      <c r="E492" s="4">
        <v>0</v>
      </c>
      <c r="F492" s="9">
        <v>0</v>
      </c>
      <c r="G492" s="6">
        <v>2363</v>
      </c>
      <c r="H492" s="9">
        <f t="shared" si="7"/>
        <v>0</v>
      </c>
      <c r="I492" s="6">
        <v>8000</v>
      </c>
      <c r="J492" s="6">
        <f>VLOOKUP(Table1[[#This Row],[Province]],[1]Sheet1!$A$3:$F$37,3,FALSE)</f>
        <v>3344400</v>
      </c>
      <c r="K492">
        <v>0</v>
      </c>
      <c r="L492" s="4">
        <v>1.4851829999999999</v>
      </c>
      <c r="M492" s="4">
        <v>102.438058</v>
      </c>
      <c r="N492" s="6"/>
      <c r="P492"/>
      <c r="Q492" s="12"/>
      <c r="R492" s="12"/>
    </row>
    <row r="493" spans="1:18" x14ac:dyDescent="0.2">
      <c r="A493">
        <v>5</v>
      </c>
      <c r="B493" t="s">
        <v>8</v>
      </c>
      <c r="C493">
        <v>2013</v>
      </c>
      <c r="D493">
        <v>12</v>
      </c>
      <c r="E493" s="4">
        <v>0</v>
      </c>
      <c r="F493" s="9">
        <v>0</v>
      </c>
      <c r="G493" s="6">
        <v>3287</v>
      </c>
      <c r="H493" s="9">
        <f t="shared" si="7"/>
        <v>0</v>
      </c>
      <c r="I493" s="6">
        <v>8000</v>
      </c>
      <c r="J493" s="6">
        <f>VLOOKUP(Table1[[#This Row],[Province]],[1]Sheet1!$A$3:$F$37,3,FALSE)</f>
        <v>3344400</v>
      </c>
      <c r="K493">
        <v>1</v>
      </c>
      <c r="L493" s="4">
        <v>1.4851829999999999</v>
      </c>
      <c r="M493" s="4">
        <v>102.438058</v>
      </c>
      <c r="N493" s="6"/>
      <c r="P493"/>
      <c r="Q493" s="12"/>
      <c r="R493" s="12"/>
    </row>
    <row r="494" spans="1:18" x14ac:dyDescent="0.2">
      <c r="A494">
        <v>5</v>
      </c>
      <c r="B494" t="s">
        <v>8</v>
      </c>
      <c r="C494">
        <v>2014</v>
      </c>
      <c r="D494">
        <v>1</v>
      </c>
      <c r="E494" s="4">
        <v>0</v>
      </c>
      <c r="F494" s="9">
        <v>0</v>
      </c>
      <c r="G494" s="6">
        <v>2318</v>
      </c>
      <c r="H494" s="9">
        <f t="shared" si="7"/>
        <v>0</v>
      </c>
      <c r="I494" s="6">
        <v>8000</v>
      </c>
      <c r="J494" s="6">
        <f>VLOOKUP(Table1[[#This Row],[Province]],[1]Sheet1!$A$3:$F$37,3,FALSE)</f>
        <v>3344400</v>
      </c>
      <c r="K494">
        <v>0</v>
      </c>
      <c r="L494" s="4">
        <v>1.4851829999999999</v>
      </c>
      <c r="M494" s="4">
        <v>102.438058</v>
      </c>
      <c r="N494" s="6"/>
      <c r="P494"/>
      <c r="Q494" s="12"/>
      <c r="R494" s="12"/>
    </row>
    <row r="495" spans="1:18" x14ac:dyDescent="0.2">
      <c r="A495">
        <v>5</v>
      </c>
      <c r="B495" t="s">
        <v>8</v>
      </c>
      <c r="C495">
        <v>2014</v>
      </c>
      <c r="D495">
        <v>2</v>
      </c>
      <c r="E495" s="4">
        <v>0</v>
      </c>
      <c r="F495" s="9">
        <v>0</v>
      </c>
      <c r="G495" s="6">
        <v>2068</v>
      </c>
      <c r="H495" s="9">
        <f t="shared" si="7"/>
        <v>0</v>
      </c>
      <c r="I495" s="6">
        <v>8000</v>
      </c>
      <c r="J495" s="6">
        <f>VLOOKUP(Table1[[#This Row],[Province]],[1]Sheet1!$A$3:$F$37,3,FALSE)</f>
        <v>3344400</v>
      </c>
      <c r="K495">
        <v>0</v>
      </c>
      <c r="L495" s="4">
        <v>1.4851829999999999</v>
      </c>
      <c r="M495" s="4">
        <v>102.438058</v>
      </c>
      <c r="N495" s="6"/>
      <c r="P495"/>
      <c r="Q495" s="12"/>
      <c r="R495" s="12"/>
    </row>
    <row r="496" spans="1:18" x14ac:dyDescent="0.2">
      <c r="A496">
        <v>5</v>
      </c>
      <c r="B496" t="s">
        <v>8</v>
      </c>
      <c r="C496">
        <v>2014</v>
      </c>
      <c r="D496">
        <v>3</v>
      </c>
      <c r="E496" s="4">
        <v>0</v>
      </c>
      <c r="F496" s="9">
        <v>0</v>
      </c>
      <c r="G496" s="6">
        <v>2322</v>
      </c>
      <c r="H496" s="9">
        <f t="shared" si="7"/>
        <v>0</v>
      </c>
      <c r="I496" s="6">
        <v>8000</v>
      </c>
      <c r="J496" s="6">
        <f>VLOOKUP(Table1[[#This Row],[Province]],[1]Sheet1!$A$3:$F$37,3,FALSE)</f>
        <v>3344400</v>
      </c>
      <c r="K496">
        <v>0</v>
      </c>
      <c r="L496" s="4">
        <v>1.4851829999999999</v>
      </c>
      <c r="M496" s="4">
        <v>102.438058</v>
      </c>
      <c r="N496" s="6"/>
      <c r="P496"/>
      <c r="Q496" s="12"/>
      <c r="R496" s="12"/>
    </row>
    <row r="497" spans="1:18" x14ac:dyDescent="0.2">
      <c r="A497">
        <v>5</v>
      </c>
      <c r="B497" t="s">
        <v>8</v>
      </c>
      <c r="C497">
        <v>2014</v>
      </c>
      <c r="D497">
        <v>4</v>
      </c>
      <c r="E497" s="4">
        <v>0</v>
      </c>
      <c r="F497" s="9">
        <v>0</v>
      </c>
      <c r="G497" s="6">
        <v>2991</v>
      </c>
      <c r="H497" s="9">
        <f t="shared" si="7"/>
        <v>0</v>
      </c>
      <c r="I497" s="6">
        <v>7420</v>
      </c>
      <c r="J497" s="6">
        <f>VLOOKUP(Table1[[#This Row],[Province]],[1]Sheet1!$A$3:$F$37,3,FALSE)</f>
        <v>3344400</v>
      </c>
      <c r="K497">
        <v>0</v>
      </c>
      <c r="L497" s="4">
        <v>1.4851829999999999</v>
      </c>
      <c r="M497" s="4">
        <v>102.438058</v>
      </c>
      <c r="N497" s="6"/>
      <c r="P497"/>
      <c r="Q497" s="12"/>
      <c r="R497" s="12"/>
    </row>
    <row r="498" spans="1:18" x14ac:dyDescent="0.2">
      <c r="A498">
        <v>5</v>
      </c>
      <c r="B498" t="s">
        <v>8</v>
      </c>
      <c r="C498">
        <v>2014</v>
      </c>
      <c r="D498">
        <v>5</v>
      </c>
      <c r="E498" s="4">
        <v>0</v>
      </c>
      <c r="F498" s="9">
        <v>0</v>
      </c>
      <c r="G498" s="6">
        <v>3350</v>
      </c>
      <c r="H498" s="9">
        <f t="shared" si="7"/>
        <v>0</v>
      </c>
      <c r="I498" s="6">
        <v>7500</v>
      </c>
      <c r="J498" s="6">
        <f>VLOOKUP(Table1[[#This Row],[Province]],[1]Sheet1!$A$3:$F$37,3,FALSE)</f>
        <v>3344400</v>
      </c>
      <c r="K498">
        <v>0</v>
      </c>
      <c r="L498" s="4">
        <v>1.4851829999999999</v>
      </c>
      <c r="M498" s="4">
        <v>102.438058</v>
      </c>
      <c r="N498" s="6"/>
      <c r="P498"/>
      <c r="Q498" s="12"/>
      <c r="R498" s="12"/>
    </row>
    <row r="499" spans="1:18" x14ac:dyDescent="0.2">
      <c r="A499">
        <v>5</v>
      </c>
      <c r="B499" t="s">
        <v>8</v>
      </c>
      <c r="C499">
        <v>2014</v>
      </c>
      <c r="D499">
        <v>6</v>
      </c>
      <c r="E499" s="4">
        <v>0</v>
      </c>
      <c r="F499" s="9">
        <v>0</v>
      </c>
      <c r="G499" s="6">
        <v>4768</v>
      </c>
      <c r="H499" s="9">
        <f t="shared" si="7"/>
        <v>0</v>
      </c>
      <c r="I499" s="6">
        <v>7500</v>
      </c>
      <c r="J499" s="6">
        <f>VLOOKUP(Table1[[#This Row],[Province]],[1]Sheet1!$A$3:$F$37,3,FALSE)</f>
        <v>3344400</v>
      </c>
      <c r="K499">
        <v>1</v>
      </c>
      <c r="L499" s="4">
        <v>1.4851829999999999</v>
      </c>
      <c r="M499" s="4">
        <v>102.438058</v>
      </c>
      <c r="N499" s="6"/>
      <c r="P499"/>
      <c r="Q499" s="12"/>
      <c r="R499" s="12"/>
    </row>
    <row r="500" spans="1:18" x14ac:dyDescent="0.2">
      <c r="A500">
        <v>5</v>
      </c>
      <c r="B500" t="s">
        <v>8</v>
      </c>
      <c r="C500">
        <v>2014</v>
      </c>
      <c r="D500">
        <v>7</v>
      </c>
      <c r="E500" s="4">
        <v>0</v>
      </c>
      <c r="F500" s="9">
        <v>0</v>
      </c>
      <c r="G500" s="6">
        <v>2991</v>
      </c>
      <c r="H500" s="9">
        <f t="shared" si="7"/>
        <v>0</v>
      </c>
      <c r="I500" s="6">
        <v>7639</v>
      </c>
      <c r="J500" s="6">
        <f>VLOOKUP(Table1[[#This Row],[Province]],[1]Sheet1!$A$3:$F$37,3,FALSE)</f>
        <v>3344400</v>
      </c>
      <c r="K500">
        <v>0</v>
      </c>
      <c r="L500" s="4">
        <v>1.4851829999999999</v>
      </c>
      <c r="M500" s="4">
        <v>102.438058</v>
      </c>
      <c r="N500" s="6"/>
      <c r="P500"/>
      <c r="Q500" s="12"/>
      <c r="R500" s="12"/>
    </row>
    <row r="501" spans="1:18" x14ac:dyDescent="0.2">
      <c r="A501">
        <v>5</v>
      </c>
      <c r="B501" t="s">
        <v>8</v>
      </c>
      <c r="C501">
        <v>2014</v>
      </c>
      <c r="D501">
        <v>8</v>
      </c>
      <c r="E501" s="4">
        <v>0</v>
      </c>
      <c r="F501" s="9">
        <v>0</v>
      </c>
      <c r="G501" s="6">
        <v>2883</v>
      </c>
      <c r="H501" s="9">
        <f t="shared" si="7"/>
        <v>0</v>
      </c>
      <c r="I501" s="6">
        <v>8000</v>
      </c>
      <c r="J501" s="6">
        <f>VLOOKUP(Table1[[#This Row],[Province]],[1]Sheet1!$A$3:$F$37,3,FALSE)</f>
        <v>3344400</v>
      </c>
      <c r="K501">
        <v>0</v>
      </c>
      <c r="L501" s="4">
        <v>1.4851829999999999</v>
      </c>
      <c r="M501" s="4">
        <v>102.438058</v>
      </c>
      <c r="N501" s="6"/>
      <c r="P501"/>
      <c r="Q501" s="12"/>
      <c r="R501" s="12"/>
    </row>
    <row r="502" spans="1:18" x14ac:dyDescent="0.2">
      <c r="A502">
        <v>5</v>
      </c>
      <c r="B502" t="s">
        <v>8</v>
      </c>
      <c r="C502">
        <v>2014</v>
      </c>
      <c r="D502">
        <v>9</v>
      </c>
      <c r="E502" s="4">
        <v>0</v>
      </c>
      <c r="F502" s="9">
        <v>0</v>
      </c>
      <c r="G502" s="6">
        <v>2902</v>
      </c>
      <c r="H502" s="9">
        <f t="shared" si="7"/>
        <v>0</v>
      </c>
      <c r="I502" s="6">
        <v>7864</v>
      </c>
      <c r="J502" s="6">
        <f>VLOOKUP(Table1[[#This Row],[Province]],[1]Sheet1!$A$3:$F$37,3,FALSE)</f>
        <v>3344400</v>
      </c>
      <c r="K502">
        <v>0</v>
      </c>
      <c r="L502" s="4">
        <v>1.4851829999999999</v>
      </c>
      <c r="M502" s="4">
        <v>102.438058</v>
      </c>
      <c r="N502" s="6"/>
      <c r="P502"/>
      <c r="Q502" s="12"/>
      <c r="R502" s="12"/>
    </row>
    <row r="503" spans="1:18" x14ac:dyDescent="0.2">
      <c r="A503">
        <v>5</v>
      </c>
      <c r="B503" t="s">
        <v>8</v>
      </c>
      <c r="C503">
        <v>2014</v>
      </c>
      <c r="D503">
        <v>10</v>
      </c>
      <c r="E503" s="4">
        <v>0</v>
      </c>
      <c r="F503" s="9">
        <v>0</v>
      </c>
      <c r="G503" s="6">
        <v>4305</v>
      </c>
      <c r="H503" s="9">
        <f t="shared" si="7"/>
        <v>0</v>
      </c>
      <c r="I503" s="6">
        <v>7800</v>
      </c>
      <c r="J503" s="6">
        <f>VLOOKUP(Table1[[#This Row],[Province]],[1]Sheet1!$A$3:$F$37,3,FALSE)</f>
        <v>3344400</v>
      </c>
      <c r="K503">
        <v>0</v>
      </c>
      <c r="L503" s="4">
        <v>1.4851829999999999</v>
      </c>
      <c r="M503" s="4">
        <v>102.438058</v>
      </c>
      <c r="N503" s="6"/>
      <c r="P503"/>
      <c r="Q503" s="12"/>
      <c r="R503" s="12"/>
    </row>
    <row r="504" spans="1:18" x14ac:dyDescent="0.2">
      <c r="A504">
        <v>5</v>
      </c>
      <c r="B504" t="s">
        <v>8</v>
      </c>
      <c r="C504">
        <v>2014</v>
      </c>
      <c r="D504">
        <v>11</v>
      </c>
      <c r="E504" s="4">
        <v>0</v>
      </c>
      <c r="F504" s="9">
        <v>0</v>
      </c>
      <c r="G504" s="6">
        <v>3435</v>
      </c>
      <c r="H504" s="9">
        <f t="shared" si="7"/>
        <v>0</v>
      </c>
      <c r="I504" s="6">
        <v>7800</v>
      </c>
      <c r="J504" s="6">
        <f>VLOOKUP(Table1[[#This Row],[Province]],[1]Sheet1!$A$3:$F$37,3,FALSE)</f>
        <v>3344400</v>
      </c>
      <c r="K504">
        <v>0</v>
      </c>
      <c r="L504" s="4">
        <v>1.4851829999999999</v>
      </c>
      <c r="M504" s="4">
        <v>102.438058</v>
      </c>
      <c r="N504" s="6"/>
      <c r="P504"/>
      <c r="Q504" s="12"/>
      <c r="R504" s="12"/>
    </row>
    <row r="505" spans="1:18" x14ac:dyDescent="0.2">
      <c r="A505">
        <v>5</v>
      </c>
      <c r="B505" t="s">
        <v>8</v>
      </c>
      <c r="C505">
        <v>2014</v>
      </c>
      <c r="D505">
        <v>12</v>
      </c>
      <c r="E505" s="4">
        <v>0</v>
      </c>
      <c r="F505" s="9">
        <v>0</v>
      </c>
      <c r="G505" s="6">
        <v>4006</v>
      </c>
      <c r="H505" s="9">
        <f t="shared" si="7"/>
        <v>0</v>
      </c>
      <c r="I505" s="6">
        <v>7800</v>
      </c>
      <c r="J505" s="6">
        <f>VLOOKUP(Table1[[#This Row],[Province]],[1]Sheet1!$A$3:$F$37,3,FALSE)</f>
        <v>3344400</v>
      </c>
      <c r="K505">
        <v>1</v>
      </c>
      <c r="L505" s="4">
        <v>1.4851829999999999</v>
      </c>
      <c r="M505" s="4">
        <v>102.438058</v>
      </c>
      <c r="N505" s="6"/>
      <c r="P505"/>
      <c r="Q505" s="12"/>
      <c r="R505" s="12"/>
    </row>
    <row r="506" spans="1:18" x14ac:dyDescent="0.2">
      <c r="A506">
        <v>5</v>
      </c>
      <c r="B506" t="s">
        <v>8</v>
      </c>
      <c r="C506">
        <v>2015</v>
      </c>
      <c r="D506">
        <v>1</v>
      </c>
      <c r="E506" s="4">
        <v>0</v>
      </c>
      <c r="F506" s="9">
        <v>0</v>
      </c>
      <c r="G506" s="6">
        <v>1969</v>
      </c>
      <c r="H506" s="9">
        <f t="shared" si="7"/>
        <v>0</v>
      </c>
      <c r="I506" s="6">
        <v>7800</v>
      </c>
      <c r="J506" s="6">
        <f>VLOOKUP(Table1[[#This Row],[Province]],[1]Sheet1!$A$3:$F$37,3,FALSE)</f>
        <v>3344400</v>
      </c>
      <c r="K506">
        <v>0</v>
      </c>
      <c r="L506" s="4">
        <v>1.4851829999999999</v>
      </c>
      <c r="M506" s="4">
        <v>102.438058</v>
      </c>
      <c r="N506" s="6"/>
      <c r="P506"/>
      <c r="Q506" s="12"/>
      <c r="R506" s="12"/>
    </row>
    <row r="507" spans="1:18" x14ac:dyDescent="0.2">
      <c r="A507">
        <v>5</v>
      </c>
      <c r="B507" t="s">
        <v>8</v>
      </c>
      <c r="C507">
        <v>2015</v>
      </c>
      <c r="D507">
        <v>2</v>
      </c>
      <c r="E507" s="4">
        <v>0</v>
      </c>
      <c r="F507" s="9">
        <v>0</v>
      </c>
      <c r="G507" s="6">
        <v>4966</v>
      </c>
      <c r="H507" s="9">
        <f t="shared" si="7"/>
        <v>0</v>
      </c>
      <c r="I507" s="6">
        <v>7800</v>
      </c>
      <c r="J507" s="6">
        <f>VLOOKUP(Table1[[#This Row],[Province]],[1]Sheet1!$A$3:$F$37,3,FALSE)</f>
        <v>3344400</v>
      </c>
      <c r="K507">
        <v>0</v>
      </c>
      <c r="L507" s="4">
        <v>1.4851829999999999</v>
      </c>
      <c r="M507" s="4">
        <v>102.438058</v>
      </c>
      <c r="N507" s="6"/>
      <c r="P507"/>
      <c r="Q507" s="12"/>
      <c r="R507" s="12"/>
    </row>
    <row r="508" spans="1:18" x14ac:dyDescent="0.2">
      <c r="A508">
        <v>5</v>
      </c>
      <c r="B508" t="s">
        <v>8</v>
      </c>
      <c r="C508">
        <v>2015</v>
      </c>
      <c r="D508">
        <v>3</v>
      </c>
      <c r="E508" s="4">
        <v>0</v>
      </c>
      <c r="F508" s="9">
        <v>0</v>
      </c>
      <c r="G508" s="6">
        <v>2253</v>
      </c>
      <c r="H508" s="9">
        <f t="shared" si="7"/>
        <v>0</v>
      </c>
      <c r="I508" s="6">
        <v>13843</v>
      </c>
      <c r="J508" s="6">
        <f>VLOOKUP(Table1[[#This Row],[Province]],[1]Sheet1!$A$3:$F$37,3,FALSE)</f>
        <v>3344400</v>
      </c>
      <c r="K508">
        <v>0</v>
      </c>
      <c r="L508" s="4">
        <v>1.4851829999999999</v>
      </c>
      <c r="M508" s="4">
        <v>102.438058</v>
      </c>
      <c r="N508" s="6"/>
      <c r="P508"/>
      <c r="Q508" s="12"/>
      <c r="R508" s="12"/>
    </row>
    <row r="509" spans="1:18" x14ac:dyDescent="0.2">
      <c r="A509">
        <v>5</v>
      </c>
      <c r="B509" t="s">
        <v>8</v>
      </c>
      <c r="C509">
        <v>2015</v>
      </c>
      <c r="D509">
        <v>4</v>
      </c>
      <c r="E509" s="4">
        <v>0</v>
      </c>
      <c r="F509" s="9">
        <v>0</v>
      </c>
      <c r="G509" s="6">
        <v>3733</v>
      </c>
      <c r="H509" s="9">
        <f t="shared" si="7"/>
        <v>0</v>
      </c>
      <c r="I509" s="6">
        <v>14450</v>
      </c>
      <c r="J509" s="6">
        <f>VLOOKUP(Table1[[#This Row],[Province]],[1]Sheet1!$A$3:$F$37,3,FALSE)</f>
        <v>3344400</v>
      </c>
      <c r="K509">
        <v>0</v>
      </c>
      <c r="L509" s="4">
        <v>1.4851829999999999</v>
      </c>
      <c r="M509" s="4">
        <v>102.438058</v>
      </c>
      <c r="N509" s="6"/>
      <c r="P509"/>
      <c r="Q509" s="12"/>
      <c r="R509" s="12"/>
    </row>
    <row r="510" spans="1:18" x14ac:dyDescent="0.2">
      <c r="A510">
        <v>5</v>
      </c>
      <c r="B510" t="s">
        <v>8</v>
      </c>
      <c r="C510">
        <v>2015</v>
      </c>
      <c r="D510">
        <v>5</v>
      </c>
      <c r="E510" s="4">
        <v>0</v>
      </c>
      <c r="F510" s="9">
        <v>0</v>
      </c>
      <c r="G510" s="6">
        <v>3577</v>
      </c>
      <c r="H510" s="9">
        <f t="shared" si="7"/>
        <v>0</v>
      </c>
      <c r="I510" s="6">
        <v>14450</v>
      </c>
      <c r="J510" s="6">
        <f>VLOOKUP(Table1[[#This Row],[Province]],[1]Sheet1!$A$3:$F$37,3,FALSE)</f>
        <v>3344400</v>
      </c>
      <c r="K510">
        <v>0</v>
      </c>
      <c r="L510" s="4">
        <v>1.4851829999999999</v>
      </c>
      <c r="M510" s="4">
        <v>102.438058</v>
      </c>
      <c r="N510" s="6"/>
      <c r="P510"/>
      <c r="Q510" s="12"/>
      <c r="R510" s="12"/>
    </row>
    <row r="511" spans="1:18" x14ac:dyDescent="0.2">
      <c r="A511">
        <v>5</v>
      </c>
      <c r="B511" t="s">
        <v>8</v>
      </c>
      <c r="C511">
        <v>2015</v>
      </c>
      <c r="D511">
        <v>6</v>
      </c>
      <c r="E511" s="4">
        <v>0</v>
      </c>
      <c r="F511" s="9">
        <v>0</v>
      </c>
      <c r="G511" s="6">
        <v>4065</v>
      </c>
      <c r="H511" s="9">
        <f t="shared" si="7"/>
        <v>0</v>
      </c>
      <c r="I511" s="6">
        <v>14555</v>
      </c>
      <c r="J511" s="6">
        <f>VLOOKUP(Table1[[#This Row],[Province]],[1]Sheet1!$A$3:$F$37,3,FALSE)</f>
        <v>3344400</v>
      </c>
      <c r="K511">
        <v>1</v>
      </c>
      <c r="L511" s="4">
        <v>1.4851829999999999</v>
      </c>
      <c r="M511" s="4">
        <v>102.438058</v>
      </c>
      <c r="N511" s="6"/>
      <c r="P511"/>
      <c r="Q511" s="12"/>
      <c r="R511" s="12"/>
    </row>
    <row r="512" spans="1:18" x14ac:dyDescent="0.2">
      <c r="A512">
        <v>5</v>
      </c>
      <c r="B512" t="s">
        <v>8</v>
      </c>
      <c r="C512">
        <v>2015</v>
      </c>
      <c r="D512">
        <v>7</v>
      </c>
      <c r="E512" s="4">
        <v>0</v>
      </c>
      <c r="F512" s="9">
        <v>0</v>
      </c>
      <c r="G512" s="6">
        <v>2775</v>
      </c>
      <c r="H512" s="9">
        <f t="shared" si="7"/>
        <v>0</v>
      </c>
      <c r="I512" s="6">
        <v>14479</v>
      </c>
      <c r="J512" s="6">
        <f>VLOOKUP(Table1[[#This Row],[Province]],[1]Sheet1!$A$3:$F$37,3,FALSE)</f>
        <v>3344400</v>
      </c>
      <c r="K512">
        <v>0</v>
      </c>
      <c r="L512" s="4">
        <v>1.4851829999999999</v>
      </c>
      <c r="M512" s="4">
        <v>102.438058</v>
      </c>
      <c r="N512" s="6"/>
      <c r="P512"/>
      <c r="Q512" s="12"/>
      <c r="R512" s="12"/>
    </row>
    <row r="513" spans="1:18" x14ac:dyDescent="0.2">
      <c r="A513">
        <v>5</v>
      </c>
      <c r="B513" t="s">
        <v>8</v>
      </c>
      <c r="C513">
        <v>2015</v>
      </c>
      <c r="D513">
        <v>8</v>
      </c>
      <c r="E513" s="4">
        <v>0</v>
      </c>
      <c r="F513" s="9">
        <v>0</v>
      </c>
      <c r="G513" s="6">
        <v>2746</v>
      </c>
      <c r="H513" s="9">
        <f t="shared" si="7"/>
        <v>0</v>
      </c>
      <c r="I513" s="6">
        <v>14328</v>
      </c>
      <c r="J513" s="6">
        <f>VLOOKUP(Table1[[#This Row],[Province]],[1]Sheet1!$A$3:$F$37,3,FALSE)</f>
        <v>3344400</v>
      </c>
      <c r="K513">
        <v>0</v>
      </c>
      <c r="L513" s="4">
        <v>1.4851829999999999</v>
      </c>
      <c r="M513" s="4">
        <v>102.438058</v>
      </c>
      <c r="N513" s="6"/>
      <c r="P513"/>
      <c r="Q513" s="12"/>
      <c r="R513" s="12"/>
    </row>
    <row r="514" spans="1:18" x14ac:dyDescent="0.2">
      <c r="A514">
        <v>5</v>
      </c>
      <c r="B514" t="s">
        <v>8</v>
      </c>
      <c r="C514">
        <v>2015</v>
      </c>
      <c r="D514">
        <v>9</v>
      </c>
      <c r="E514" s="4">
        <v>0</v>
      </c>
      <c r="F514" s="9">
        <v>0</v>
      </c>
      <c r="G514" s="6">
        <v>3685</v>
      </c>
      <c r="H514" s="9">
        <f t="shared" ref="H514:H577" si="8">F514+E514</f>
        <v>0</v>
      </c>
      <c r="I514" s="6">
        <v>14450</v>
      </c>
      <c r="J514" s="6">
        <f>VLOOKUP(Table1[[#This Row],[Province]],[1]Sheet1!$A$3:$F$37,3,FALSE)</f>
        <v>3344400</v>
      </c>
      <c r="K514">
        <v>0</v>
      </c>
      <c r="L514" s="4">
        <v>1.4851829999999999</v>
      </c>
      <c r="M514" s="4">
        <v>102.438058</v>
      </c>
      <c r="N514" s="6"/>
      <c r="P514"/>
      <c r="Q514" s="12"/>
      <c r="R514" s="12"/>
    </row>
    <row r="515" spans="1:18" x14ac:dyDescent="0.2">
      <c r="A515">
        <v>5</v>
      </c>
      <c r="B515" t="s">
        <v>8</v>
      </c>
      <c r="C515">
        <v>2015</v>
      </c>
      <c r="D515">
        <v>10</v>
      </c>
      <c r="E515" s="4">
        <v>0</v>
      </c>
      <c r="F515" s="9">
        <v>0</v>
      </c>
      <c r="G515" s="6">
        <v>2457</v>
      </c>
      <c r="H515" s="9">
        <f t="shared" si="8"/>
        <v>0</v>
      </c>
      <c r="I515" s="6">
        <v>14450</v>
      </c>
      <c r="J515" s="6">
        <f>VLOOKUP(Table1[[#This Row],[Province]],[1]Sheet1!$A$3:$F$37,3,FALSE)</f>
        <v>3344400</v>
      </c>
      <c r="K515">
        <v>0</v>
      </c>
      <c r="L515" s="4">
        <v>1.4851829999999999</v>
      </c>
      <c r="M515" s="4">
        <v>102.438058</v>
      </c>
      <c r="N515" s="6"/>
      <c r="P515"/>
      <c r="Q515" s="12"/>
      <c r="R515" s="12"/>
    </row>
    <row r="516" spans="1:18" x14ac:dyDescent="0.2">
      <c r="A516">
        <v>5</v>
      </c>
      <c r="B516" t="s">
        <v>8</v>
      </c>
      <c r="C516">
        <v>2015</v>
      </c>
      <c r="D516">
        <v>11</v>
      </c>
      <c r="E516" s="4">
        <v>0</v>
      </c>
      <c r="F516" s="9">
        <v>0</v>
      </c>
      <c r="G516" s="6">
        <v>3239</v>
      </c>
      <c r="H516" s="9">
        <f t="shared" si="8"/>
        <v>0</v>
      </c>
      <c r="I516" s="6">
        <v>14843</v>
      </c>
      <c r="J516" s="6">
        <f>VLOOKUP(Table1[[#This Row],[Province]],[1]Sheet1!$A$3:$F$37,3,FALSE)</f>
        <v>3344400</v>
      </c>
      <c r="K516">
        <v>0</v>
      </c>
      <c r="L516" s="4">
        <v>1.4851829999999999</v>
      </c>
      <c r="M516" s="4">
        <v>102.438058</v>
      </c>
      <c r="N516" s="6"/>
      <c r="P516"/>
      <c r="Q516" s="12"/>
      <c r="R516" s="12"/>
    </row>
    <row r="517" spans="1:18" x14ac:dyDescent="0.2">
      <c r="A517">
        <v>5</v>
      </c>
      <c r="B517" t="s">
        <v>8</v>
      </c>
      <c r="C517">
        <v>2015</v>
      </c>
      <c r="D517">
        <v>12</v>
      </c>
      <c r="E517" s="4">
        <v>0</v>
      </c>
      <c r="F517" s="9">
        <v>0</v>
      </c>
      <c r="G517" s="6">
        <v>3472</v>
      </c>
      <c r="H517" s="9">
        <f t="shared" si="8"/>
        <v>0</v>
      </c>
      <c r="I517" s="6">
        <v>15000</v>
      </c>
      <c r="J517" s="6">
        <f>VLOOKUP(Table1[[#This Row],[Province]],[1]Sheet1!$A$3:$F$37,3,FALSE)</f>
        <v>3344400</v>
      </c>
      <c r="K517">
        <v>1</v>
      </c>
      <c r="L517" s="4">
        <v>1.4851829999999999</v>
      </c>
      <c r="M517" s="4">
        <v>102.438058</v>
      </c>
      <c r="N517" s="6"/>
      <c r="P517"/>
      <c r="Q517" s="12"/>
      <c r="R517" s="12"/>
    </row>
    <row r="518" spans="1:18" x14ac:dyDescent="0.2">
      <c r="A518">
        <v>5</v>
      </c>
      <c r="B518" t="s">
        <v>8</v>
      </c>
      <c r="C518">
        <v>2016</v>
      </c>
      <c r="D518">
        <v>1</v>
      </c>
      <c r="E518" s="4">
        <v>0</v>
      </c>
      <c r="F518" s="9">
        <v>0</v>
      </c>
      <c r="G518" s="6">
        <v>1982</v>
      </c>
      <c r="H518" s="9">
        <f t="shared" si="8"/>
        <v>0</v>
      </c>
      <c r="I518" s="6">
        <v>15000</v>
      </c>
      <c r="J518" s="6">
        <f>VLOOKUP(Table1[[#This Row],[Province]],[1]Sheet1!$A$3:$F$37,3,FALSE)</f>
        <v>3344400</v>
      </c>
      <c r="K518">
        <v>0</v>
      </c>
      <c r="L518" s="4">
        <v>1.4851829999999999</v>
      </c>
      <c r="M518" s="4">
        <v>102.438058</v>
      </c>
      <c r="N518" s="13">
        <v>4.37</v>
      </c>
      <c r="P518"/>
      <c r="Q518" s="12"/>
      <c r="R518" s="12"/>
    </row>
    <row r="519" spans="1:18" x14ac:dyDescent="0.2">
      <c r="A519">
        <v>5</v>
      </c>
      <c r="B519" t="s">
        <v>8</v>
      </c>
      <c r="C519">
        <v>2016</v>
      </c>
      <c r="D519">
        <v>2</v>
      </c>
      <c r="E519" s="4">
        <v>0</v>
      </c>
      <c r="F519" s="9">
        <v>0</v>
      </c>
      <c r="G519" s="6">
        <v>1911</v>
      </c>
      <c r="H519" s="9">
        <f t="shared" si="8"/>
        <v>0</v>
      </c>
      <c r="I519" s="6">
        <v>15000</v>
      </c>
      <c r="J519" s="6">
        <f>VLOOKUP(Table1[[#This Row],[Province]],[1]Sheet1!$A$3:$F$37,3,FALSE)</f>
        <v>3344400</v>
      </c>
      <c r="K519">
        <v>0</v>
      </c>
      <c r="L519" s="4">
        <v>1.4851829999999999</v>
      </c>
      <c r="M519" s="4">
        <v>102.438058</v>
      </c>
      <c r="N519" s="13">
        <v>4.37</v>
      </c>
      <c r="P519"/>
      <c r="Q519" s="12"/>
      <c r="R519" s="12"/>
    </row>
    <row r="520" spans="1:18" x14ac:dyDescent="0.2">
      <c r="A520">
        <v>5</v>
      </c>
      <c r="B520" t="s">
        <v>8</v>
      </c>
      <c r="C520">
        <v>2016</v>
      </c>
      <c r="D520">
        <v>3</v>
      </c>
      <c r="E520" s="4">
        <v>0</v>
      </c>
      <c r="F520" s="9">
        <v>0</v>
      </c>
      <c r="G520" s="6">
        <v>2712</v>
      </c>
      <c r="H520" s="9">
        <f t="shared" si="8"/>
        <v>0</v>
      </c>
      <c r="I520" s="6">
        <v>15000</v>
      </c>
      <c r="J520" s="6">
        <f>VLOOKUP(Table1[[#This Row],[Province]],[1]Sheet1!$A$3:$F$37,3,FALSE)</f>
        <v>3344400</v>
      </c>
      <c r="K520">
        <v>0</v>
      </c>
      <c r="L520" s="4">
        <v>1.4851829999999999</v>
      </c>
      <c r="M520" s="4">
        <v>102.438058</v>
      </c>
      <c r="N520" s="13">
        <v>4.37</v>
      </c>
      <c r="P520"/>
      <c r="Q520" s="12"/>
      <c r="R520" s="12"/>
    </row>
    <row r="521" spans="1:18" x14ac:dyDescent="0.2">
      <c r="A521">
        <v>5</v>
      </c>
      <c r="B521" t="s">
        <v>8</v>
      </c>
      <c r="C521">
        <v>2016</v>
      </c>
      <c r="D521">
        <v>4</v>
      </c>
      <c r="E521" s="4">
        <v>0</v>
      </c>
      <c r="F521" s="9">
        <v>0</v>
      </c>
      <c r="G521" s="6">
        <v>1837</v>
      </c>
      <c r="H521" s="9">
        <f t="shared" si="8"/>
        <v>0</v>
      </c>
      <c r="I521" s="6">
        <v>15000</v>
      </c>
      <c r="J521" s="6">
        <f>VLOOKUP(Table1[[#This Row],[Province]],[1]Sheet1!$A$3:$F$37,3,FALSE)</f>
        <v>3344400</v>
      </c>
      <c r="K521">
        <v>0</v>
      </c>
      <c r="L521" s="4">
        <v>1.4851829999999999</v>
      </c>
      <c r="M521" s="4">
        <v>102.438058</v>
      </c>
      <c r="N521" s="13">
        <v>4.37</v>
      </c>
      <c r="P521"/>
      <c r="Q521" s="12"/>
      <c r="R521" s="12"/>
    </row>
    <row r="522" spans="1:18" x14ac:dyDescent="0.2">
      <c r="A522">
        <v>5</v>
      </c>
      <c r="B522" t="s">
        <v>8</v>
      </c>
      <c r="C522">
        <v>2016</v>
      </c>
      <c r="D522">
        <v>5</v>
      </c>
      <c r="E522" s="4">
        <v>0</v>
      </c>
      <c r="F522" s="9">
        <v>0</v>
      </c>
      <c r="G522" s="6">
        <v>2631</v>
      </c>
      <c r="H522" s="9">
        <f t="shared" si="8"/>
        <v>0</v>
      </c>
      <c r="I522" s="6">
        <v>15000</v>
      </c>
      <c r="J522" s="6">
        <f>VLOOKUP(Table1[[#This Row],[Province]],[1]Sheet1!$A$3:$F$37,3,FALSE)</f>
        <v>3344400</v>
      </c>
      <c r="K522">
        <v>0</v>
      </c>
      <c r="L522" s="4">
        <v>1.4851829999999999</v>
      </c>
      <c r="M522" s="4">
        <v>102.438058</v>
      </c>
      <c r="N522" s="13">
        <v>4.37</v>
      </c>
      <c r="P522"/>
      <c r="Q522" s="12"/>
      <c r="R522" s="12"/>
    </row>
    <row r="523" spans="1:18" x14ac:dyDescent="0.2">
      <c r="A523">
        <v>5</v>
      </c>
      <c r="B523" t="s">
        <v>8</v>
      </c>
      <c r="C523">
        <v>2016</v>
      </c>
      <c r="D523">
        <v>6</v>
      </c>
      <c r="E523" s="4">
        <v>0</v>
      </c>
      <c r="F523" s="9">
        <v>0</v>
      </c>
      <c r="G523" s="6">
        <v>3562</v>
      </c>
      <c r="H523" s="9">
        <f t="shared" si="8"/>
        <v>0</v>
      </c>
      <c r="I523" s="6">
        <v>15000</v>
      </c>
      <c r="J523" s="6">
        <f>VLOOKUP(Table1[[#This Row],[Province]],[1]Sheet1!$A$3:$F$37,3,FALSE)</f>
        <v>3344400</v>
      </c>
      <c r="K523">
        <v>1</v>
      </c>
      <c r="L523" s="4">
        <v>1.4851829999999999</v>
      </c>
      <c r="M523" s="4">
        <v>102.438058</v>
      </c>
      <c r="N523" s="13">
        <v>4.37</v>
      </c>
      <c r="P523"/>
      <c r="Q523" s="12"/>
      <c r="R523" s="12"/>
    </row>
    <row r="524" spans="1:18" x14ac:dyDescent="0.2">
      <c r="A524">
        <v>5</v>
      </c>
      <c r="B524" t="s">
        <v>8</v>
      </c>
      <c r="C524">
        <v>2016</v>
      </c>
      <c r="D524">
        <v>7</v>
      </c>
      <c r="E524" s="4">
        <v>0</v>
      </c>
      <c r="F524" s="9">
        <v>0</v>
      </c>
      <c r="G524" s="6">
        <v>3399</v>
      </c>
      <c r="H524" s="9">
        <f t="shared" si="8"/>
        <v>0</v>
      </c>
      <c r="I524" s="6">
        <v>15000</v>
      </c>
      <c r="J524" s="6">
        <f>VLOOKUP(Table1[[#This Row],[Province]],[1]Sheet1!$A$3:$F$37,3,FALSE)</f>
        <v>3344400</v>
      </c>
      <c r="K524">
        <v>0</v>
      </c>
      <c r="L524" s="4">
        <v>1.4851829999999999</v>
      </c>
      <c r="M524" s="4">
        <v>102.438058</v>
      </c>
      <c r="N524" s="13">
        <v>4.37</v>
      </c>
      <c r="P524"/>
      <c r="Q524" s="12"/>
      <c r="R524" s="12"/>
    </row>
    <row r="525" spans="1:18" x14ac:dyDescent="0.2">
      <c r="A525">
        <v>5</v>
      </c>
      <c r="B525" t="s">
        <v>8</v>
      </c>
      <c r="C525">
        <v>2016</v>
      </c>
      <c r="D525">
        <v>8</v>
      </c>
      <c r="E525" s="4">
        <v>0</v>
      </c>
      <c r="F525" s="9">
        <v>0</v>
      </c>
      <c r="G525" s="6">
        <v>3359</v>
      </c>
      <c r="H525" s="9">
        <f t="shared" si="8"/>
        <v>0</v>
      </c>
      <c r="I525" s="6">
        <v>15000</v>
      </c>
      <c r="J525" s="6">
        <f>VLOOKUP(Table1[[#This Row],[Province]],[1]Sheet1!$A$3:$F$37,3,FALSE)</f>
        <v>3344400</v>
      </c>
      <c r="K525">
        <v>0</v>
      </c>
      <c r="L525" s="4">
        <v>1.4851829999999999</v>
      </c>
      <c r="M525" s="4">
        <v>102.438058</v>
      </c>
      <c r="N525" s="13">
        <v>4.37</v>
      </c>
      <c r="P525"/>
      <c r="Q525" s="12"/>
      <c r="R525" s="12"/>
    </row>
    <row r="526" spans="1:18" x14ac:dyDescent="0.2">
      <c r="A526">
        <v>5</v>
      </c>
      <c r="B526" t="s">
        <v>8</v>
      </c>
      <c r="C526">
        <v>2016</v>
      </c>
      <c r="D526">
        <v>9</v>
      </c>
      <c r="E526" s="4">
        <v>0</v>
      </c>
      <c r="F526" s="9">
        <v>0</v>
      </c>
      <c r="G526" s="6">
        <v>1298</v>
      </c>
      <c r="H526" s="9">
        <f t="shared" si="8"/>
        <v>0</v>
      </c>
      <c r="I526" s="6">
        <v>15000</v>
      </c>
      <c r="J526" s="6">
        <f>VLOOKUP(Table1[[#This Row],[Province]],[1]Sheet1!$A$3:$F$37,3,FALSE)</f>
        <v>3344400</v>
      </c>
      <c r="K526">
        <v>0</v>
      </c>
      <c r="L526" s="4">
        <v>1.4851829999999999</v>
      </c>
      <c r="M526" s="4">
        <v>102.438058</v>
      </c>
      <c r="N526" s="13">
        <v>4.37</v>
      </c>
      <c r="P526"/>
      <c r="Q526" s="12"/>
      <c r="R526" s="12"/>
    </row>
    <row r="527" spans="1:18" x14ac:dyDescent="0.2">
      <c r="A527">
        <v>5</v>
      </c>
      <c r="B527" t="s">
        <v>8</v>
      </c>
      <c r="C527">
        <v>2016</v>
      </c>
      <c r="D527">
        <v>10</v>
      </c>
      <c r="E527" s="4">
        <v>0</v>
      </c>
      <c r="F527" s="9">
        <v>0</v>
      </c>
      <c r="G527" s="6">
        <v>5671</v>
      </c>
      <c r="H527" s="9">
        <f t="shared" si="8"/>
        <v>0</v>
      </c>
      <c r="I527" s="6">
        <v>16357</v>
      </c>
      <c r="J527" s="6">
        <f>VLOOKUP(Table1[[#This Row],[Province]],[1]Sheet1!$A$3:$F$37,3,FALSE)</f>
        <v>3344400</v>
      </c>
      <c r="K527">
        <v>0</v>
      </c>
      <c r="L527" s="4">
        <v>1.4851829999999999</v>
      </c>
      <c r="M527" s="4">
        <v>102.438058</v>
      </c>
      <c r="N527" s="13">
        <v>4.37</v>
      </c>
      <c r="P527"/>
      <c r="Q527" s="12"/>
      <c r="R527" s="12"/>
    </row>
    <row r="528" spans="1:18" x14ac:dyDescent="0.2">
      <c r="A528">
        <v>5</v>
      </c>
      <c r="B528" t="s">
        <v>8</v>
      </c>
      <c r="C528">
        <v>2016</v>
      </c>
      <c r="D528">
        <v>11</v>
      </c>
      <c r="E528" s="4">
        <v>0</v>
      </c>
      <c r="F528" s="9">
        <v>0</v>
      </c>
      <c r="G528" s="6">
        <v>1606</v>
      </c>
      <c r="H528" s="9">
        <f t="shared" si="8"/>
        <v>0</v>
      </c>
      <c r="I528" s="6">
        <v>17091</v>
      </c>
      <c r="J528" s="6">
        <f>VLOOKUP(Table1[[#This Row],[Province]],[1]Sheet1!$A$3:$F$37,3,FALSE)</f>
        <v>3344400</v>
      </c>
      <c r="K528">
        <v>0</v>
      </c>
      <c r="L528" s="4">
        <v>1.4851829999999999</v>
      </c>
      <c r="M528" s="4">
        <v>102.438058</v>
      </c>
      <c r="N528" s="13">
        <v>4.37</v>
      </c>
      <c r="P528"/>
      <c r="Q528" s="12"/>
      <c r="R528" s="12"/>
    </row>
    <row r="529" spans="1:18" x14ac:dyDescent="0.2">
      <c r="A529">
        <v>5</v>
      </c>
      <c r="B529" t="s">
        <v>8</v>
      </c>
      <c r="C529">
        <v>2016</v>
      </c>
      <c r="D529">
        <v>12</v>
      </c>
      <c r="E529" s="4">
        <v>0</v>
      </c>
      <c r="F529" s="9">
        <v>0</v>
      </c>
      <c r="G529" s="6">
        <v>1607</v>
      </c>
      <c r="H529" s="9">
        <f t="shared" si="8"/>
        <v>0</v>
      </c>
      <c r="I529" s="6">
        <v>17075</v>
      </c>
      <c r="J529" s="6">
        <f>VLOOKUP(Table1[[#This Row],[Province]],[1]Sheet1!$A$3:$F$37,3,FALSE)</f>
        <v>3344400</v>
      </c>
      <c r="K529">
        <v>1</v>
      </c>
      <c r="L529" s="4">
        <v>1.4851829999999999</v>
      </c>
      <c r="M529" s="4">
        <v>102.438058</v>
      </c>
      <c r="N529" s="13">
        <v>4.37</v>
      </c>
      <c r="P529"/>
      <c r="Q529" s="12"/>
      <c r="R529" s="12"/>
    </row>
    <row r="530" spans="1:18" x14ac:dyDescent="0.2">
      <c r="A530">
        <v>5</v>
      </c>
      <c r="B530" t="s">
        <v>8</v>
      </c>
      <c r="C530">
        <v>2017</v>
      </c>
      <c r="D530">
        <v>1</v>
      </c>
      <c r="E530" s="4">
        <v>0</v>
      </c>
      <c r="F530" s="9">
        <v>0</v>
      </c>
      <c r="G530" s="6">
        <v>3185</v>
      </c>
      <c r="H530" s="9">
        <f t="shared" si="8"/>
        <v>0</v>
      </c>
      <c r="I530" s="6">
        <v>16643</v>
      </c>
      <c r="J530" s="6">
        <f>VLOOKUP(Table1[[#This Row],[Province]],[1]Sheet1!$A$3:$F$37,3,FALSE)</f>
        <v>3344400</v>
      </c>
      <c r="K530">
        <v>0</v>
      </c>
      <c r="L530" s="4">
        <v>1.4851829999999999</v>
      </c>
      <c r="M530" s="4">
        <v>102.438058</v>
      </c>
      <c r="N530" s="13">
        <v>4.5999999999999996</v>
      </c>
      <c r="P530"/>
      <c r="Q530" s="12"/>
      <c r="R530" s="12"/>
    </row>
    <row r="531" spans="1:18" x14ac:dyDescent="0.2">
      <c r="A531">
        <v>5</v>
      </c>
      <c r="B531" t="s">
        <v>8</v>
      </c>
      <c r="C531">
        <v>2017</v>
      </c>
      <c r="D531">
        <v>2</v>
      </c>
      <c r="E531" s="4">
        <v>0</v>
      </c>
      <c r="F531" s="9">
        <v>0</v>
      </c>
      <c r="G531" s="6">
        <v>1830</v>
      </c>
      <c r="H531" s="9">
        <f t="shared" si="8"/>
        <v>0</v>
      </c>
      <c r="I531" s="6">
        <v>15000</v>
      </c>
      <c r="J531" s="6">
        <f>VLOOKUP(Table1[[#This Row],[Province]],[1]Sheet1!$A$3:$F$37,3,FALSE)</f>
        <v>3344400</v>
      </c>
      <c r="K531">
        <v>0</v>
      </c>
      <c r="L531" s="4">
        <v>1.4851829999999999</v>
      </c>
      <c r="M531" s="4">
        <v>102.438058</v>
      </c>
      <c r="N531" s="13">
        <v>4.5999999999999996</v>
      </c>
      <c r="P531"/>
      <c r="Q531" s="12"/>
      <c r="R531" s="12"/>
    </row>
    <row r="532" spans="1:18" x14ac:dyDescent="0.2">
      <c r="A532">
        <v>5</v>
      </c>
      <c r="B532" t="s">
        <v>8</v>
      </c>
      <c r="C532">
        <v>2017</v>
      </c>
      <c r="D532">
        <v>3</v>
      </c>
      <c r="E532" s="4">
        <v>0</v>
      </c>
      <c r="F532" s="9">
        <v>0</v>
      </c>
      <c r="G532" s="6">
        <v>1430</v>
      </c>
      <c r="H532" s="9">
        <f t="shared" si="8"/>
        <v>0</v>
      </c>
      <c r="I532" s="6">
        <v>15000</v>
      </c>
      <c r="J532" s="6">
        <f>VLOOKUP(Table1[[#This Row],[Province]],[1]Sheet1!$A$3:$F$37,3,FALSE)</f>
        <v>3344400</v>
      </c>
      <c r="K532">
        <v>0</v>
      </c>
      <c r="L532" s="4">
        <v>1.4851829999999999</v>
      </c>
      <c r="M532" s="4">
        <v>102.438058</v>
      </c>
      <c r="N532" s="13">
        <v>4.5999999999999996</v>
      </c>
      <c r="P532"/>
      <c r="Q532" s="12"/>
      <c r="R532" s="12"/>
    </row>
    <row r="533" spans="1:18" x14ac:dyDescent="0.2">
      <c r="A533">
        <v>5</v>
      </c>
      <c r="B533" t="s">
        <v>8</v>
      </c>
      <c r="C533">
        <v>2017</v>
      </c>
      <c r="D533">
        <v>4</v>
      </c>
      <c r="E533" s="4">
        <v>0</v>
      </c>
      <c r="F533" s="9">
        <v>0</v>
      </c>
      <c r="G533" s="6">
        <v>1021</v>
      </c>
      <c r="H533" s="9">
        <f t="shared" si="8"/>
        <v>0</v>
      </c>
      <c r="I533" s="6">
        <v>15000</v>
      </c>
      <c r="J533" s="6">
        <f>VLOOKUP(Table1[[#This Row],[Province]],[1]Sheet1!$A$3:$F$37,3,FALSE)</f>
        <v>3344400</v>
      </c>
      <c r="K533">
        <v>0</v>
      </c>
      <c r="L533" s="4">
        <v>1.4851829999999999</v>
      </c>
      <c r="M533" s="4">
        <v>102.438058</v>
      </c>
      <c r="N533" s="13">
        <v>4.5999999999999996</v>
      </c>
      <c r="P533"/>
      <c r="Q533" s="12"/>
      <c r="R533" s="12"/>
    </row>
    <row r="534" spans="1:18" x14ac:dyDescent="0.2">
      <c r="A534">
        <v>5</v>
      </c>
      <c r="B534" t="s">
        <v>8</v>
      </c>
      <c r="C534">
        <v>2017</v>
      </c>
      <c r="D534">
        <v>5</v>
      </c>
      <c r="E534" s="4">
        <v>0</v>
      </c>
      <c r="F534" s="9">
        <v>0</v>
      </c>
      <c r="G534" s="6">
        <v>984</v>
      </c>
      <c r="H534" s="9">
        <f t="shared" si="8"/>
        <v>0</v>
      </c>
      <c r="I534" s="6">
        <v>14663</v>
      </c>
      <c r="J534" s="6">
        <f>VLOOKUP(Table1[[#This Row],[Province]],[1]Sheet1!$A$3:$F$37,3,FALSE)</f>
        <v>3344400</v>
      </c>
      <c r="K534">
        <v>1</v>
      </c>
      <c r="L534" s="4">
        <v>1.4851829999999999</v>
      </c>
      <c r="M534" s="4">
        <v>102.438058</v>
      </c>
      <c r="N534" s="13">
        <v>4.5999999999999996</v>
      </c>
      <c r="P534"/>
      <c r="Q534" s="12"/>
      <c r="R534" s="12"/>
    </row>
    <row r="535" spans="1:18" x14ac:dyDescent="0.2">
      <c r="A535">
        <v>5</v>
      </c>
      <c r="B535" t="s">
        <v>8</v>
      </c>
      <c r="C535">
        <v>2017</v>
      </c>
      <c r="D535">
        <v>6</v>
      </c>
      <c r="E535" s="4">
        <v>0</v>
      </c>
      <c r="F535" s="9">
        <v>0</v>
      </c>
      <c r="G535" s="6">
        <v>1820</v>
      </c>
      <c r="H535" s="9">
        <f t="shared" si="8"/>
        <v>0</v>
      </c>
      <c r="I535" s="6">
        <v>12600</v>
      </c>
      <c r="J535" s="6">
        <f>VLOOKUP(Table1[[#This Row],[Province]],[1]Sheet1!$A$3:$F$37,3,FALSE)</f>
        <v>3344400</v>
      </c>
      <c r="K535">
        <v>0</v>
      </c>
      <c r="L535" s="4">
        <v>1.4851829999999999</v>
      </c>
      <c r="M535" s="4">
        <v>102.438058</v>
      </c>
      <c r="N535" s="13">
        <v>4.5999999999999996</v>
      </c>
      <c r="P535"/>
      <c r="Q535" s="12"/>
      <c r="R535" s="12"/>
    </row>
    <row r="536" spans="1:18" x14ac:dyDescent="0.2">
      <c r="A536">
        <v>5</v>
      </c>
      <c r="B536" t="s">
        <v>8</v>
      </c>
      <c r="C536">
        <v>2017</v>
      </c>
      <c r="D536">
        <v>7</v>
      </c>
      <c r="E536" s="4">
        <v>0</v>
      </c>
      <c r="F536" s="9">
        <v>0</v>
      </c>
      <c r="G536" s="6">
        <v>2026</v>
      </c>
      <c r="H536" s="9">
        <f t="shared" si="8"/>
        <v>0</v>
      </c>
      <c r="I536" s="6">
        <v>12500</v>
      </c>
      <c r="J536" s="6">
        <f>VLOOKUP(Table1[[#This Row],[Province]],[1]Sheet1!$A$3:$F$37,3,FALSE)</f>
        <v>3344400</v>
      </c>
      <c r="K536">
        <v>0</v>
      </c>
      <c r="L536" s="4">
        <v>1.4851829999999999</v>
      </c>
      <c r="M536" s="4">
        <v>102.438058</v>
      </c>
      <c r="N536" s="13">
        <v>4.5999999999999996</v>
      </c>
      <c r="P536"/>
      <c r="Q536" s="12"/>
      <c r="R536" s="12"/>
    </row>
    <row r="537" spans="1:18" x14ac:dyDescent="0.2">
      <c r="A537">
        <v>5</v>
      </c>
      <c r="B537" t="s">
        <v>8</v>
      </c>
      <c r="C537">
        <v>2017</v>
      </c>
      <c r="D537">
        <v>8</v>
      </c>
      <c r="E537" s="4">
        <v>0</v>
      </c>
      <c r="F537" s="9">
        <v>0</v>
      </c>
      <c r="G537" s="6">
        <v>3883</v>
      </c>
      <c r="H537" s="9">
        <f t="shared" si="8"/>
        <v>0</v>
      </c>
      <c r="I537" s="6">
        <v>12500</v>
      </c>
      <c r="J537" s="6">
        <f>VLOOKUP(Table1[[#This Row],[Province]],[1]Sheet1!$A$3:$F$37,3,FALSE)</f>
        <v>3344400</v>
      </c>
      <c r="K537">
        <v>0</v>
      </c>
      <c r="L537" s="4">
        <v>1.4851829999999999</v>
      </c>
      <c r="M537" s="4">
        <v>102.438058</v>
      </c>
      <c r="N537" s="13">
        <v>4.5999999999999996</v>
      </c>
      <c r="P537"/>
      <c r="Q537" s="12"/>
      <c r="R537" s="12"/>
    </row>
    <row r="538" spans="1:18" x14ac:dyDescent="0.2">
      <c r="A538">
        <v>5</v>
      </c>
      <c r="B538" t="s">
        <v>8</v>
      </c>
      <c r="C538">
        <v>2017</v>
      </c>
      <c r="D538">
        <v>9</v>
      </c>
      <c r="E538" s="4">
        <v>0</v>
      </c>
      <c r="F538" s="9">
        <v>0</v>
      </c>
      <c r="G538" s="6">
        <v>3763</v>
      </c>
      <c r="H538" s="9">
        <f t="shared" si="8"/>
        <v>0</v>
      </c>
      <c r="I538" s="6">
        <v>12500</v>
      </c>
      <c r="J538" s="6">
        <f>VLOOKUP(Table1[[#This Row],[Province]],[1]Sheet1!$A$3:$F$37,3,FALSE)</f>
        <v>3344400</v>
      </c>
      <c r="K538">
        <v>0</v>
      </c>
      <c r="L538" s="4">
        <v>1.4851829999999999</v>
      </c>
      <c r="M538" s="4">
        <v>102.438058</v>
      </c>
      <c r="N538" s="13">
        <v>4.5999999999999996</v>
      </c>
      <c r="P538"/>
      <c r="Q538" s="12"/>
      <c r="R538" s="12"/>
    </row>
    <row r="539" spans="1:18" x14ac:dyDescent="0.2">
      <c r="A539">
        <v>5</v>
      </c>
      <c r="B539" t="s">
        <v>8</v>
      </c>
      <c r="C539">
        <v>2017</v>
      </c>
      <c r="D539">
        <v>10</v>
      </c>
      <c r="E539" s="4">
        <v>0</v>
      </c>
      <c r="F539" s="9">
        <v>0</v>
      </c>
      <c r="G539" s="6">
        <v>4884</v>
      </c>
      <c r="H539" s="9">
        <f t="shared" si="8"/>
        <v>0</v>
      </c>
      <c r="I539" s="6">
        <v>12500</v>
      </c>
      <c r="J539" s="6">
        <f>VLOOKUP(Table1[[#This Row],[Province]],[1]Sheet1!$A$3:$F$37,3,FALSE)</f>
        <v>3344400</v>
      </c>
      <c r="K539">
        <v>0</v>
      </c>
      <c r="L539" s="4">
        <v>1.4851829999999999</v>
      </c>
      <c r="M539" s="4">
        <v>102.438058</v>
      </c>
      <c r="N539" s="13">
        <v>4.5999999999999996</v>
      </c>
      <c r="P539"/>
      <c r="Q539" s="12"/>
      <c r="R539" s="12"/>
    </row>
    <row r="540" spans="1:18" x14ac:dyDescent="0.2">
      <c r="A540">
        <v>5</v>
      </c>
      <c r="B540" t="s">
        <v>8</v>
      </c>
      <c r="C540">
        <v>2017</v>
      </c>
      <c r="D540">
        <v>11</v>
      </c>
      <c r="E540" s="4">
        <v>0</v>
      </c>
      <c r="F540" s="9">
        <v>0</v>
      </c>
      <c r="G540" s="6">
        <v>1276</v>
      </c>
      <c r="H540" s="9">
        <f t="shared" si="8"/>
        <v>0</v>
      </c>
      <c r="I540" s="6">
        <v>12500</v>
      </c>
      <c r="J540" s="6">
        <f>VLOOKUP(Table1[[#This Row],[Province]],[1]Sheet1!$A$3:$F$37,3,FALSE)</f>
        <v>3344400</v>
      </c>
      <c r="K540">
        <v>0</v>
      </c>
      <c r="L540" s="4">
        <v>1.4851829999999999</v>
      </c>
      <c r="M540" s="4">
        <v>102.438058</v>
      </c>
      <c r="N540" s="13">
        <v>4.5999999999999996</v>
      </c>
      <c r="P540"/>
      <c r="Q540" s="12"/>
      <c r="R540" s="12"/>
    </row>
    <row r="541" spans="1:18" x14ac:dyDescent="0.2">
      <c r="A541">
        <v>5</v>
      </c>
      <c r="B541" t="s">
        <v>8</v>
      </c>
      <c r="C541">
        <v>2017</v>
      </c>
      <c r="D541">
        <v>12</v>
      </c>
      <c r="E541" s="4">
        <v>0</v>
      </c>
      <c r="F541" s="9">
        <v>0</v>
      </c>
      <c r="G541" s="6">
        <v>2378</v>
      </c>
      <c r="H541" s="9">
        <f t="shared" si="8"/>
        <v>0</v>
      </c>
      <c r="I541" s="6">
        <v>12500</v>
      </c>
      <c r="J541" s="6">
        <f>VLOOKUP(Table1[[#This Row],[Province]],[1]Sheet1!$A$3:$F$37,3,FALSE)</f>
        <v>3344400</v>
      </c>
      <c r="K541">
        <v>1</v>
      </c>
      <c r="L541" s="4">
        <v>1.4851829999999999</v>
      </c>
      <c r="M541" s="4">
        <v>102.438058</v>
      </c>
      <c r="N541" s="13">
        <v>4.5999999999999996</v>
      </c>
      <c r="P541"/>
      <c r="Q541" s="12"/>
      <c r="R541" s="12"/>
    </row>
    <row r="542" spans="1:18" x14ac:dyDescent="0.2">
      <c r="A542">
        <v>5</v>
      </c>
      <c r="B542" t="s">
        <v>8</v>
      </c>
      <c r="C542">
        <v>2018</v>
      </c>
      <c r="D542">
        <v>1</v>
      </c>
      <c r="E542" s="4">
        <v>0</v>
      </c>
      <c r="F542" s="9">
        <v>0</v>
      </c>
      <c r="G542" s="6">
        <v>3801</v>
      </c>
      <c r="H542" s="9">
        <f t="shared" si="8"/>
        <v>0</v>
      </c>
      <c r="I542" s="6">
        <v>12216</v>
      </c>
      <c r="J542" s="6">
        <f>VLOOKUP(Table1[[#This Row],[Province]],[1]Sheet1!$A$3:$F$37,3,FALSE)</f>
        <v>3344400</v>
      </c>
      <c r="K542">
        <v>0</v>
      </c>
      <c r="L542" s="4">
        <v>1.4851829999999999</v>
      </c>
      <c r="M542" s="4">
        <v>102.438058</v>
      </c>
      <c r="N542" s="13">
        <v>4.6900000000000004</v>
      </c>
      <c r="P542"/>
      <c r="Q542" s="12"/>
      <c r="R542" s="12"/>
    </row>
    <row r="543" spans="1:18" x14ac:dyDescent="0.2">
      <c r="A543">
        <v>5</v>
      </c>
      <c r="B543" t="s">
        <v>8</v>
      </c>
      <c r="C543">
        <v>2018</v>
      </c>
      <c r="D543">
        <v>2</v>
      </c>
      <c r="E543" s="4">
        <v>0</v>
      </c>
      <c r="F543" s="9">
        <v>0</v>
      </c>
      <c r="G543" s="6">
        <v>3094</v>
      </c>
      <c r="H543" s="9">
        <f t="shared" si="8"/>
        <v>0</v>
      </c>
      <c r="I543" s="6">
        <v>12250</v>
      </c>
      <c r="J543" s="6">
        <f>VLOOKUP(Table1[[#This Row],[Province]],[1]Sheet1!$A$3:$F$37,3,FALSE)</f>
        <v>3344400</v>
      </c>
      <c r="K543">
        <v>0</v>
      </c>
      <c r="L543" s="4">
        <v>1.4851829999999999</v>
      </c>
      <c r="M543" s="4">
        <v>102.438058</v>
      </c>
      <c r="N543" s="13">
        <v>4.6900000000000004</v>
      </c>
      <c r="P543"/>
      <c r="Q543" s="12"/>
      <c r="R543" s="12"/>
    </row>
    <row r="544" spans="1:18" x14ac:dyDescent="0.2">
      <c r="A544">
        <v>5</v>
      </c>
      <c r="B544" t="s">
        <v>8</v>
      </c>
      <c r="C544">
        <v>2018</v>
      </c>
      <c r="D544">
        <v>3</v>
      </c>
      <c r="E544" s="4">
        <v>0</v>
      </c>
      <c r="F544" s="9">
        <v>0</v>
      </c>
      <c r="G544" s="6">
        <v>3157</v>
      </c>
      <c r="H544" s="9">
        <f t="shared" si="8"/>
        <v>0</v>
      </c>
      <c r="I544" s="6">
        <v>12238</v>
      </c>
      <c r="J544" s="6">
        <f>VLOOKUP(Table1[[#This Row],[Province]],[1]Sheet1!$A$3:$F$37,3,FALSE)</f>
        <v>3344400</v>
      </c>
      <c r="K544">
        <v>0</v>
      </c>
      <c r="L544" s="4">
        <v>1.4851829999999999</v>
      </c>
      <c r="M544" s="4">
        <v>102.438058</v>
      </c>
      <c r="N544" s="13">
        <v>4.6900000000000004</v>
      </c>
      <c r="P544"/>
      <c r="Q544" s="12"/>
      <c r="R544" s="12"/>
    </row>
    <row r="545" spans="1:18" x14ac:dyDescent="0.2">
      <c r="A545">
        <v>5</v>
      </c>
      <c r="B545" t="s">
        <v>8</v>
      </c>
      <c r="C545">
        <v>2018</v>
      </c>
      <c r="D545">
        <v>4</v>
      </c>
      <c r="E545" s="4">
        <v>0</v>
      </c>
      <c r="F545" s="9">
        <v>0</v>
      </c>
      <c r="G545" s="6">
        <v>3653</v>
      </c>
      <c r="H545" s="9">
        <f t="shared" si="8"/>
        <v>0</v>
      </c>
      <c r="I545" s="6">
        <v>12226</v>
      </c>
      <c r="J545" s="6">
        <f>VLOOKUP(Table1[[#This Row],[Province]],[1]Sheet1!$A$3:$F$37,3,FALSE)</f>
        <v>3344400</v>
      </c>
      <c r="K545">
        <v>0</v>
      </c>
      <c r="L545" s="4">
        <v>1.4851829999999999</v>
      </c>
      <c r="M545" s="4">
        <v>102.438058</v>
      </c>
      <c r="N545" s="13">
        <v>4.6900000000000004</v>
      </c>
      <c r="P545"/>
      <c r="Q545" s="12"/>
      <c r="R545" s="12"/>
    </row>
    <row r="546" spans="1:18" x14ac:dyDescent="0.2">
      <c r="A546">
        <v>5</v>
      </c>
      <c r="B546" t="s">
        <v>8</v>
      </c>
      <c r="C546">
        <v>2018</v>
      </c>
      <c r="D546">
        <v>5</v>
      </c>
      <c r="E546" s="4">
        <v>0</v>
      </c>
      <c r="F546" s="9">
        <v>0</v>
      </c>
      <c r="G546" s="6">
        <v>3467</v>
      </c>
      <c r="H546" s="9">
        <f t="shared" si="8"/>
        <v>0</v>
      </c>
      <c r="I546" s="6">
        <v>12000</v>
      </c>
      <c r="J546" s="6">
        <f>VLOOKUP(Table1[[#This Row],[Province]],[1]Sheet1!$A$3:$F$37,3,FALSE)</f>
        <v>3344400</v>
      </c>
      <c r="K546">
        <v>1</v>
      </c>
      <c r="L546" s="4">
        <v>1.4851829999999999</v>
      </c>
      <c r="M546" s="4">
        <v>102.438058</v>
      </c>
      <c r="N546" s="13">
        <v>4.6900000000000004</v>
      </c>
      <c r="P546"/>
      <c r="Q546" s="12"/>
      <c r="R546" s="12"/>
    </row>
    <row r="547" spans="1:18" x14ac:dyDescent="0.2">
      <c r="A547">
        <v>5</v>
      </c>
      <c r="B547" t="s">
        <v>8</v>
      </c>
      <c r="C547">
        <v>2018</v>
      </c>
      <c r="D547">
        <v>6</v>
      </c>
      <c r="E547" s="4">
        <v>0</v>
      </c>
      <c r="F547" s="9">
        <v>0</v>
      </c>
      <c r="G547" s="6">
        <v>5484</v>
      </c>
      <c r="H547" s="9">
        <f t="shared" si="8"/>
        <v>0</v>
      </c>
      <c r="I547" s="6">
        <v>12000</v>
      </c>
      <c r="J547" s="6">
        <f>VLOOKUP(Table1[[#This Row],[Province]],[1]Sheet1!$A$3:$F$37,3,FALSE)</f>
        <v>3344400</v>
      </c>
      <c r="K547">
        <v>0</v>
      </c>
      <c r="L547" s="4">
        <v>1.4851829999999999</v>
      </c>
      <c r="M547" s="4">
        <v>102.438058</v>
      </c>
      <c r="N547" s="13">
        <v>4.6900000000000004</v>
      </c>
      <c r="P547"/>
      <c r="Q547" s="12"/>
      <c r="R547" s="12"/>
    </row>
    <row r="548" spans="1:18" x14ac:dyDescent="0.2">
      <c r="A548">
        <v>5</v>
      </c>
      <c r="B548" t="s">
        <v>8</v>
      </c>
      <c r="C548">
        <v>2018</v>
      </c>
      <c r="D548">
        <v>7</v>
      </c>
      <c r="E548" s="4">
        <v>0</v>
      </c>
      <c r="F548" s="9">
        <v>0</v>
      </c>
      <c r="G548" s="6">
        <v>2218</v>
      </c>
      <c r="H548" s="9">
        <f t="shared" si="8"/>
        <v>0</v>
      </c>
      <c r="I548" s="6">
        <v>12000</v>
      </c>
      <c r="J548" s="6">
        <f>VLOOKUP(Table1[[#This Row],[Province]],[1]Sheet1!$A$3:$F$37,3,FALSE)</f>
        <v>3344400</v>
      </c>
      <c r="K548">
        <v>0</v>
      </c>
      <c r="L548" s="4">
        <v>1.4851829999999999</v>
      </c>
      <c r="M548" s="4">
        <v>102.438058</v>
      </c>
      <c r="N548" s="13">
        <v>4.6900000000000004</v>
      </c>
      <c r="P548"/>
      <c r="Q548" s="12"/>
      <c r="R548" s="12"/>
    </row>
    <row r="549" spans="1:18" x14ac:dyDescent="0.2">
      <c r="A549">
        <v>5</v>
      </c>
      <c r="B549" t="s">
        <v>8</v>
      </c>
      <c r="C549">
        <v>2018</v>
      </c>
      <c r="D549">
        <v>8</v>
      </c>
      <c r="E549" s="4">
        <v>0</v>
      </c>
      <c r="F549" s="9">
        <v>0</v>
      </c>
      <c r="G549" s="6">
        <v>3321</v>
      </c>
      <c r="H549" s="9">
        <f t="shared" si="8"/>
        <v>0</v>
      </c>
      <c r="I549" s="6">
        <v>12000</v>
      </c>
      <c r="J549" s="6">
        <f>VLOOKUP(Table1[[#This Row],[Province]],[1]Sheet1!$A$3:$F$37,3,FALSE)</f>
        <v>3344400</v>
      </c>
      <c r="K549">
        <v>0</v>
      </c>
      <c r="L549" s="4">
        <v>1.4851829999999999</v>
      </c>
      <c r="M549" s="4">
        <v>102.438058</v>
      </c>
      <c r="N549" s="13">
        <v>4.6900000000000004</v>
      </c>
      <c r="P549"/>
      <c r="Q549" s="12"/>
      <c r="R549" s="12"/>
    </row>
    <row r="550" spans="1:18" x14ac:dyDescent="0.2">
      <c r="A550">
        <v>5</v>
      </c>
      <c r="B550" t="s">
        <v>8</v>
      </c>
      <c r="C550">
        <v>2018</v>
      </c>
      <c r="D550">
        <v>9</v>
      </c>
      <c r="E550" s="4">
        <v>0</v>
      </c>
      <c r="F550" s="9">
        <v>0</v>
      </c>
      <c r="G550" s="6">
        <v>3868</v>
      </c>
      <c r="H550" s="9">
        <f t="shared" si="8"/>
        <v>0</v>
      </c>
      <c r="I550" s="6">
        <v>11905</v>
      </c>
      <c r="J550" s="6">
        <f>VLOOKUP(Table1[[#This Row],[Province]],[1]Sheet1!$A$3:$F$37,3,FALSE)</f>
        <v>3344400</v>
      </c>
      <c r="K550">
        <v>0</v>
      </c>
      <c r="L550" s="4">
        <v>1.4851829999999999</v>
      </c>
      <c r="M550" s="4">
        <v>102.438058</v>
      </c>
      <c r="N550" s="13">
        <v>4.6900000000000004</v>
      </c>
      <c r="P550"/>
      <c r="Q550" s="12"/>
      <c r="R550" s="12"/>
    </row>
    <row r="551" spans="1:18" x14ac:dyDescent="0.2">
      <c r="A551">
        <v>5</v>
      </c>
      <c r="B551" t="s">
        <v>8</v>
      </c>
      <c r="C551">
        <v>2018</v>
      </c>
      <c r="D551">
        <v>10</v>
      </c>
      <c r="E551" s="4">
        <v>0</v>
      </c>
      <c r="F551" s="9">
        <v>0</v>
      </c>
      <c r="G551" s="6">
        <v>3386</v>
      </c>
      <c r="H551" s="9">
        <f t="shared" si="8"/>
        <v>0</v>
      </c>
      <c r="I551" s="6">
        <v>11666</v>
      </c>
      <c r="J551" s="6">
        <f>VLOOKUP(Table1[[#This Row],[Province]],[1]Sheet1!$A$3:$F$37,3,FALSE)</f>
        <v>3344400</v>
      </c>
      <c r="K551">
        <v>0</v>
      </c>
      <c r="L551" s="4">
        <v>1.4851829999999999</v>
      </c>
      <c r="M551" s="4">
        <v>102.438058</v>
      </c>
      <c r="N551" s="13">
        <v>4.6900000000000004</v>
      </c>
      <c r="P551"/>
      <c r="Q551" s="12"/>
      <c r="R551" s="12"/>
    </row>
    <row r="552" spans="1:18" x14ac:dyDescent="0.2">
      <c r="A552">
        <v>5</v>
      </c>
      <c r="B552" t="s">
        <v>8</v>
      </c>
      <c r="C552">
        <v>2018</v>
      </c>
      <c r="D552">
        <v>11</v>
      </c>
      <c r="E552" s="4">
        <v>0</v>
      </c>
      <c r="F552" s="9">
        <v>0</v>
      </c>
      <c r="G552" s="6">
        <v>4398</v>
      </c>
      <c r="H552" s="9">
        <f t="shared" si="8"/>
        <v>0</v>
      </c>
      <c r="I552" s="6">
        <v>11100</v>
      </c>
      <c r="J552" s="6">
        <f>VLOOKUP(Table1[[#This Row],[Province]],[1]Sheet1!$A$3:$F$37,3,FALSE)</f>
        <v>3344400</v>
      </c>
      <c r="K552">
        <v>0</v>
      </c>
      <c r="L552" s="4">
        <v>1.4851829999999999</v>
      </c>
      <c r="M552" s="4">
        <v>102.438058</v>
      </c>
      <c r="N552" s="13">
        <v>4.6900000000000004</v>
      </c>
      <c r="P552"/>
      <c r="Q552" s="12"/>
      <c r="R552" s="12"/>
    </row>
    <row r="553" spans="1:18" x14ac:dyDescent="0.2">
      <c r="A553">
        <v>5</v>
      </c>
      <c r="B553" t="s">
        <v>8</v>
      </c>
      <c r="C553">
        <v>2018</v>
      </c>
      <c r="D553">
        <v>12</v>
      </c>
      <c r="E553" s="4">
        <v>0</v>
      </c>
      <c r="F553" s="9">
        <v>0</v>
      </c>
      <c r="G553" s="6">
        <v>4643</v>
      </c>
      <c r="H553" s="9">
        <f t="shared" si="8"/>
        <v>0</v>
      </c>
      <c r="I553" s="6">
        <v>11549</v>
      </c>
      <c r="J553" s="6">
        <f>VLOOKUP(Table1[[#This Row],[Province]],[1]Sheet1!$A$3:$F$37,3,FALSE)</f>
        <v>3344400</v>
      </c>
      <c r="K553">
        <v>1</v>
      </c>
      <c r="L553" s="4">
        <v>1.4851829999999999</v>
      </c>
      <c r="M553" s="4">
        <v>102.438058</v>
      </c>
      <c r="N553" s="13">
        <v>4.6900000000000004</v>
      </c>
      <c r="P553"/>
      <c r="Q553" s="12"/>
      <c r="R553" s="12"/>
    </row>
    <row r="554" spans="1:18" x14ac:dyDescent="0.2">
      <c r="A554">
        <v>5</v>
      </c>
      <c r="B554" t="s">
        <v>8</v>
      </c>
      <c r="C554">
        <v>2019</v>
      </c>
      <c r="D554">
        <v>1</v>
      </c>
      <c r="E554" s="4">
        <v>0</v>
      </c>
      <c r="F554" s="9">
        <v>0</v>
      </c>
      <c r="G554" s="6">
        <v>2248</v>
      </c>
      <c r="H554" s="9">
        <f t="shared" si="8"/>
        <v>0</v>
      </c>
      <c r="I554" s="6">
        <v>11494</v>
      </c>
      <c r="J554" s="6">
        <f>VLOOKUP(Table1[[#This Row],[Province]],[1]Sheet1!$A$3:$F$37,3,FALSE)</f>
        <v>3344400</v>
      </c>
      <c r="K554">
        <v>0</v>
      </c>
      <c r="L554" s="4">
        <v>1.4851829999999999</v>
      </c>
      <c r="M554" s="4">
        <v>102.438058</v>
      </c>
      <c r="N554" s="13">
        <v>4.3499999999999996</v>
      </c>
      <c r="P554"/>
      <c r="Q554" s="12"/>
      <c r="R554" s="12"/>
    </row>
    <row r="555" spans="1:18" x14ac:dyDescent="0.2">
      <c r="A555">
        <v>5</v>
      </c>
      <c r="B555" t="s">
        <v>8</v>
      </c>
      <c r="C555">
        <v>2019</v>
      </c>
      <c r="D555">
        <v>2</v>
      </c>
      <c r="E555" s="4">
        <v>0</v>
      </c>
      <c r="F555" s="9">
        <v>0</v>
      </c>
      <c r="G555" s="6">
        <v>2643</v>
      </c>
      <c r="H555" s="9">
        <f t="shared" si="8"/>
        <v>0</v>
      </c>
      <c r="I555" s="6">
        <v>11468</v>
      </c>
      <c r="J555" s="6">
        <f>VLOOKUP(Table1[[#This Row],[Province]],[1]Sheet1!$A$3:$F$37,3,FALSE)</f>
        <v>3344400</v>
      </c>
      <c r="K555">
        <v>0</v>
      </c>
      <c r="L555" s="4">
        <v>1.4851829999999999</v>
      </c>
      <c r="M555" s="4">
        <v>102.438058</v>
      </c>
      <c r="N555" s="13">
        <v>4.3499999999999996</v>
      </c>
      <c r="P555"/>
      <c r="Q555" s="12"/>
      <c r="R555" s="12"/>
    </row>
    <row r="556" spans="1:18" x14ac:dyDescent="0.2">
      <c r="A556">
        <v>5</v>
      </c>
      <c r="B556" t="s">
        <v>8</v>
      </c>
      <c r="C556">
        <v>2019</v>
      </c>
      <c r="D556">
        <v>3</v>
      </c>
      <c r="E556" s="4">
        <v>0</v>
      </c>
      <c r="F556" s="9">
        <v>0</v>
      </c>
      <c r="G556" s="6">
        <v>3696</v>
      </c>
      <c r="H556" s="9">
        <f t="shared" si="8"/>
        <v>0</v>
      </c>
      <c r="I556" s="6">
        <v>11447</v>
      </c>
      <c r="J556" s="6">
        <f>VLOOKUP(Table1[[#This Row],[Province]],[1]Sheet1!$A$3:$F$37,3,FALSE)</f>
        <v>3344400</v>
      </c>
      <c r="K556">
        <v>0</v>
      </c>
      <c r="L556" s="4">
        <v>1.4851829999999999</v>
      </c>
      <c r="M556" s="4">
        <v>102.438058</v>
      </c>
      <c r="N556" s="13">
        <v>4.3499999999999996</v>
      </c>
      <c r="P556"/>
      <c r="Q556" s="12"/>
      <c r="R556" s="12"/>
    </row>
    <row r="557" spans="1:18" x14ac:dyDescent="0.2">
      <c r="A557">
        <v>5</v>
      </c>
      <c r="B557" t="s">
        <v>8</v>
      </c>
      <c r="C557">
        <v>2019</v>
      </c>
      <c r="D557">
        <v>4</v>
      </c>
      <c r="E557" s="4">
        <v>0</v>
      </c>
      <c r="F557" s="9">
        <v>0</v>
      </c>
      <c r="G557" s="6">
        <v>3269</v>
      </c>
      <c r="H557" s="9">
        <f t="shared" si="8"/>
        <v>0</v>
      </c>
      <c r="I557" s="6">
        <v>11744</v>
      </c>
      <c r="J557" s="6">
        <f>VLOOKUP(Table1[[#This Row],[Province]],[1]Sheet1!$A$3:$F$37,3,FALSE)</f>
        <v>3344400</v>
      </c>
      <c r="K557">
        <v>0</v>
      </c>
      <c r="L557" s="4">
        <v>1.4851829999999999</v>
      </c>
      <c r="M557" s="4">
        <v>102.438058</v>
      </c>
      <c r="N557" s="13">
        <v>4.3499999999999996</v>
      </c>
      <c r="P557"/>
      <c r="Q557" s="12"/>
      <c r="R557" s="12"/>
    </row>
    <row r="558" spans="1:18" x14ac:dyDescent="0.2">
      <c r="A558">
        <v>5</v>
      </c>
      <c r="B558" t="s">
        <v>8</v>
      </c>
      <c r="C558">
        <v>2019</v>
      </c>
      <c r="D558">
        <v>5</v>
      </c>
      <c r="E558" s="4">
        <v>0</v>
      </c>
      <c r="F558" s="9">
        <v>0</v>
      </c>
      <c r="G558" s="6">
        <v>2041</v>
      </c>
      <c r="H558" s="9">
        <f t="shared" si="8"/>
        <v>0</v>
      </c>
      <c r="I558" s="6">
        <v>12507</v>
      </c>
      <c r="J558" s="6">
        <f>VLOOKUP(Table1[[#This Row],[Province]],[1]Sheet1!$A$3:$F$37,3,FALSE)</f>
        <v>3344400</v>
      </c>
      <c r="K558">
        <v>1</v>
      </c>
      <c r="L558" s="4">
        <v>1.4851829999999999</v>
      </c>
      <c r="M558" s="4">
        <v>102.438058</v>
      </c>
      <c r="N558" s="13">
        <v>4.3499999999999996</v>
      </c>
      <c r="P558"/>
      <c r="Q558" s="12"/>
      <c r="R558" s="12"/>
    </row>
    <row r="559" spans="1:18" x14ac:dyDescent="0.2">
      <c r="A559">
        <v>5</v>
      </c>
      <c r="B559" t="s">
        <v>8</v>
      </c>
      <c r="C559">
        <v>2019</v>
      </c>
      <c r="D559">
        <v>5</v>
      </c>
      <c r="E559" s="4">
        <v>0</v>
      </c>
      <c r="F559" s="9">
        <v>0</v>
      </c>
      <c r="G559" s="6">
        <v>2995</v>
      </c>
      <c r="H559" s="9">
        <f t="shared" si="8"/>
        <v>0</v>
      </c>
      <c r="I559" s="6">
        <v>14788</v>
      </c>
      <c r="J559" s="6">
        <f>VLOOKUP(Table1[[#This Row],[Province]],[1]Sheet1!$A$3:$F$37,3,FALSE)</f>
        <v>3344400</v>
      </c>
      <c r="K559">
        <v>1</v>
      </c>
      <c r="L559" s="4">
        <v>1.4851829999999999</v>
      </c>
      <c r="M559" s="4">
        <v>102.438058</v>
      </c>
      <c r="N559" s="13">
        <v>4.3499999999999996</v>
      </c>
      <c r="P559"/>
      <c r="Q559" s="12"/>
      <c r="R559" s="12"/>
    </row>
    <row r="560" spans="1:18" x14ac:dyDescent="0.2">
      <c r="A560">
        <v>5</v>
      </c>
      <c r="B560" t="s">
        <v>8</v>
      </c>
      <c r="C560">
        <v>2019</v>
      </c>
      <c r="D560">
        <v>6</v>
      </c>
      <c r="E560" s="4">
        <v>0</v>
      </c>
      <c r="F560" s="9">
        <v>0</v>
      </c>
      <c r="G560" s="6">
        <v>2365</v>
      </c>
      <c r="H560" s="9">
        <f t="shared" si="8"/>
        <v>0</v>
      </c>
      <c r="I560" s="6">
        <v>12807</v>
      </c>
      <c r="J560" s="6">
        <f>VLOOKUP(Table1[[#This Row],[Province]],[1]Sheet1!$A$3:$F$37,3,FALSE)</f>
        <v>3344400</v>
      </c>
      <c r="K560">
        <v>0</v>
      </c>
      <c r="L560" s="4">
        <v>1.4851829999999999</v>
      </c>
      <c r="M560" s="4">
        <v>102.438058</v>
      </c>
      <c r="N560" s="13">
        <v>4.3499999999999996</v>
      </c>
      <c r="P560"/>
      <c r="Q560" s="12"/>
      <c r="R560" s="12"/>
    </row>
    <row r="561" spans="1:18" x14ac:dyDescent="0.2">
      <c r="A561">
        <v>5</v>
      </c>
      <c r="B561" t="s">
        <v>8</v>
      </c>
      <c r="C561">
        <v>2019</v>
      </c>
      <c r="D561">
        <v>7</v>
      </c>
      <c r="E561" s="4">
        <v>0</v>
      </c>
      <c r="F561" s="9">
        <v>0</v>
      </c>
      <c r="G561" s="6">
        <v>1926</v>
      </c>
      <c r="H561" s="9">
        <f t="shared" si="8"/>
        <v>0</v>
      </c>
      <c r="I561" s="6">
        <v>12751</v>
      </c>
      <c r="J561" s="6">
        <f>VLOOKUP(Table1[[#This Row],[Province]],[1]Sheet1!$A$3:$F$37,3,FALSE)</f>
        <v>3344400</v>
      </c>
      <c r="K561">
        <v>0</v>
      </c>
      <c r="L561" s="4">
        <v>1.4851829999999999</v>
      </c>
      <c r="M561" s="4">
        <v>102.438058</v>
      </c>
      <c r="N561" s="13">
        <v>4.3499999999999996</v>
      </c>
      <c r="P561"/>
      <c r="Q561" s="12"/>
      <c r="R561" s="12"/>
    </row>
    <row r="562" spans="1:18" x14ac:dyDescent="0.2">
      <c r="A562">
        <v>5</v>
      </c>
      <c r="B562" t="s">
        <v>8</v>
      </c>
      <c r="C562">
        <v>2019</v>
      </c>
      <c r="D562">
        <v>9</v>
      </c>
      <c r="E562" s="4">
        <v>0</v>
      </c>
      <c r="F562" s="9">
        <v>0</v>
      </c>
      <c r="G562" s="6">
        <v>2509</v>
      </c>
      <c r="H562" s="9">
        <f t="shared" si="8"/>
        <v>0</v>
      </c>
      <c r="I562" s="6">
        <v>12747</v>
      </c>
      <c r="J562" s="6">
        <f>VLOOKUP(Table1[[#This Row],[Province]],[1]Sheet1!$A$3:$F$37,3,FALSE)</f>
        <v>3344400</v>
      </c>
      <c r="K562">
        <v>0</v>
      </c>
      <c r="L562" s="4">
        <v>1.4851829999999999</v>
      </c>
      <c r="M562" s="4">
        <v>102.438058</v>
      </c>
      <c r="N562" s="13">
        <v>4.3499999999999996</v>
      </c>
      <c r="P562"/>
      <c r="Q562" s="12"/>
      <c r="R562" s="12"/>
    </row>
    <row r="563" spans="1:18" x14ac:dyDescent="0.2">
      <c r="A563">
        <v>5</v>
      </c>
      <c r="B563" t="s">
        <v>8</v>
      </c>
      <c r="C563">
        <v>2019</v>
      </c>
      <c r="D563">
        <v>10</v>
      </c>
      <c r="E563" s="4">
        <v>0</v>
      </c>
      <c r="F563" s="9">
        <v>0</v>
      </c>
      <c r="G563" s="6">
        <v>1851</v>
      </c>
      <c r="H563" s="9">
        <f t="shared" si="8"/>
        <v>0</v>
      </c>
      <c r="I563" s="6">
        <v>12790</v>
      </c>
      <c r="J563" s="6">
        <f>VLOOKUP(Table1[[#This Row],[Province]],[1]Sheet1!$A$3:$F$37,3,FALSE)</f>
        <v>3344400</v>
      </c>
      <c r="K563">
        <v>0</v>
      </c>
      <c r="L563" s="4">
        <v>1.4851829999999999</v>
      </c>
      <c r="M563" s="4">
        <v>102.438058</v>
      </c>
      <c r="N563" s="13">
        <v>4.3499999999999996</v>
      </c>
      <c r="P563"/>
      <c r="Q563" s="12"/>
      <c r="R563" s="12"/>
    </row>
    <row r="564" spans="1:18" x14ac:dyDescent="0.2">
      <c r="A564">
        <v>5</v>
      </c>
      <c r="B564" t="s">
        <v>8</v>
      </c>
      <c r="C564">
        <v>2019</v>
      </c>
      <c r="D564">
        <v>11</v>
      </c>
      <c r="E564" s="4">
        <v>0</v>
      </c>
      <c r="F564" s="9">
        <v>0</v>
      </c>
      <c r="G564" s="6">
        <v>2225</v>
      </c>
      <c r="H564" s="9">
        <f t="shared" si="8"/>
        <v>0</v>
      </c>
      <c r="I564" s="6">
        <v>12673</v>
      </c>
      <c r="J564" s="6">
        <f>VLOOKUP(Table1[[#This Row],[Province]],[1]Sheet1!$A$3:$F$37,3,FALSE)</f>
        <v>3344400</v>
      </c>
      <c r="K564">
        <v>0</v>
      </c>
      <c r="L564" s="4">
        <v>1.4851829999999999</v>
      </c>
      <c r="M564" s="4">
        <v>102.438058</v>
      </c>
      <c r="N564" s="13">
        <v>4.3499999999999996</v>
      </c>
      <c r="P564"/>
      <c r="Q564" s="12"/>
      <c r="R564" s="12"/>
    </row>
    <row r="565" spans="1:18" x14ac:dyDescent="0.2">
      <c r="A565">
        <v>5</v>
      </c>
      <c r="B565" t="s">
        <v>8</v>
      </c>
      <c r="C565">
        <v>2019</v>
      </c>
      <c r="D565">
        <v>12</v>
      </c>
      <c r="E565" s="4">
        <v>0</v>
      </c>
      <c r="F565" s="9">
        <v>0</v>
      </c>
      <c r="G565" s="6">
        <v>1725</v>
      </c>
      <c r="H565" s="9">
        <f t="shared" si="8"/>
        <v>0</v>
      </c>
      <c r="I565" s="6">
        <v>12824</v>
      </c>
      <c r="J565" s="6">
        <f>VLOOKUP(Table1[[#This Row],[Province]],[1]Sheet1!$A$3:$F$37,3,FALSE)</f>
        <v>3344400</v>
      </c>
      <c r="K565">
        <v>1</v>
      </c>
      <c r="L565" s="4">
        <v>1.4851829999999999</v>
      </c>
      <c r="M565" s="4">
        <v>102.438058</v>
      </c>
      <c r="N565" s="13">
        <v>4.3499999999999996</v>
      </c>
      <c r="P565"/>
      <c r="Q565" s="12"/>
      <c r="R565" s="12"/>
    </row>
    <row r="566" spans="1:18" x14ac:dyDescent="0.2">
      <c r="A566">
        <v>5</v>
      </c>
      <c r="B566" t="s">
        <v>8</v>
      </c>
      <c r="C566">
        <v>2020</v>
      </c>
      <c r="D566">
        <v>1</v>
      </c>
      <c r="E566" s="4">
        <v>0</v>
      </c>
      <c r="F566" s="9">
        <v>0</v>
      </c>
      <c r="G566" s="6">
        <v>319</v>
      </c>
      <c r="H566" s="9">
        <f t="shared" si="8"/>
        <v>0</v>
      </c>
      <c r="I566" s="6">
        <v>13446</v>
      </c>
      <c r="J566" s="6">
        <f>VLOOKUP(Table1[[#This Row],[Province]],[1]Sheet1!$A$3:$F$37,3,FALSE)</f>
        <v>3344400</v>
      </c>
      <c r="K566">
        <v>0</v>
      </c>
      <c r="L566" s="4">
        <v>1.4851829999999999</v>
      </c>
      <c r="M566" s="4">
        <v>102.438058</v>
      </c>
      <c r="N566" s="13">
        <v>-0.51</v>
      </c>
      <c r="P566"/>
      <c r="Q566" s="12"/>
      <c r="R566" s="12"/>
    </row>
    <row r="567" spans="1:18" x14ac:dyDescent="0.2">
      <c r="A567">
        <v>5</v>
      </c>
      <c r="B567" t="s">
        <v>8</v>
      </c>
      <c r="C567">
        <v>2020</v>
      </c>
      <c r="D567">
        <v>2</v>
      </c>
      <c r="E567" s="4">
        <v>0</v>
      </c>
      <c r="F567" s="9">
        <v>0</v>
      </c>
      <c r="G567" s="6">
        <v>2029</v>
      </c>
      <c r="H567" s="9">
        <f t="shared" si="8"/>
        <v>0</v>
      </c>
      <c r="I567" s="6">
        <v>13833</v>
      </c>
      <c r="J567" s="6">
        <f>VLOOKUP(Table1[[#This Row],[Province]],[1]Sheet1!$A$3:$F$37,3,FALSE)</f>
        <v>3344400</v>
      </c>
      <c r="K567">
        <v>0</v>
      </c>
      <c r="L567" s="4">
        <v>1.4851829999999999</v>
      </c>
      <c r="M567" s="4">
        <v>102.438058</v>
      </c>
      <c r="N567" s="13">
        <v>-0.51</v>
      </c>
      <c r="P567"/>
      <c r="Q567" s="12"/>
      <c r="R567" s="12"/>
    </row>
    <row r="568" spans="1:18" x14ac:dyDescent="0.2">
      <c r="A568">
        <v>5</v>
      </c>
      <c r="B568" t="s">
        <v>8</v>
      </c>
      <c r="C568">
        <v>2020</v>
      </c>
      <c r="D568">
        <v>3</v>
      </c>
      <c r="E568" s="4">
        <v>0</v>
      </c>
      <c r="F568" s="9">
        <v>0</v>
      </c>
      <c r="G568" s="6">
        <v>2843</v>
      </c>
      <c r="H568" s="9">
        <f t="shared" si="8"/>
        <v>0</v>
      </c>
      <c r="I568" s="6">
        <v>16496</v>
      </c>
      <c r="J568" s="6">
        <f>VLOOKUP(Table1[[#This Row],[Province]],[1]Sheet1!$A$3:$F$37,3,FALSE)</f>
        <v>3344400</v>
      </c>
      <c r="K568">
        <v>0</v>
      </c>
      <c r="L568" s="4">
        <v>1.4851829999999999</v>
      </c>
      <c r="M568" s="4">
        <v>102.438058</v>
      </c>
      <c r="N568" s="13">
        <v>-0.51</v>
      </c>
      <c r="P568"/>
      <c r="Q568" s="12"/>
      <c r="R568" s="12"/>
    </row>
    <row r="569" spans="1:18" x14ac:dyDescent="0.2">
      <c r="A569">
        <v>5</v>
      </c>
      <c r="B569" t="s">
        <v>8</v>
      </c>
      <c r="C569">
        <v>2020</v>
      </c>
      <c r="D569">
        <v>4</v>
      </c>
      <c r="E569" s="4">
        <v>0</v>
      </c>
      <c r="F569" s="9">
        <v>0</v>
      </c>
      <c r="G569" s="6">
        <v>4156</v>
      </c>
      <c r="H569" s="9">
        <f t="shared" si="8"/>
        <v>0</v>
      </c>
      <c r="I569" s="6">
        <v>16945</v>
      </c>
      <c r="J569" s="6">
        <f>VLOOKUP(Table1[[#This Row],[Province]],[1]Sheet1!$A$3:$F$37,3,FALSE)</f>
        <v>3344400</v>
      </c>
      <c r="K569">
        <v>1</v>
      </c>
      <c r="L569" s="4">
        <v>1.4851829999999999</v>
      </c>
      <c r="M569" s="4">
        <v>102.438058</v>
      </c>
      <c r="N569" s="13">
        <v>-0.51</v>
      </c>
      <c r="P569"/>
      <c r="Q569" s="12"/>
      <c r="R569" s="12"/>
    </row>
    <row r="570" spans="1:18" x14ac:dyDescent="0.2">
      <c r="A570">
        <v>5</v>
      </c>
      <c r="B570" t="s">
        <v>8</v>
      </c>
      <c r="C570">
        <v>2020</v>
      </c>
      <c r="D570">
        <v>5</v>
      </c>
      <c r="E570" s="4">
        <v>0</v>
      </c>
      <c r="F570" s="9">
        <v>0</v>
      </c>
      <c r="G570" s="6">
        <v>2530</v>
      </c>
      <c r="H570" s="9">
        <f t="shared" si="8"/>
        <v>0</v>
      </c>
      <c r="I570" s="6">
        <v>16236</v>
      </c>
      <c r="J570" s="6">
        <f>VLOOKUP(Table1[[#This Row],[Province]],[1]Sheet1!$A$3:$F$37,3,FALSE)</f>
        <v>3344400</v>
      </c>
      <c r="K570">
        <v>0</v>
      </c>
      <c r="L570" s="4">
        <v>1.4851829999999999</v>
      </c>
      <c r="M570" s="4">
        <v>102.438058</v>
      </c>
      <c r="N570" s="13">
        <v>-0.51</v>
      </c>
      <c r="P570"/>
      <c r="Q570" s="12"/>
      <c r="R570" s="12"/>
    </row>
    <row r="571" spans="1:18" x14ac:dyDescent="0.2">
      <c r="A571">
        <v>5</v>
      </c>
      <c r="B571" t="s">
        <v>8</v>
      </c>
      <c r="C571">
        <v>2020</v>
      </c>
      <c r="D571">
        <v>6</v>
      </c>
      <c r="E571" s="4">
        <v>0</v>
      </c>
      <c r="F571" s="9">
        <v>0</v>
      </c>
      <c r="G571" s="6">
        <v>2529</v>
      </c>
      <c r="H571" s="9">
        <f t="shared" si="8"/>
        <v>0</v>
      </c>
      <c r="I571" s="6">
        <v>14080</v>
      </c>
      <c r="J571" s="6">
        <f>VLOOKUP(Table1[[#This Row],[Province]],[1]Sheet1!$A$3:$F$37,3,FALSE)</f>
        <v>3344400</v>
      </c>
      <c r="K571">
        <v>0</v>
      </c>
      <c r="L571" s="4">
        <v>1.4851829999999999</v>
      </c>
      <c r="M571" s="4">
        <v>102.438058</v>
      </c>
      <c r="N571" s="13">
        <v>-0.51</v>
      </c>
      <c r="P571"/>
      <c r="Q571" s="12"/>
      <c r="R571" s="12"/>
    </row>
    <row r="572" spans="1:18" x14ac:dyDescent="0.2">
      <c r="A572">
        <v>5</v>
      </c>
      <c r="B572" t="s">
        <v>8</v>
      </c>
      <c r="C572">
        <v>2020</v>
      </c>
      <c r="D572">
        <v>7</v>
      </c>
      <c r="E572" s="4">
        <v>0</v>
      </c>
      <c r="F572" s="9">
        <v>0</v>
      </c>
      <c r="G572" s="6">
        <v>1926</v>
      </c>
      <c r="H572" s="9">
        <f t="shared" si="8"/>
        <v>0</v>
      </c>
      <c r="I572" s="6">
        <v>12799</v>
      </c>
      <c r="J572" s="6">
        <f>VLOOKUP(Table1[[#This Row],[Province]],[1]Sheet1!$A$3:$F$37,3,FALSE)</f>
        <v>3344400</v>
      </c>
      <c r="K572">
        <v>0</v>
      </c>
      <c r="L572" s="4">
        <v>1.4851829999999999</v>
      </c>
      <c r="M572" s="4">
        <v>102.438058</v>
      </c>
      <c r="N572" s="13">
        <v>-0.51</v>
      </c>
      <c r="P572"/>
      <c r="Q572" s="12"/>
      <c r="R572" s="12"/>
    </row>
    <row r="573" spans="1:18" x14ac:dyDescent="0.2">
      <c r="A573">
        <v>5</v>
      </c>
      <c r="B573" t="s">
        <v>8</v>
      </c>
      <c r="C573">
        <v>2020</v>
      </c>
      <c r="D573">
        <v>8</v>
      </c>
      <c r="E573" s="4">
        <v>0</v>
      </c>
      <c r="F573" s="9">
        <v>0</v>
      </c>
      <c r="G573" s="6">
        <v>3042</v>
      </c>
      <c r="H573" s="9">
        <f t="shared" si="8"/>
        <v>0</v>
      </c>
      <c r="I573" s="6">
        <v>12666</v>
      </c>
      <c r="J573" s="6">
        <f>VLOOKUP(Table1[[#This Row],[Province]],[1]Sheet1!$A$3:$F$37,3,FALSE)</f>
        <v>3344400</v>
      </c>
      <c r="K573">
        <v>0</v>
      </c>
      <c r="L573" s="4">
        <v>1.4851829999999999</v>
      </c>
      <c r="M573" s="4">
        <v>102.438058</v>
      </c>
      <c r="N573" s="13">
        <v>-0.51</v>
      </c>
      <c r="P573"/>
      <c r="Q573" s="12"/>
      <c r="R573" s="12"/>
    </row>
    <row r="574" spans="1:18" x14ac:dyDescent="0.2">
      <c r="A574">
        <v>5</v>
      </c>
      <c r="B574" t="s">
        <v>8</v>
      </c>
      <c r="C574">
        <v>2020</v>
      </c>
      <c r="D574">
        <v>9</v>
      </c>
      <c r="E574" s="4">
        <v>0</v>
      </c>
      <c r="F574" s="9">
        <v>0</v>
      </c>
      <c r="G574" s="6">
        <v>1722</v>
      </c>
      <c r="H574" s="9">
        <f t="shared" si="8"/>
        <v>0</v>
      </c>
      <c r="I574" s="6">
        <v>12781</v>
      </c>
      <c r="J574" s="6">
        <f>VLOOKUP(Table1[[#This Row],[Province]],[1]Sheet1!$A$3:$F$37,3,FALSE)</f>
        <v>3344400</v>
      </c>
      <c r="K574">
        <v>0</v>
      </c>
      <c r="L574" s="4">
        <v>1.4851829999999999</v>
      </c>
      <c r="M574" s="4">
        <v>102.438058</v>
      </c>
      <c r="N574" s="13">
        <v>-0.51</v>
      </c>
      <c r="P574"/>
      <c r="Q574" s="12"/>
      <c r="R574" s="12"/>
    </row>
    <row r="575" spans="1:18" x14ac:dyDescent="0.2">
      <c r="A575">
        <v>5</v>
      </c>
      <c r="B575" t="s">
        <v>8</v>
      </c>
      <c r="C575">
        <v>2020</v>
      </c>
      <c r="D575">
        <v>10</v>
      </c>
      <c r="E575" s="4">
        <v>0</v>
      </c>
      <c r="F575" s="9">
        <v>0</v>
      </c>
      <c r="G575" s="6">
        <v>2104</v>
      </c>
      <c r="H575" s="9">
        <f t="shared" si="8"/>
        <v>0</v>
      </c>
      <c r="I575" s="6">
        <v>12833</v>
      </c>
      <c r="J575" s="6">
        <f>VLOOKUP(Table1[[#This Row],[Province]],[1]Sheet1!$A$3:$F$37,3,FALSE)</f>
        <v>3344400</v>
      </c>
      <c r="K575">
        <v>0</v>
      </c>
      <c r="L575" s="4">
        <v>1.4851829999999999</v>
      </c>
      <c r="M575" s="4">
        <v>102.438058</v>
      </c>
      <c r="N575" s="13">
        <v>-0.51</v>
      </c>
      <c r="P575"/>
      <c r="Q575" s="12"/>
      <c r="R575" s="12"/>
    </row>
    <row r="576" spans="1:18" x14ac:dyDescent="0.2">
      <c r="A576">
        <v>5</v>
      </c>
      <c r="B576" t="s">
        <v>8</v>
      </c>
      <c r="C576">
        <v>2020</v>
      </c>
      <c r="D576">
        <v>11</v>
      </c>
      <c r="E576" s="4">
        <v>0</v>
      </c>
      <c r="F576" s="9">
        <v>3.0000000000000001E-3</v>
      </c>
      <c r="G576" s="6">
        <v>3438</v>
      </c>
      <c r="H576" s="9">
        <f t="shared" si="8"/>
        <v>3.0000000000000001E-3</v>
      </c>
      <c r="I576" s="6">
        <v>12833</v>
      </c>
      <c r="J576" s="6">
        <f>VLOOKUP(Table1[[#This Row],[Province]],[1]Sheet1!$A$3:$F$37,3,FALSE)</f>
        <v>3344400</v>
      </c>
      <c r="K576">
        <v>0</v>
      </c>
      <c r="L576" s="4">
        <v>1.4851829999999999</v>
      </c>
      <c r="M576" s="4">
        <v>102.438058</v>
      </c>
      <c r="N576" s="13">
        <v>-0.51</v>
      </c>
      <c r="P576"/>
      <c r="Q576" s="12"/>
      <c r="R576" s="12"/>
    </row>
    <row r="577" spans="1:18" x14ac:dyDescent="0.2">
      <c r="A577">
        <v>5</v>
      </c>
      <c r="B577" t="s">
        <v>8</v>
      </c>
      <c r="C577">
        <v>2020</v>
      </c>
      <c r="D577">
        <v>12</v>
      </c>
      <c r="E577" s="4">
        <v>0</v>
      </c>
      <c r="F577" s="9">
        <v>2E-3</v>
      </c>
      <c r="G577" s="6">
        <v>1922</v>
      </c>
      <c r="H577" s="9">
        <f t="shared" si="8"/>
        <v>2E-3</v>
      </c>
      <c r="I577" s="6">
        <v>12833</v>
      </c>
      <c r="J577" s="6">
        <f>VLOOKUP(Table1[[#This Row],[Province]],[1]Sheet1!$A$3:$F$37,3,FALSE)</f>
        <v>3344400</v>
      </c>
      <c r="K577">
        <v>1</v>
      </c>
      <c r="L577" s="4">
        <v>1.4851829999999999</v>
      </c>
      <c r="M577" s="4">
        <v>102.438058</v>
      </c>
      <c r="N577" s="13">
        <v>-0.51</v>
      </c>
      <c r="P577"/>
      <c r="Q577" s="12"/>
      <c r="R577" s="12"/>
    </row>
    <row r="578" spans="1:18" x14ac:dyDescent="0.2">
      <c r="A578">
        <v>5</v>
      </c>
      <c r="B578" t="s">
        <v>8</v>
      </c>
      <c r="C578">
        <v>2021</v>
      </c>
      <c r="D578">
        <v>1</v>
      </c>
      <c r="E578" s="4">
        <v>0</v>
      </c>
      <c r="F578" s="9">
        <v>0</v>
      </c>
      <c r="G578" s="6">
        <v>2406</v>
      </c>
      <c r="H578" s="9">
        <f t="shared" ref="H578:H641" si="9">F578+E578</f>
        <v>0</v>
      </c>
      <c r="I578" s="6">
        <v>12833</v>
      </c>
      <c r="J578" s="6">
        <f>VLOOKUP(Table1[[#This Row],[Province]],[1]Sheet1!$A$3:$F$37,3,FALSE)</f>
        <v>3344400</v>
      </c>
      <c r="K578">
        <v>0</v>
      </c>
      <c r="L578" s="4">
        <v>1.4851829999999999</v>
      </c>
      <c r="M578" s="4">
        <v>102.438058</v>
      </c>
      <c r="N578" s="13">
        <v>3.7</v>
      </c>
      <c r="P578"/>
      <c r="Q578" s="12"/>
      <c r="R578" s="12"/>
    </row>
    <row r="579" spans="1:18" x14ac:dyDescent="0.2">
      <c r="A579">
        <v>5</v>
      </c>
      <c r="B579" t="s">
        <v>8</v>
      </c>
      <c r="C579">
        <v>2021</v>
      </c>
      <c r="D579">
        <v>2</v>
      </c>
      <c r="E579" s="4">
        <v>0</v>
      </c>
      <c r="F579" s="9">
        <v>0</v>
      </c>
      <c r="G579" s="6">
        <v>3161</v>
      </c>
      <c r="H579" s="9">
        <f t="shared" si="9"/>
        <v>0</v>
      </c>
      <c r="I579" s="6">
        <v>12833</v>
      </c>
      <c r="J579" s="6">
        <f>VLOOKUP(Table1[[#This Row],[Province]],[1]Sheet1!$A$3:$F$37,3,FALSE)</f>
        <v>3344400</v>
      </c>
      <c r="K579">
        <v>0</v>
      </c>
      <c r="L579" s="4">
        <v>1.4851829999999999</v>
      </c>
      <c r="M579" s="4">
        <v>102.438058</v>
      </c>
      <c r="N579" s="13">
        <v>3.7</v>
      </c>
      <c r="P579"/>
      <c r="Q579" s="12"/>
      <c r="R579" s="12"/>
    </row>
    <row r="580" spans="1:18" x14ac:dyDescent="0.2">
      <c r="A580">
        <v>5</v>
      </c>
      <c r="B580" t="s">
        <v>8</v>
      </c>
      <c r="C580">
        <v>2021</v>
      </c>
      <c r="D580">
        <v>3</v>
      </c>
      <c r="E580" s="4">
        <v>0</v>
      </c>
      <c r="F580" s="9">
        <v>0</v>
      </c>
      <c r="G580" s="6">
        <v>2066</v>
      </c>
      <c r="H580" s="9">
        <f t="shared" si="9"/>
        <v>0</v>
      </c>
      <c r="I580" s="6">
        <v>12881</v>
      </c>
      <c r="J580" s="6">
        <f>VLOOKUP(Table1[[#This Row],[Province]],[1]Sheet1!$A$3:$F$37,3,FALSE)</f>
        <v>3344400</v>
      </c>
      <c r="K580">
        <v>0</v>
      </c>
      <c r="L580" s="4">
        <v>1.4851829999999999</v>
      </c>
      <c r="M580" s="4">
        <v>102.438058</v>
      </c>
      <c r="N580" s="13">
        <v>3.7</v>
      </c>
      <c r="P580"/>
      <c r="Q580" s="12"/>
      <c r="R580" s="12"/>
    </row>
    <row r="581" spans="1:18" x14ac:dyDescent="0.2">
      <c r="A581">
        <v>5</v>
      </c>
      <c r="B581" t="s">
        <v>8</v>
      </c>
      <c r="C581">
        <v>2021</v>
      </c>
      <c r="D581">
        <v>4</v>
      </c>
      <c r="E581" s="4">
        <v>0</v>
      </c>
      <c r="F581" s="9">
        <v>0</v>
      </c>
      <c r="G581" s="6">
        <v>5241</v>
      </c>
      <c r="H581" s="9">
        <f t="shared" si="9"/>
        <v>0</v>
      </c>
      <c r="I581" s="6">
        <v>13200</v>
      </c>
      <c r="J581" s="6">
        <f>VLOOKUP(Table1[[#This Row],[Province]],[1]Sheet1!$A$3:$F$37,3,FALSE)</f>
        <v>3344400</v>
      </c>
      <c r="K581">
        <v>1</v>
      </c>
      <c r="L581" s="4">
        <v>1.4851829999999999</v>
      </c>
      <c r="M581" s="4">
        <v>102.438058</v>
      </c>
      <c r="N581" s="13">
        <v>3.7</v>
      </c>
      <c r="P581"/>
      <c r="Q581" s="12"/>
      <c r="R581" s="12"/>
    </row>
    <row r="582" spans="1:18" x14ac:dyDescent="0.2">
      <c r="A582">
        <v>5</v>
      </c>
      <c r="B582" t="s">
        <v>8</v>
      </c>
      <c r="C582">
        <v>2021</v>
      </c>
      <c r="D582">
        <v>5</v>
      </c>
      <c r="E582" s="4">
        <v>0</v>
      </c>
      <c r="F582" s="9">
        <v>0</v>
      </c>
      <c r="G582" s="6">
        <v>2014</v>
      </c>
      <c r="H582" s="9">
        <f t="shared" si="9"/>
        <v>0</v>
      </c>
      <c r="I582" s="6">
        <v>13200</v>
      </c>
      <c r="J582" s="6">
        <f>VLOOKUP(Table1[[#This Row],[Province]],[1]Sheet1!$A$3:$F$37,3,FALSE)</f>
        <v>3344400</v>
      </c>
      <c r="K582">
        <v>0</v>
      </c>
      <c r="L582" s="4">
        <v>1.4851829999999999</v>
      </c>
      <c r="M582" s="4">
        <v>102.438058</v>
      </c>
      <c r="N582" s="13">
        <v>3.7</v>
      </c>
      <c r="P582"/>
      <c r="Q582" s="12"/>
      <c r="R582" s="12"/>
    </row>
    <row r="583" spans="1:18" x14ac:dyDescent="0.2">
      <c r="A583">
        <v>5</v>
      </c>
      <c r="B583" t="s">
        <v>8</v>
      </c>
      <c r="C583">
        <v>2021</v>
      </c>
      <c r="D583">
        <v>6</v>
      </c>
      <c r="E583" s="4">
        <v>0</v>
      </c>
      <c r="F583" s="9">
        <v>0</v>
      </c>
      <c r="G583" s="6">
        <v>4346</v>
      </c>
      <c r="H583" s="9">
        <f t="shared" si="9"/>
        <v>0</v>
      </c>
      <c r="I583" s="6">
        <v>13188</v>
      </c>
      <c r="J583" s="6">
        <f>VLOOKUP(Table1[[#This Row],[Province]],[1]Sheet1!$A$3:$F$37,3,FALSE)</f>
        <v>3344400</v>
      </c>
      <c r="K583">
        <v>0</v>
      </c>
      <c r="L583" s="4">
        <v>1.4851829999999999</v>
      </c>
      <c r="M583" s="4">
        <v>102.438058</v>
      </c>
      <c r="N583" s="13">
        <v>3.7</v>
      </c>
      <c r="P583"/>
      <c r="Q583" s="12"/>
      <c r="R583" s="12"/>
    </row>
    <row r="584" spans="1:18" x14ac:dyDescent="0.2">
      <c r="A584">
        <v>5</v>
      </c>
      <c r="B584" t="s">
        <v>8</v>
      </c>
      <c r="C584">
        <v>2021</v>
      </c>
      <c r="D584">
        <v>7</v>
      </c>
      <c r="E584" s="4">
        <v>0</v>
      </c>
      <c r="F584" s="9">
        <v>0</v>
      </c>
      <c r="G584" s="6">
        <v>2078</v>
      </c>
      <c r="H584" s="9">
        <f t="shared" si="9"/>
        <v>0</v>
      </c>
      <c r="I584" s="6">
        <v>13100</v>
      </c>
      <c r="J584" s="6">
        <f>VLOOKUP(Table1[[#This Row],[Province]],[1]Sheet1!$A$3:$F$37,3,FALSE)</f>
        <v>3344400</v>
      </c>
      <c r="K584">
        <v>0</v>
      </c>
      <c r="L584" s="4">
        <v>1.4851829999999999</v>
      </c>
      <c r="M584" s="4">
        <v>102.438058</v>
      </c>
      <c r="N584" s="13">
        <v>3.7</v>
      </c>
      <c r="P584"/>
      <c r="Q584" s="12"/>
      <c r="R584" s="12"/>
    </row>
    <row r="585" spans="1:18" x14ac:dyDescent="0.2">
      <c r="A585">
        <v>5</v>
      </c>
      <c r="B585" t="s">
        <v>8</v>
      </c>
      <c r="C585">
        <v>2021</v>
      </c>
      <c r="D585">
        <v>8</v>
      </c>
      <c r="E585" s="4">
        <v>0</v>
      </c>
      <c r="F585" s="9">
        <v>0</v>
      </c>
      <c r="G585" s="6">
        <v>3937</v>
      </c>
      <c r="H585" s="9">
        <f t="shared" si="9"/>
        <v>0</v>
      </c>
      <c r="I585" s="6">
        <v>12900</v>
      </c>
      <c r="J585" s="6">
        <f>VLOOKUP(Table1[[#This Row],[Province]],[1]Sheet1!$A$3:$F$37,3,FALSE)</f>
        <v>3344400</v>
      </c>
      <c r="K585">
        <v>0</v>
      </c>
      <c r="L585" s="4">
        <v>1.4851829999999999</v>
      </c>
      <c r="M585" s="4">
        <v>102.438058</v>
      </c>
      <c r="N585" s="13">
        <v>3.7</v>
      </c>
      <c r="P585"/>
      <c r="Q585" s="12"/>
      <c r="R585" s="12"/>
    </row>
    <row r="586" spans="1:18" x14ac:dyDescent="0.2">
      <c r="A586">
        <v>5</v>
      </c>
      <c r="B586" t="s">
        <v>8</v>
      </c>
      <c r="C586">
        <v>2021</v>
      </c>
      <c r="D586">
        <v>9</v>
      </c>
      <c r="E586" s="4">
        <v>0</v>
      </c>
      <c r="F586" s="9">
        <v>0</v>
      </c>
      <c r="G586" s="6">
        <v>2841</v>
      </c>
      <c r="H586" s="9">
        <f t="shared" si="9"/>
        <v>0</v>
      </c>
      <c r="I586" s="6">
        <v>12850</v>
      </c>
      <c r="J586" s="6">
        <f>VLOOKUP(Table1[[#This Row],[Province]],[1]Sheet1!$A$3:$F$37,3,FALSE)</f>
        <v>3344400</v>
      </c>
      <c r="K586">
        <v>0</v>
      </c>
      <c r="L586" s="4">
        <v>1.4851829999999999</v>
      </c>
      <c r="M586" s="4">
        <v>102.438058</v>
      </c>
      <c r="N586" s="13">
        <v>3.7</v>
      </c>
      <c r="P586"/>
      <c r="Q586" s="12"/>
      <c r="R586" s="12"/>
    </row>
    <row r="587" spans="1:18" x14ac:dyDescent="0.2">
      <c r="A587">
        <v>5</v>
      </c>
      <c r="B587" t="s">
        <v>8</v>
      </c>
      <c r="C587">
        <v>2021</v>
      </c>
      <c r="D587">
        <v>10</v>
      </c>
      <c r="E587" s="4">
        <v>0</v>
      </c>
      <c r="F587" s="9">
        <v>0</v>
      </c>
      <c r="G587" s="6">
        <v>1682</v>
      </c>
      <c r="H587" s="9">
        <f t="shared" si="9"/>
        <v>0</v>
      </c>
      <c r="I587" s="6">
        <v>12858</v>
      </c>
      <c r="J587" s="6">
        <f>VLOOKUP(Table1[[#This Row],[Province]],[1]Sheet1!$A$3:$F$37,3,FALSE)</f>
        <v>3344400</v>
      </c>
      <c r="K587">
        <v>0</v>
      </c>
      <c r="L587" s="4">
        <v>1.4851829999999999</v>
      </c>
      <c r="M587" s="4">
        <v>102.438058</v>
      </c>
      <c r="N587" s="13">
        <v>3.7</v>
      </c>
      <c r="P587"/>
      <c r="Q587" s="12"/>
      <c r="R587" s="12"/>
    </row>
    <row r="588" spans="1:18" x14ac:dyDescent="0.2">
      <c r="A588">
        <v>5</v>
      </c>
      <c r="B588" t="s">
        <v>8</v>
      </c>
      <c r="C588">
        <v>2021</v>
      </c>
      <c r="D588">
        <v>11</v>
      </c>
      <c r="E588" s="4">
        <v>0</v>
      </c>
      <c r="F588" s="9">
        <v>0</v>
      </c>
      <c r="G588" s="6">
        <v>1467</v>
      </c>
      <c r="H588" s="9">
        <f t="shared" si="9"/>
        <v>0</v>
      </c>
      <c r="I588" s="6">
        <v>12850</v>
      </c>
      <c r="J588" s="6">
        <f>VLOOKUP(Table1[[#This Row],[Province]],[1]Sheet1!$A$3:$F$37,3,FALSE)</f>
        <v>3344400</v>
      </c>
      <c r="K588">
        <v>0</v>
      </c>
      <c r="L588" s="4">
        <v>1.4851829999999999</v>
      </c>
      <c r="M588" s="4">
        <v>102.438058</v>
      </c>
      <c r="N588" s="13">
        <v>3.7</v>
      </c>
      <c r="P588"/>
      <c r="Q588" s="12"/>
      <c r="R588" s="12"/>
    </row>
    <row r="589" spans="1:18" x14ac:dyDescent="0.2">
      <c r="A589">
        <v>5</v>
      </c>
      <c r="B589" t="s">
        <v>8</v>
      </c>
      <c r="C589">
        <v>2021</v>
      </c>
      <c r="D589">
        <v>12</v>
      </c>
      <c r="E589" s="4">
        <v>0</v>
      </c>
      <c r="F589" s="9">
        <v>0</v>
      </c>
      <c r="G589" s="6">
        <v>929</v>
      </c>
      <c r="H589" s="9">
        <f t="shared" si="9"/>
        <v>0</v>
      </c>
      <c r="I589" s="6">
        <v>12863</v>
      </c>
      <c r="J589" s="6">
        <f>VLOOKUP(Table1[[#This Row],[Province]],[1]Sheet1!$A$3:$F$37,3,FALSE)</f>
        <v>3344400</v>
      </c>
      <c r="K589">
        <v>1</v>
      </c>
      <c r="L589" s="4">
        <v>1.4851829999999999</v>
      </c>
      <c r="M589" s="4">
        <v>102.438058</v>
      </c>
      <c r="N589" s="13">
        <v>3.7</v>
      </c>
      <c r="P589"/>
      <c r="Q589" s="12"/>
      <c r="R589" s="12"/>
    </row>
    <row r="590" spans="1:18" x14ac:dyDescent="0.2">
      <c r="A590">
        <v>5</v>
      </c>
      <c r="B590" t="s">
        <v>8</v>
      </c>
      <c r="C590">
        <v>2022</v>
      </c>
      <c r="D590">
        <v>1</v>
      </c>
      <c r="E590" s="6">
        <v>0</v>
      </c>
      <c r="F590" s="9">
        <v>0</v>
      </c>
      <c r="G590" s="6">
        <v>290</v>
      </c>
      <c r="H590" s="9">
        <f t="shared" si="9"/>
        <v>0</v>
      </c>
      <c r="I590" s="6">
        <v>13640</v>
      </c>
      <c r="J590" s="6">
        <f>VLOOKUP(Table1[[#This Row],[Province]],[1]Sheet1!$A$3:$F$37,3,FALSE)</f>
        <v>3344400</v>
      </c>
      <c r="K590">
        <v>0</v>
      </c>
      <c r="L590" s="4">
        <v>1.4851829999999999</v>
      </c>
      <c r="M590" s="4">
        <v>102.438058</v>
      </c>
      <c r="N590" s="13">
        <v>5.12</v>
      </c>
      <c r="P590"/>
      <c r="Q590" s="12"/>
      <c r="R590" s="12"/>
    </row>
    <row r="591" spans="1:18" x14ac:dyDescent="0.2">
      <c r="A591">
        <v>5</v>
      </c>
      <c r="B591" t="s">
        <v>8</v>
      </c>
      <c r="C591">
        <v>2022</v>
      </c>
      <c r="D591">
        <v>2</v>
      </c>
      <c r="E591" s="6">
        <v>0</v>
      </c>
      <c r="F591" s="9">
        <v>0</v>
      </c>
      <c r="G591" s="6">
        <v>1953</v>
      </c>
      <c r="H591" s="9">
        <f t="shared" si="9"/>
        <v>0</v>
      </c>
      <c r="I591" s="6">
        <v>14100</v>
      </c>
      <c r="J591" s="6">
        <f>VLOOKUP(Table1[[#This Row],[Province]],[1]Sheet1!$A$3:$F$37,3,FALSE)</f>
        <v>3344400</v>
      </c>
      <c r="K591">
        <v>0</v>
      </c>
      <c r="L591" s="4">
        <v>1.4851829999999999</v>
      </c>
      <c r="M591" s="4">
        <v>102.438058</v>
      </c>
      <c r="N591" s="13">
        <v>5.12</v>
      </c>
      <c r="P591"/>
      <c r="Q591" s="12"/>
      <c r="R591" s="12"/>
    </row>
    <row r="592" spans="1:18" x14ac:dyDescent="0.2">
      <c r="A592">
        <v>5</v>
      </c>
      <c r="B592" t="s">
        <v>8</v>
      </c>
      <c r="C592">
        <v>2022</v>
      </c>
      <c r="D592">
        <v>3</v>
      </c>
      <c r="E592" s="6">
        <v>0</v>
      </c>
      <c r="F592" s="9">
        <v>0</v>
      </c>
      <c r="G592" s="6">
        <v>433</v>
      </c>
      <c r="H592" s="9">
        <f t="shared" si="9"/>
        <v>0</v>
      </c>
      <c r="I592" s="6">
        <v>14100</v>
      </c>
      <c r="J592" s="6">
        <f>VLOOKUP(Table1[[#This Row],[Province]],[1]Sheet1!$A$3:$F$37,3,FALSE)</f>
        <v>3344400</v>
      </c>
      <c r="K592">
        <v>0</v>
      </c>
      <c r="L592" s="4">
        <v>1.4851829999999999</v>
      </c>
      <c r="M592" s="4">
        <v>102.438058</v>
      </c>
      <c r="N592" s="13">
        <v>5.12</v>
      </c>
      <c r="P592"/>
      <c r="Q592" s="12"/>
      <c r="R592" s="12"/>
    </row>
    <row r="593" spans="1:18" x14ac:dyDescent="0.2">
      <c r="A593">
        <v>5</v>
      </c>
      <c r="B593" t="s">
        <v>8</v>
      </c>
      <c r="C593">
        <v>2022</v>
      </c>
      <c r="D593">
        <v>4</v>
      </c>
      <c r="E593" s="6">
        <v>0</v>
      </c>
      <c r="F593" s="9">
        <v>0</v>
      </c>
      <c r="G593" s="6">
        <v>863</v>
      </c>
      <c r="H593" s="9">
        <f t="shared" si="9"/>
        <v>0</v>
      </c>
      <c r="I593" s="6">
        <v>14100</v>
      </c>
      <c r="J593" s="6">
        <f>VLOOKUP(Table1[[#This Row],[Province]],[1]Sheet1!$A$3:$F$37,3,FALSE)</f>
        <v>3344400</v>
      </c>
      <c r="K593">
        <v>1</v>
      </c>
      <c r="L593" s="4">
        <v>1.4851829999999999</v>
      </c>
      <c r="M593" s="4">
        <v>102.438058</v>
      </c>
      <c r="N593" s="13">
        <v>5.12</v>
      </c>
      <c r="P593"/>
      <c r="Q593" s="12"/>
      <c r="R593" s="12"/>
    </row>
    <row r="594" spans="1:18" x14ac:dyDescent="0.2">
      <c r="A594">
        <v>5</v>
      </c>
      <c r="B594" t="s">
        <v>8</v>
      </c>
      <c r="C594">
        <v>2022</v>
      </c>
      <c r="D594">
        <v>5</v>
      </c>
      <c r="E594" s="6">
        <v>0</v>
      </c>
      <c r="F594" s="9">
        <v>0</v>
      </c>
      <c r="G594" s="6">
        <v>2671</v>
      </c>
      <c r="H594" s="9">
        <f t="shared" si="9"/>
        <v>0</v>
      </c>
      <c r="I594" s="6">
        <v>14100</v>
      </c>
      <c r="J594" s="6">
        <f>VLOOKUP(Table1[[#This Row],[Province]],[1]Sheet1!$A$3:$F$37,3,FALSE)</f>
        <v>3344400</v>
      </c>
      <c r="K594">
        <v>0</v>
      </c>
      <c r="L594" s="4">
        <v>1.4851829999999999</v>
      </c>
      <c r="M594" s="4">
        <v>102.438058</v>
      </c>
      <c r="N594" s="13">
        <v>5.12</v>
      </c>
      <c r="P594"/>
      <c r="Q594" s="12"/>
      <c r="R594" s="12"/>
    </row>
    <row r="595" spans="1:18" x14ac:dyDescent="0.2">
      <c r="A595">
        <v>5</v>
      </c>
      <c r="B595" t="s">
        <v>8</v>
      </c>
      <c r="C595">
        <v>2022</v>
      </c>
      <c r="D595">
        <v>6</v>
      </c>
      <c r="E595" s="6">
        <v>0</v>
      </c>
      <c r="F595" s="9">
        <v>0</v>
      </c>
      <c r="G595" s="6">
        <v>1403</v>
      </c>
      <c r="H595" s="9">
        <f t="shared" si="9"/>
        <v>0</v>
      </c>
      <c r="I595" s="6">
        <v>14100</v>
      </c>
      <c r="J595" s="6">
        <f>VLOOKUP(Table1[[#This Row],[Province]],[1]Sheet1!$A$3:$F$37,3,FALSE)</f>
        <v>3344400</v>
      </c>
      <c r="K595">
        <v>0</v>
      </c>
      <c r="L595" s="4">
        <v>1.4851829999999999</v>
      </c>
      <c r="M595" s="4">
        <v>102.438058</v>
      </c>
      <c r="N595" s="13">
        <v>5.12</v>
      </c>
      <c r="P595"/>
      <c r="Q595" s="12"/>
      <c r="R595" s="12"/>
    </row>
    <row r="596" spans="1:18" x14ac:dyDescent="0.2">
      <c r="A596">
        <v>5</v>
      </c>
      <c r="B596" t="s">
        <v>8</v>
      </c>
      <c r="C596">
        <v>2022</v>
      </c>
      <c r="D596">
        <v>7</v>
      </c>
      <c r="E596" s="6">
        <v>0</v>
      </c>
      <c r="F596" s="9">
        <v>0</v>
      </c>
      <c r="G596" s="6">
        <v>4659</v>
      </c>
      <c r="H596" s="9">
        <f t="shared" si="9"/>
        <v>0</v>
      </c>
      <c r="I596" s="6">
        <v>14100</v>
      </c>
      <c r="J596" s="6">
        <f>VLOOKUP(Table1[[#This Row],[Province]],[1]Sheet1!$A$3:$F$37,3,FALSE)</f>
        <v>3344400</v>
      </c>
      <c r="K596">
        <v>0</v>
      </c>
      <c r="L596" s="4">
        <v>1.4851829999999999</v>
      </c>
      <c r="M596" s="4">
        <v>102.438058</v>
      </c>
      <c r="N596" s="13">
        <v>5.12</v>
      </c>
      <c r="P596"/>
      <c r="Q596" s="12"/>
      <c r="R596" s="12"/>
    </row>
    <row r="597" spans="1:18" x14ac:dyDescent="0.2">
      <c r="A597">
        <v>5</v>
      </c>
      <c r="B597" t="s">
        <v>8</v>
      </c>
      <c r="C597">
        <v>2022</v>
      </c>
      <c r="D597">
        <v>8</v>
      </c>
      <c r="E597" s="6">
        <v>0</v>
      </c>
      <c r="F597" s="9">
        <v>0</v>
      </c>
      <c r="G597" s="6">
        <v>2591</v>
      </c>
      <c r="H597" s="9">
        <f t="shared" si="9"/>
        <v>0</v>
      </c>
      <c r="I597" s="6">
        <v>14100</v>
      </c>
      <c r="J597" s="6">
        <f>VLOOKUP(Table1[[#This Row],[Province]],[1]Sheet1!$A$3:$F$37,3,FALSE)</f>
        <v>3344400</v>
      </c>
      <c r="K597">
        <v>0</v>
      </c>
      <c r="L597" s="4">
        <v>1.4851829999999999</v>
      </c>
      <c r="M597" s="4">
        <v>102.438058</v>
      </c>
      <c r="N597" s="13">
        <v>5.12</v>
      </c>
      <c r="P597"/>
      <c r="Q597" s="12"/>
      <c r="R597" s="12"/>
    </row>
    <row r="598" spans="1:18" x14ac:dyDescent="0.2">
      <c r="A598">
        <v>5</v>
      </c>
      <c r="B598" t="s">
        <v>8</v>
      </c>
      <c r="C598">
        <v>2022</v>
      </c>
      <c r="D598">
        <v>9</v>
      </c>
      <c r="E598" s="6">
        <v>0</v>
      </c>
      <c r="F598" s="9">
        <v>0</v>
      </c>
      <c r="G598" s="6">
        <v>3586</v>
      </c>
      <c r="H598" s="9">
        <f t="shared" si="9"/>
        <v>0</v>
      </c>
      <c r="I598" s="6">
        <v>13487</v>
      </c>
      <c r="J598" s="6">
        <f>VLOOKUP(Table1[[#This Row],[Province]],[1]Sheet1!$A$3:$F$37,3,FALSE)</f>
        <v>3344400</v>
      </c>
      <c r="K598">
        <v>0</v>
      </c>
      <c r="L598" s="4">
        <v>1.4851829999999999</v>
      </c>
      <c r="M598" s="4">
        <v>102.438058</v>
      </c>
      <c r="N598" s="13">
        <v>5.12</v>
      </c>
      <c r="P598"/>
      <c r="Q598" s="12"/>
      <c r="R598" s="12"/>
    </row>
    <row r="599" spans="1:18" x14ac:dyDescent="0.2">
      <c r="A599">
        <v>5</v>
      </c>
      <c r="B599" t="s">
        <v>8</v>
      </c>
      <c r="C599">
        <v>2022</v>
      </c>
      <c r="D599">
        <v>10</v>
      </c>
      <c r="E599" s="6">
        <v>0</v>
      </c>
      <c r="F599" s="9">
        <v>0</v>
      </c>
      <c r="G599" s="6">
        <v>4658</v>
      </c>
      <c r="H599" s="9">
        <f t="shared" si="9"/>
        <v>0</v>
      </c>
      <c r="I599" s="6">
        <v>13459</v>
      </c>
      <c r="J599" s="6">
        <f>VLOOKUP(Table1[[#This Row],[Province]],[1]Sheet1!$A$3:$F$37,3,FALSE)</f>
        <v>3344400</v>
      </c>
      <c r="K599">
        <v>0</v>
      </c>
      <c r="L599" s="4">
        <v>1.4851829999999999</v>
      </c>
      <c r="M599" s="4">
        <v>102.438058</v>
      </c>
      <c r="N599" s="13">
        <v>5.12</v>
      </c>
      <c r="P599"/>
      <c r="Q599" s="12"/>
      <c r="R599" s="12"/>
    </row>
    <row r="600" spans="1:18" x14ac:dyDescent="0.2">
      <c r="A600">
        <v>5</v>
      </c>
      <c r="B600" t="s">
        <v>8</v>
      </c>
      <c r="C600">
        <v>2022</v>
      </c>
      <c r="D600">
        <v>11</v>
      </c>
      <c r="E600" s="6">
        <v>0</v>
      </c>
      <c r="F600" s="9">
        <v>0</v>
      </c>
      <c r="G600" s="6">
        <v>3824</v>
      </c>
      <c r="H600" s="9">
        <f t="shared" si="9"/>
        <v>0</v>
      </c>
      <c r="I600" s="6">
        <v>14027</v>
      </c>
      <c r="J600" s="6">
        <f>VLOOKUP(Table1[[#This Row],[Province]],[1]Sheet1!$A$3:$F$37,3,FALSE)</f>
        <v>3344400</v>
      </c>
      <c r="K600">
        <v>0</v>
      </c>
      <c r="L600" s="4">
        <v>1.4851829999999999</v>
      </c>
      <c r="M600" s="4">
        <v>102.438058</v>
      </c>
      <c r="N600" s="13">
        <v>5.12</v>
      </c>
      <c r="P600"/>
      <c r="Q600" s="12"/>
      <c r="R600" s="12"/>
    </row>
    <row r="601" spans="1:18" x14ac:dyDescent="0.2">
      <c r="A601">
        <v>5</v>
      </c>
      <c r="B601" t="s">
        <v>8</v>
      </c>
      <c r="C601">
        <v>2022</v>
      </c>
      <c r="D601">
        <v>12</v>
      </c>
      <c r="E601" s="6">
        <v>0</v>
      </c>
      <c r="F601" s="9">
        <v>0</v>
      </c>
      <c r="G601" s="6">
        <v>4218</v>
      </c>
      <c r="H601" s="9">
        <f t="shared" si="9"/>
        <v>0</v>
      </c>
      <c r="I601" s="6">
        <v>14100</v>
      </c>
      <c r="J601" s="6">
        <f>VLOOKUP(Table1[[#This Row],[Province]],[1]Sheet1!$A$3:$F$37,3,FALSE)</f>
        <v>3344400</v>
      </c>
      <c r="K601">
        <v>1</v>
      </c>
      <c r="L601" s="4">
        <v>1.4851829999999999</v>
      </c>
      <c r="M601" s="4">
        <v>102.438058</v>
      </c>
      <c r="N601" s="13">
        <v>5.12</v>
      </c>
      <c r="P601"/>
      <c r="Q601" s="12"/>
      <c r="R601" s="12"/>
    </row>
    <row r="602" spans="1:18" x14ac:dyDescent="0.2">
      <c r="A602">
        <v>6</v>
      </c>
      <c r="B602" t="s">
        <v>32</v>
      </c>
      <c r="C602">
        <v>2013</v>
      </c>
      <c r="D602">
        <v>1</v>
      </c>
      <c r="E602" s="4">
        <v>242</v>
      </c>
      <c r="F602" s="9">
        <v>0</v>
      </c>
      <c r="G602" s="6">
        <v>5324</v>
      </c>
      <c r="H602" s="9">
        <f t="shared" si="9"/>
        <v>242</v>
      </c>
      <c r="I602" s="6">
        <v>12063</v>
      </c>
      <c r="J602" s="6">
        <f>VLOOKUP(Table1[[#This Row],[Province]],[1]Sheet1!$A$3:$F$37,3,FALSE)</f>
        <v>7941500</v>
      </c>
      <c r="K602">
        <v>0</v>
      </c>
      <c r="L602" s="4">
        <v>3.3194370000000002</v>
      </c>
      <c r="M602" s="4">
        <v>103.914399</v>
      </c>
      <c r="N602" s="6"/>
      <c r="P602"/>
      <c r="Q602" s="12"/>
      <c r="R602" s="12"/>
    </row>
    <row r="603" spans="1:18" x14ac:dyDescent="0.2">
      <c r="A603">
        <v>6</v>
      </c>
      <c r="B603" t="s">
        <v>32</v>
      </c>
      <c r="C603">
        <v>2013</v>
      </c>
      <c r="D603">
        <v>2</v>
      </c>
      <c r="E603" s="4">
        <v>486</v>
      </c>
      <c r="F603" s="9">
        <v>0</v>
      </c>
      <c r="G603" s="6">
        <v>5103</v>
      </c>
      <c r="H603" s="9">
        <f t="shared" si="9"/>
        <v>486</v>
      </c>
      <c r="I603" s="6">
        <v>12000</v>
      </c>
      <c r="J603" s="6">
        <f>VLOOKUP(Table1[[#This Row],[Province]],[1]Sheet1!$A$3:$F$37,3,FALSE)</f>
        <v>7941500</v>
      </c>
      <c r="K603">
        <v>0</v>
      </c>
      <c r="L603" s="4">
        <v>3.3194370000000002</v>
      </c>
      <c r="M603" s="4">
        <v>103.914399</v>
      </c>
      <c r="N603" s="6"/>
      <c r="P603"/>
      <c r="Q603" s="12"/>
      <c r="R603" s="12"/>
    </row>
    <row r="604" spans="1:18" x14ac:dyDescent="0.2">
      <c r="A604">
        <v>6</v>
      </c>
      <c r="B604" t="s">
        <v>32</v>
      </c>
      <c r="C604">
        <v>2013</v>
      </c>
      <c r="D604">
        <v>3</v>
      </c>
      <c r="E604" s="4">
        <v>849</v>
      </c>
      <c r="F604" s="9">
        <v>0</v>
      </c>
      <c r="G604" s="6">
        <v>5261</v>
      </c>
      <c r="H604" s="9">
        <f t="shared" si="9"/>
        <v>849</v>
      </c>
      <c r="I604" s="6">
        <v>12000</v>
      </c>
      <c r="J604" s="6">
        <f>VLOOKUP(Table1[[#This Row],[Province]],[1]Sheet1!$A$3:$F$37,3,FALSE)</f>
        <v>7941500</v>
      </c>
      <c r="K604">
        <v>0</v>
      </c>
      <c r="L604" s="4">
        <v>3.3194370000000002</v>
      </c>
      <c r="M604" s="4">
        <v>103.914399</v>
      </c>
      <c r="N604" s="6"/>
      <c r="P604"/>
      <c r="Q604" s="12"/>
      <c r="R604" s="12"/>
    </row>
    <row r="605" spans="1:18" x14ac:dyDescent="0.2">
      <c r="A605">
        <v>6</v>
      </c>
      <c r="B605" t="s">
        <v>32</v>
      </c>
      <c r="C605">
        <v>2013</v>
      </c>
      <c r="D605">
        <v>4</v>
      </c>
      <c r="E605" s="4">
        <v>2608</v>
      </c>
      <c r="F605" s="9">
        <v>0</v>
      </c>
      <c r="G605" s="6">
        <v>6836</v>
      </c>
      <c r="H605" s="9">
        <f t="shared" si="9"/>
        <v>2608</v>
      </c>
      <c r="I605" s="6">
        <v>12046</v>
      </c>
      <c r="J605" s="6">
        <f>VLOOKUP(Table1[[#This Row],[Province]],[1]Sheet1!$A$3:$F$37,3,FALSE)</f>
        <v>7941500</v>
      </c>
      <c r="K605">
        <v>0</v>
      </c>
      <c r="L605" s="4">
        <v>3.3194370000000002</v>
      </c>
      <c r="M605" s="4">
        <v>103.914399</v>
      </c>
      <c r="N605" s="6"/>
      <c r="P605"/>
      <c r="Q605" s="12"/>
      <c r="R605" s="12"/>
    </row>
    <row r="606" spans="1:18" x14ac:dyDescent="0.2">
      <c r="A606">
        <v>6</v>
      </c>
      <c r="B606" t="s">
        <v>32</v>
      </c>
      <c r="C606">
        <v>2013</v>
      </c>
      <c r="D606">
        <v>5</v>
      </c>
      <c r="E606" s="4">
        <v>6612</v>
      </c>
      <c r="F606" s="9">
        <v>0</v>
      </c>
      <c r="G606" s="6">
        <v>8285</v>
      </c>
      <c r="H606" s="9">
        <f t="shared" si="9"/>
        <v>6612</v>
      </c>
      <c r="I606" s="6">
        <v>12167</v>
      </c>
      <c r="J606" s="6">
        <f>VLOOKUP(Table1[[#This Row],[Province]],[1]Sheet1!$A$3:$F$37,3,FALSE)</f>
        <v>7941500</v>
      </c>
      <c r="K606">
        <v>0</v>
      </c>
      <c r="L606" s="4">
        <v>3.3194370000000002</v>
      </c>
      <c r="M606" s="4">
        <v>103.914399</v>
      </c>
      <c r="N606" s="6"/>
      <c r="P606"/>
      <c r="Q606" s="12"/>
      <c r="R606" s="12"/>
    </row>
    <row r="607" spans="1:18" x14ac:dyDescent="0.2">
      <c r="A607">
        <v>6</v>
      </c>
      <c r="B607" t="s">
        <v>32</v>
      </c>
      <c r="C607">
        <v>2013</v>
      </c>
      <c r="D607">
        <v>6</v>
      </c>
      <c r="E607" s="4">
        <v>15885</v>
      </c>
      <c r="F607" s="9">
        <v>0</v>
      </c>
      <c r="G607" s="6">
        <v>6899</v>
      </c>
      <c r="H607" s="9">
        <f t="shared" si="9"/>
        <v>15885</v>
      </c>
      <c r="I607" s="6">
        <v>12026</v>
      </c>
      <c r="J607" s="6">
        <f>VLOOKUP(Table1[[#This Row],[Province]],[1]Sheet1!$A$3:$F$37,3,FALSE)</f>
        <v>7941500</v>
      </c>
      <c r="K607">
        <v>0</v>
      </c>
      <c r="L607" s="4">
        <v>3.3194370000000002</v>
      </c>
      <c r="M607" s="4">
        <v>103.914399</v>
      </c>
      <c r="N607" s="6"/>
      <c r="P607"/>
      <c r="Q607" s="12"/>
      <c r="R607" s="12"/>
    </row>
    <row r="608" spans="1:18" x14ac:dyDescent="0.2">
      <c r="A608">
        <v>6</v>
      </c>
      <c r="B608" t="s">
        <v>32</v>
      </c>
      <c r="C608">
        <v>2013</v>
      </c>
      <c r="D608">
        <v>7</v>
      </c>
      <c r="E608" s="4">
        <v>18540</v>
      </c>
      <c r="F608" s="9">
        <v>0</v>
      </c>
      <c r="G608" s="6">
        <v>11970</v>
      </c>
      <c r="H608" s="9">
        <f t="shared" si="9"/>
        <v>18540</v>
      </c>
      <c r="I608" s="6">
        <v>13091</v>
      </c>
      <c r="J608" s="6">
        <f>VLOOKUP(Table1[[#This Row],[Province]],[1]Sheet1!$A$3:$F$37,3,FALSE)</f>
        <v>7941500</v>
      </c>
      <c r="K608">
        <v>1</v>
      </c>
      <c r="L608" s="4">
        <v>3.3194370000000002</v>
      </c>
      <c r="M608" s="4">
        <v>103.914399</v>
      </c>
      <c r="N608" s="6"/>
      <c r="P608"/>
      <c r="Q608" s="12"/>
      <c r="R608" s="12"/>
    </row>
    <row r="609" spans="1:18" x14ac:dyDescent="0.2">
      <c r="A609">
        <v>6</v>
      </c>
      <c r="B609" t="s">
        <v>32</v>
      </c>
      <c r="C609">
        <v>2013</v>
      </c>
      <c r="D609">
        <v>8</v>
      </c>
      <c r="E609" s="4">
        <v>26593</v>
      </c>
      <c r="F609" s="9">
        <v>0</v>
      </c>
      <c r="G609" s="6">
        <v>4379</v>
      </c>
      <c r="H609" s="9">
        <f t="shared" si="9"/>
        <v>26593</v>
      </c>
      <c r="I609" s="6">
        <v>12029</v>
      </c>
      <c r="J609" s="6">
        <f>VLOOKUP(Table1[[#This Row],[Province]],[1]Sheet1!$A$3:$F$37,3,FALSE)</f>
        <v>7941500</v>
      </c>
      <c r="K609">
        <v>0</v>
      </c>
      <c r="L609" s="4">
        <v>3.3194370000000002</v>
      </c>
      <c r="M609" s="4">
        <v>103.914399</v>
      </c>
      <c r="N609" s="6"/>
      <c r="P609"/>
      <c r="Q609" s="12"/>
      <c r="R609" s="12"/>
    </row>
    <row r="610" spans="1:18" x14ac:dyDescent="0.2">
      <c r="A610">
        <v>6</v>
      </c>
      <c r="B610" t="s">
        <v>32</v>
      </c>
      <c r="C610">
        <v>2013</v>
      </c>
      <c r="D610">
        <v>9</v>
      </c>
      <c r="E610" s="4">
        <v>20231</v>
      </c>
      <c r="F610" s="9">
        <v>0</v>
      </c>
      <c r="G610" s="6">
        <v>9356</v>
      </c>
      <c r="H610" s="9">
        <f t="shared" si="9"/>
        <v>20231</v>
      </c>
      <c r="I610" s="6">
        <v>12048</v>
      </c>
      <c r="J610" s="6">
        <f>VLOOKUP(Table1[[#This Row],[Province]],[1]Sheet1!$A$3:$F$37,3,FALSE)</f>
        <v>7941500</v>
      </c>
      <c r="K610">
        <v>0</v>
      </c>
      <c r="L610" s="4">
        <v>3.3194370000000002</v>
      </c>
      <c r="M610" s="4">
        <v>103.914399</v>
      </c>
      <c r="N610" s="6"/>
      <c r="P610"/>
      <c r="Q610" s="12"/>
      <c r="R610" s="12"/>
    </row>
    <row r="611" spans="1:18" x14ac:dyDescent="0.2">
      <c r="A611">
        <v>6</v>
      </c>
      <c r="B611" t="s">
        <v>32</v>
      </c>
      <c r="C611">
        <v>2013</v>
      </c>
      <c r="D611">
        <v>10</v>
      </c>
      <c r="E611" s="4">
        <v>1820</v>
      </c>
      <c r="F611" s="9">
        <v>0</v>
      </c>
      <c r="G611" s="6">
        <v>7655</v>
      </c>
      <c r="H611" s="9">
        <f t="shared" si="9"/>
        <v>1820</v>
      </c>
      <c r="I611" s="6">
        <v>12075</v>
      </c>
      <c r="J611" s="6">
        <f>VLOOKUP(Table1[[#This Row],[Province]],[1]Sheet1!$A$3:$F$37,3,FALSE)</f>
        <v>7941500</v>
      </c>
      <c r="K611">
        <v>0</v>
      </c>
      <c r="L611" s="4">
        <v>3.3194370000000002</v>
      </c>
      <c r="M611" s="4">
        <v>103.914399</v>
      </c>
      <c r="N611" s="6"/>
      <c r="P611"/>
      <c r="Q611" s="12"/>
      <c r="R611" s="12"/>
    </row>
    <row r="612" spans="1:18" x14ac:dyDescent="0.2">
      <c r="A612">
        <v>6</v>
      </c>
      <c r="B612" t="s">
        <v>32</v>
      </c>
      <c r="C612">
        <v>2013</v>
      </c>
      <c r="D612">
        <v>11</v>
      </c>
      <c r="E612" s="4">
        <v>1820</v>
      </c>
      <c r="F612" s="9">
        <v>0</v>
      </c>
      <c r="G612" s="6">
        <v>5639</v>
      </c>
      <c r="H612" s="9">
        <f t="shared" si="9"/>
        <v>1820</v>
      </c>
      <c r="I612" s="6">
        <v>11842</v>
      </c>
      <c r="J612" s="6">
        <f>VLOOKUP(Table1[[#This Row],[Province]],[1]Sheet1!$A$3:$F$37,3,FALSE)</f>
        <v>7941500</v>
      </c>
      <c r="K612">
        <v>0</v>
      </c>
      <c r="L612" s="4">
        <v>3.3194370000000002</v>
      </c>
      <c r="M612" s="4">
        <v>103.914399</v>
      </c>
      <c r="N612" s="6"/>
      <c r="P612"/>
      <c r="Q612" s="12"/>
      <c r="R612" s="12"/>
    </row>
    <row r="613" spans="1:18" x14ac:dyDescent="0.2">
      <c r="A613">
        <v>6</v>
      </c>
      <c r="B613" t="s">
        <v>32</v>
      </c>
      <c r="C613">
        <v>2013</v>
      </c>
      <c r="D613">
        <v>12</v>
      </c>
      <c r="E613" s="4">
        <v>61</v>
      </c>
      <c r="F613" s="9">
        <v>0</v>
      </c>
      <c r="G613" s="6">
        <v>7844</v>
      </c>
      <c r="H613" s="9">
        <f t="shared" si="9"/>
        <v>61</v>
      </c>
      <c r="I613" s="6">
        <v>11608</v>
      </c>
      <c r="J613" s="6">
        <f>VLOOKUP(Table1[[#This Row],[Province]],[1]Sheet1!$A$3:$F$37,3,FALSE)</f>
        <v>7941500</v>
      </c>
      <c r="K613">
        <v>1</v>
      </c>
      <c r="L613" s="4">
        <v>3.3194370000000002</v>
      </c>
      <c r="M613" s="4">
        <v>103.914399</v>
      </c>
      <c r="N613" s="6"/>
      <c r="P613"/>
      <c r="Q613" s="12"/>
      <c r="R613" s="12"/>
    </row>
    <row r="614" spans="1:18" x14ac:dyDescent="0.2">
      <c r="A614">
        <v>6</v>
      </c>
      <c r="B614" t="s">
        <v>32</v>
      </c>
      <c r="C614">
        <v>2014</v>
      </c>
      <c r="D614">
        <v>1</v>
      </c>
      <c r="E614" s="4">
        <v>244</v>
      </c>
      <c r="F614" s="9">
        <v>0</v>
      </c>
      <c r="G614" s="6">
        <v>5490</v>
      </c>
      <c r="H614" s="9">
        <f t="shared" si="9"/>
        <v>244</v>
      </c>
      <c r="I614" s="6">
        <v>11324</v>
      </c>
      <c r="J614" s="6">
        <f>VLOOKUP(Table1[[#This Row],[Province]],[1]Sheet1!$A$3:$F$37,3,FALSE)</f>
        <v>7941500</v>
      </c>
      <c r="K614">
        <v>0</v>
      </c>
      <c r="L614" s="4">
        <v>3.3194370000000002</v>
      </c>
      <c r="M614" s="4">
        <v>103.914399</v>
      </c>
      <c r="N614" s="6"/>
      <c r="P614"/>
      <c r="Q614" s="12"/>
      <c r="R614" s="12"/>
    </row>
    <row r="615" spans="1:18" x14ac:dyDescent="0.2">
      <c r="A615">
        <v>6</v>
      </c>
      <c r="B615" t="s">
        <v>32</v>
      </c>
      <c r="C615">
        <v>2014</v>
      </c>
      <c r="D615">
        <v>2</v>
      </c>
      <c r="E615" s="4">
        <v>490</v>
      </c>
      <c r="F615" s="9">
        <v>0</v>
      </c>
      <c r="G615" s="6">
        <v>4898</v>
      </c>
      <c r="H615" s="9">
        <f t="shared" si="9"/>
        <v>490</v>
      </c>
      <c r="I615" s="6">
        <v>10958</v>
      </c>
      <c r="J615" s="6">
        <f>VLOOKUP(Table1[[#This Row],[Province]],[1]Sheet1!$A$3:$F$37,3,FALSE)</f>
        <v>7941500</v>
      </c>
      <c r="K615">
        <v>0</v>
      </c>
      <c r="L615" s="4">
        <v>3.3194370000000002</v>
      </c>
      <c r="M615" s="4">
        <v>103.914399</v>
      </c>
      <c r="N615" s="6"/>
      <c r="P615"/>
      <c r="Q615" s="12"/>
      <c r="R615" s="12"/>
    </row>
    <row r="616" spans="1:18" x14ac:dyDescent="0.2">
      <c r="A616">
        <v>6</v>
      </c>
      <c r="B616" t="s">
        <v>32</v>
      </c>
      <c r="C616">
        <v>2014</v>
      </c>
      <c r="D616">
        <v>3</v>
      </c>
      <c r="E616" s="4">
        <v>857</v>
      </c>
      <c r="F616" s="9">
        <v>0</v>
      </c>
      <c r="G616" s="6">
        <v>5500</v>
      </c>
      <c r="H616" s="9">
        <f t="shared" si="9"/>
        <v>857</v>
      </c>
      <c r="I616" s="6">
        <v>11008</v>
      </c>
      <c r="J616" s="6">
        <f>VLOOKUP(Table1[[#This Row],[Province]],[1]Sheet1!$A$3:$F$37,3,FALSE)</f>
        <v>7941500</v>
      </c>
      <c r="K616">
        <v>0</v>
      </c>
      <c r="L616" s="4">
        <v>3.3194370000000002</v>
      </c>
      <c r="M616" s="4">
        <v>103.914399</v>
      </c>
      <c r="N616" s="6"/>
      <c r="P616"/>
      <c r="Q616" s="12"/>
      <c r="R616" s="12"/>
    </row>
    <row r="617" spans="1:18" x14ac:dyDescent="0.2">
      <c r="A617">
        <v>6</v>
      </c>
      <c r="B617" t="s">
        <v>32</v>
      </c>
      <c r="C617">
        <v>2014</v>
      </c>
      <c r="D617">
        <v>4</v>
      </c>
      <c r="E617" s="4">
        <v>2632</v>
      </c>
      <c r="F617" s="9">
        <v>0</v>
      </c>
      <c r="G617" s="6">
        <v>7084</v>
      </c>
      <c r="H617" s="9">
        <f t="shared" si="9"/>
        <v>2632</v>
      </c>
      <c r="I617" s="6">
        <v>10975</v>
      </c>
      <c r="J617" s="6">
        <f>VLOOKUP(Table1[[#This Row],[Province]],[1]Sheet1!$A$3:$F$37,3,FALSE)</f>
        <v>7941500</v>
      </c>
      <c r="K617">
        <v>0</v>
      </c>
      <c r="L617" s="4">
        <v>3.3194370000000002</v>
      </c>
      <c r="M617" s="4">
        <v>103.914399</v>
      </c>
      <c r="N617" s="6"/>
      <c r="P617"/>
      <c r="Q617" s="12"/>
      <c r="R617" s="12"/>
    </row>
    <row r="618" spans="1:18" x14ac:dyDescent="0.2">
      <c r="A618">
        <v>6</v>
      </c>
      <c r="B618" t="s">
        <v>32</v>
      </c>
      <c r="C618">
        <v>2014</v>
      </c>
      <c r="D618">
        <v>5</v>
      </c>
      <c r="E618" s="4">
        <v>6672</v>
      </c>
      <c r="F618" s="9">
        <v>0</v>
      </c>
      <c r="G618" s="6">
        <v>7935</v>
      </c>
      <c r="H618" s="9">
        <f t="shared" si="9"/>
        <v>6672</v>
      </c>
      <c r="I618" s="6">
        <v>11000</v>
      </c>
      <c r="J618" s="6">
        <f>VLOOKUP(Table1[[#This Row],[Province]],[1]Sheet1!$A$3:$F$37,3,FALSE)</f>
        <v>7941500</v>
      </c>
      <c r="K618">
        <v>0</v>
      </c>
      <c r="L618" s="4">
        <v>3.3194370000000002</v>
      </c>
      <c r="M618" s="4">
        <v>103.914399</v>
      </c>
      <c r="N618" s="6"/>
      <c r="P618"/>
      <c r="Q618" s="12"/>
      <c r="R618" s="12"/>
    </row>
    <row r="619" spans="1:18" x14ac:dyDescent="0.2">
      <c r="A619">
        <v>6</v>
      </c>
      <c r="B619" t="s">
        <v>32</v>
      </c>
      <c r="C619">
        <v>2014</v>
      </c>
      <c r="D619">
        <v>6</v>
      </c>
      <c r="E619" s="4">
        <v>18703</v>
      </c>
      <c r="F619" s="9">
        <v>0</v>
      </c>
      <c r="G619" s="6">
        <v>11293</v>
      </c>
      <c r="H619" s="9">
        <f t="shared" si="9"/>
        <v>18703</v>
      </c>
      <c r="I619" s="6">
        <v>10484</v>
      </c>
      <c r="J619" s="6">
        <f>VLOOKUP(Table1[[#This Row],[Province]],[1]Sheet1!$A$3:$F$37,3,FALSE)</f>
        <v>7941500</v>
      </c>
      <c r="K619">
        <v>1</v>
      </c>
      <c r="L619" s="4">
        <v>3.3194370000000002</v>
      </c>
      <c r="M619" s="4">
        <v>103.914399</v>
      </c>
      <c r="N619" s="6"/>
      <c r="P619"/>
      <c r="Q619" s="12"/>
      <c r="R619" s="12"/>
    </row>
    <row r="620" spans="1:18" x14ac:dyDescent="0.2">
      <c r="A620">
        <v>6</v>
      </c>
      <c r="B620" t="s">
        <v>32</v>
      </c>
      <c r="C620">
        <v>2014</v>
      </c>
      <c r="D620">
        <v>7</v>
      </c>
      <c r="E620" s="4">
        <v>24160</v>
      </c>
      <c r="F620" s="9">
        <v>0</v>
      </c>
      <c r="G620" s="6">
        <v>7084</v>
      </c>
      <c r="H620" s="9">
        <f t="shared" si="9"/>
        <v>24160</v>
      </c>
      <c r="I620" s="6">
        <v>10444</v>
      </c>
      <c r="J620" s="6">
        <f>VLOOKUP(Table1[[#This Row],[Province]],[1]Sheet1!$A$3:$F$37,3,FALSE)</f>
        <v>7941500</v>
      </c>
      <c r="K620">
        <v>0</v>
      </c>
      <c r="L620" s="4">
        <v>3.3194370000000002</v>
      </c>
      <c r="M620" s="4">
        <v>103.914399</v>
      </c>
      <c r="N620" s="6"/>
      <c r="P620"/>
      <c r="Q620" s="12"/>
      <c r="R620" s="12"/>
    </row>
    <row r="621" spans="1:18" x14ac:dyDescent="0.2">
      <c r="A621">
        <v>6</v>
      </c>
      <c r="B621" t="s">
        <v>32</v>
      </c>
      <c r="C621">
        <v>2014</v>
      </c>
      <c r="D621">
        <v>8</v>
      </c>
      <c r="E621" s="4">
        <v>32668</v>
      </c>
      <c r="F621" s="9">
        <v>0</v>
      </c>
      <c r="G621" s="6">
        <v>6829</v>
      </c>
      <c r="H621" s="9">
        <f t="shared" si="9"/>
        <v>32668</v>
      </c>
      <c r="I621" s="6">
        <v>10333</v>
      </c>
      <c r="J621" s="6">
        <f>VLOOKUP(Table1[[#This Row],[Province]],[1]Sheet1!$A$3:$F$37,3,FALSE)</f>
        <v>7941500</v>
      </c>
      <c r="K621">
        <v>0</v>
      </c>
      <c r="L621" s="4">
        <v>3.3194370000000002</v>
      </c>
      <c r="M621" s="4">
        <v>103.914399</v>
      </c>
      <c r="N621" s="6"/>
      <c r="P621"/>
      <c r="Q621" s="12"/>
      <c r="R621" s="12"/>
    </row>
    <row r="622" spans="1:18" x14ac:dyDescent="0.2">
      <c r="A622">
        <v>6</v>
      </c>
      <c r="B622" t="s">
        <v>32</v>
      </c>
      <c r="C622">
        <v>2014</v>
      </c>
      <c r="D622">
        <v>9</v>
      </c>
      <c r="E622" s="4">
        <v>25893</v>
      </c>
      <c r="F622" s="9">
        <v>0</v>
      </c>
      <c r="G622" s="6">
        <v>6873</v>
      </c>
      <c r="H622" s="9">
        <f t="shared" si="9"/>
        <v>25893</v>
      </c>
      <c r="I622" s="6">
        <v>10015</v>
      </c>
      <c r="J622" s="6">
        <f>VLOOKUP(Table1[[#This Row],[Province]],[1]Sheet1!$A$3:$F$37,3,FALSE)</f>
        <v>7941500</v>
      </c>
      <c r="K622">
        <v>0</v>
      </c>
      <c r="L622" s="4">
        <v>3.3194370000000002</v>
      </c>
      <c r="M622" s="4">
        <v>103.914399</v>
      </c>
      <c r="N622" s="6"/>
      <c r="P622"/>
      <c r="Q622" s="12"/>
      <c r="R622" s="12"/>
    </row>
    <row r="623" spans="1:18" x14ac:dyDescent="0.2">
      <c r="A623">
        <v>6</v>
      </c>
      <c r="B623" t="s">
        <v>32</v>
      </c>
      <c r="C623">
        <v>2014</v>
      </c>
      <c r="D623">
        <v>10</v>
      </c>
      <c r="E623" s="4">
        <v>1836</v>
      </c>
      <c r="F623" s="9">
        <v>0</v>
      </c>
      <c r="G623" s="6">
        <v>10197</v>
      </c>
      <c r="H623" s="9">
        <f t="shared" si="9"/>
        <v>1836</v>
      </c>
      <c r="I623" s="6">
        <v>10000</v>
      </c>
      <c r="J623" s="6">
        <f>VLOOKUP(Table1[[#This Row],[Province]],[1]Sheet1!$A$3:$F$37,3,FALSE)</f>
        <v>7941500</v>
      </c>
      <c r="K623">
        <v>0</v>
      </c>
      <c r="L623" s="4">
        <v>3.3194370000000002</v>
      </c>
      <c r="M623" s="4">
        <v>103.914399</v>
      </c>
      <c r="N623" s="6"/>
      <c r="P623"/>
      <c r="Q623" s="12"/>
      <c r="R623" s="12"/>
    </row>
    <row r="624" spans="1:18" x14ac:dyDescent="0.2">
      <c r="A624">
        <v>6</v>
      </c>
      <c r="B624" t="s">
        <v>32</v>
      </c>
      <c r="C624">
        <v>2014</v>
      </c>
      <c r="D624">
        <v>11</v>
      </c>
      <c r="E624" s="4">
        <v>1836</v>
      </c>
      <c r="F624" s="9">
        <v>0</v>
      </c>
      <c r="G624" s="6">
        <v>8136</v>
      </c>
      <c r="H624" s="9">
        <f t="shared" si="9"/>
        <v>1836</v>
      </c>
      <c r="I624" s="6">
        <v>10183</v>
      </c>
      <c r="J624" s="6">
        <f>VLOOKUP(Table1[[#This Row],[Province]],[1]Sheet1!$A$3:$F$37,3,FALSE)</f>
        <v>7941500</v>
      </c>
      <c r="K624">
        <v>0</v>
      </c>
      <c r="L624" s="4">
        <v>3.3194370000000002</v>
      </c>
      <c r="M624" s="4">
        <v>103.914399</v>
      </c>
      <c r="N624" s="6"/>
      <c r="P624"/>
      <c r="Q624" s="12"/>
      <c r="R624" s="12"/>
    </row>
    <row r="625" spans="1:18" x14ac:dyDescent="0.2">
      <c r="A625">
        <v>6</v>
      </c>
      <c r="B625" t="s">
        <v>32</v>
      </c>
      <c r="C625">
        <v>2014</v>
      </c>
      <c r="D625">
        <v>12</v>
      </c>
      <c r="E625" s="4">
        <v>62</v>
      </c>
      <c r="F625" s="9">
        <v>0</v>
      </c>
      <c r="G625" s="6">
        <v>9488</v>
      </c>
      <c r="H625" s="9">
        <f t="shared" si="9"/>
        <v>62</v>
      </c>
      <c r="I625" s="6">
        <v>10484</v>
      </c>
      <c r="J625" s="6">
        <f>VLOOKUP(Table1[[#This Row],[Province]],[1]Sheet1!$A$3:$F$37,3,FALSE)</f>
        <v>7941500</v>
      </c>
      <c r="K625">
        <v>1</v>
      </c>
      <c r="L625" s="4">
        <v>3.3194370000000002</v>
      </c>
      <c r="M625" s="4">
        <v>103.914399</v>
      </c>
      <c r="N625" s="6"/>
      <c r="P625"/>
      <c r="Q625" s="12"/>
      <c r="R625" s="12"/>
    </row>
    <row r="626" spans="1:18" x14ac:dyDescent="0.2">
      <c r="A626">
        <v>6</v>
      </c>
      <c r="B626" t="s">
        <v>32</v>
      </c>
      <c r="C626">
        <v>2015</v>
      </c>
      <c r="D626">
        <v>1</v>
      </c>
      <c r="E626" s="4">
        <v>266</v>
      </c>
      <c r="F626" s="9">
        <v>0</v>
      </c>
      <c r="G626" s="6">
        <v>4663</v>
      </c>
      <c r="H626" s="9">
        <f t="shared" si="9"/>
        <v>266</v>
      </c>
      <c r="I626" s="6">
        <v>10389</v>
      </c>
      <c r="J626" s="6">
        <f>VLOOKUP(Table1[[#This Row],[Province]],[1]Sheet1!$A$3:$F$37,3,FALSE)</f>
        <v>7941500</v>
      </c>
      <c r="K626">
        <v>0</v>
      </c>
      <c r="L626" s="4">
        <v>3.3194370000000002</v>
      </c>
      <c r="M626" s="4">
        <v>103.914399</v>
      </c>
      <c r="N626" s="6"/>
      <c r="P626"/>
      <c r="Q626" s="12"/>
      <c r="R626" s="12"/>
    </row>
    <row r="627" spans="1:18" x14ac:dyDescent="0.2">
      <c r="A627">
        <v>6</v>
      </c>
      <c r="B627" t="s">
        <v>32</v>
      </c>
      <c r="C627">
        <v>2015</v>
      </c>
      <c r="D627">
        <v>2</v>
      </c>
      <c r="E627" s="4">
        <v>533</v>
      </c>
      <c r="F627" s="9">
        <v>0</v>
      </c>
      <c r="G627" s="6">
        <v>11762</v>
      </c>
      <c r="H627" s="9">
        <f t="shared" si="9"/>
        <v>533</v>
      </c>
      <c r="I627" s="6">
        <v>10167</v>
      </c>
      <c r="J627" s="6">
        <f>VLOOKUP(Table1[[#This Row],[Province]],[1]Sheet1!$A$3:$F$37,3,FALSE)</f>
        <v>7941500</v>
      </c>
      <c r="K627">
        <v>0</v>
      </c>
      <c r="L627" s="4">
        <v>3.3194370000000002</v>
      </c>
      <c r="M627" s="4">
        <v>103.914399</v>
      </c>
      <c r="N627" s="6"/>
      <c r="P627"/>
      <c r="Q627" s="12"/>
      <c r="R627" s="12"/>
    </row>
    <row r="628" spans="1:18" x14ac:dyDescent="0.2">
      <c r="A628">
        <v>6</v>
      </c>
      <c r="B628" t="s">
        <v>32</v>
      </c>
      <c r="C628">
        <v>2015</v>
      </c>
      <c r="D628">
        <v>3</v>
      </c>
      <c r="E628" s="4">
        <v>932</v>
      </c>
      <c r="F628" s="9">
        <v>0</v>
      </c>
      <c r="G628" s="6">
        <v>5337</v>
      </c>
      <c r="H628" s="9">
        <f t="shared" si="9"/>
        <v>932</v>
      </c>
      <c r="I628" s="6">
        <v>10500</v>
      </c>
      <c r="J628" s="6">
        <f>VLOOKUP(Table1[[#This Row],[Province]],[1]Sheet1!$A$3:$F$37,3,FALSE)</f>
        <v>7941500</v>
      </c>
      <c r="K628">
        <v>0</v>
      </c>
      <c r="L628" s="4">
        <v>3.3194370000000002</v>
      </c>
      <c r="M628" s="4">
        <v>103.914399</v>
      </c>
      <c r="N628" s="6"/>
      <c r="P628"/>
      <c r="Q628" s="12"/>
      <c r="R628" s="12"/>
    </row>
    <row r="629" spans="1:18" x14ac:dyDescent="0.2">
      <c r="A629">
        <v>6</v>
      </c>
      <c r="B629" t="s">
        <v>32</v>
      </c>
      <c r="C629">
        <v>2015</v>
      </c>
      <c r="D629">
        <v>4</v>
      </c>
      <c r="E629" s="4">
        <v>2864</v>
      </c>
      <c r="F629" s="9">
        <v>0</v>
      </c>
      <c r="G629" s="6">
        <v>8841</v>
      </c>
      <c r="H629" s="9">
        <f t="shared" si="9"/>
        <v>2864</v>
      </c>
      <c r="I629" s="6">
        <v>11571</v>
      </c>
      <c r="J629" s="6">
        <f>VLOOKUP(Table1[[#This Row],[Province]],[1]Sheet1!$A$3:$F$37,3,FALSE)</f>
        <v>7941500</v>
      </c>
      <c r="K629">
        <v>0</v>
      </c>
      <c r="L629" s="4">
        <v>3.3194370000000002</v>
      </c>
      <c r="M629" s="4">
        <v>103.914399</v>
      </c>
      <c r="N629" s="6"/>
      <c r="P629"/>
      <c r="Q629" s="12"/>
      <c r="R629" s="12"/>
    </row>
    <row r="630" spans="1:18" x14ac:dyDescent="0.2">
      <c r="A630">
        <v>6</v>
      </c>
      <c r="B630" t="s">
        <v>32</v>
      </c>
      <c r="C630">
        <v>2015</v>
      </c>
      <c r="D630">
        <v>5</v>
      </c>
      <c r="E630" s="4">
        <v>7261</v>
      </c>
      <c r="F630" s="9">
        <v>0</v>
      </c>
      <c r="G630" s="6">
        <v>8472</v>
      </c>
      <c r="H630" s="9">
        <f t="shared" si="9"/>
        <v>7261</v>
      </c>
      <c r="I630" s="6">
        <v>12000</v>
      </c>
      <c r="J630" s="6">
        <f>VLOOKUP(Table1[[#This Row],[Province]],[1]Sheet1!$A$3:$F$37,3,FALSE)</f>
        <v>7941500</v>
      </c>
      <c r="K630">
        <v>0</v>
      </c>
      <c r="L630" s="4">
        <v>3.3194370000000002</v>
      </c>
      <c r="M630" s="4">
        <v>103.914399</v>
      </c>
      <c r="N630" s="6"/>
      <c r="P630"/>
      <c r="Q630" s="12"/>
      <c r="R630" s="12"/>
    </row>
    <row r="631" spans="1:18" x14ac:dyDescent="0.2">
      <c r="A631">
        <v>6</v>
      </c>
      <c r="B631" t="s">
        <v>32</v>
      </c>
      <c r="C631">
        <v>2015</v>
      </c>
      <c r="D631">
        <v>6</v>
      </c>
      <c r="E631" s="4">
        <v>10992</v>
      </c>
      <c r="F631" s="9">
        <v>0</v>
      </c>
      <c r="G631" s="6">
        <v>9627</v>
      </c>
      <c r="H631" s="9">
        <f t="shared" si="9"/>
        <v>10992</v>
      </c>
      <c r="I631" s="6">
        <v>12651</v>
      </c>
      <c r="J631" s="6">
        <f>VLOOKUP(Table1[[#This Row],[Province]],[1]Sheet1!$A$3:$F$37,3,FALSE)</f>
        <v>7941500</v>
      </c>
      <c r="K631">
        <v>1</v>
      </c>
      <c r="L631" s="4">
        <v>3.3194370000000002</v>
      </c>
      <c r="M631" s="4">
        <v>103.914399</v>
      </c>
      <c r="N631" s="6"/>
      <c r="P631"/>
      <c r="Q631" s="12"/>
      <c r="R631" s="12"/>
    </row>
    <row r="632" spans="1:18" x14ac:dyDescent="0.2">
      <c r="A632">
        <v>6</v>
      </c>
      <c r="B632" t="s">
        <v>32</v>
      </c>
      <c r="C632">
        <v>2015</v>
      </c>
      <c r="D632">
        <v>7</v>
      </c>
      <c r="E632" s="4">
        <v>13259</v>
      </c>
      <c r="F632" s="9">
        <v>0</v>
      </c>
      <c r="G632" s="6">
        <v>6572</v>
      </c>
      <c r="H632" s="9">
        <f t="shared" si="9"/>
        <v>13259</v>
      </c>
      <c r="I632" s="6">
        <v>11316</v>
      </c>
      <c r="J632" s="6">
        <f>VLOOKUP(Table1[[#This Row],[Province]],[1]Sheet1!$A$3:$F$37,3,FALSE)</f>
        <v>7941500</v>
      </c>
      <c r="K632">
        <v>0</v>
      </c>
      <c r="L632" s="4">
        <v>3.3194370000000002</v>
      </c>
      <c r="M632" s="4">
        <v>103.914399</v>
      </c>
      <c r="N632" s="6"/>
      <c r="P632"/>
      <c r="Q632" s="12"/>
      <c r="R632" s="12"/>
    </row>
    <row r="633" spans="1:18" x14ac:dyDescent="0.2">
      <c r="A633">
        <v>6</v>
      </c>
      <c r="B633" t="s">
        <v>32</v>
      </c>
      <c r="C633">
        <v>2015</v>
      </c>
      <c r="D633">
        <v>8</v>
      </c>
      <c r="E633" s="4">
        <v>27366</v>
      </c>
      <c r="F633" s="9">
        <v>0</v>
      </c>
      <c r="G633" s="6">
        <v>6504</v>
      </c>
      <c r="H633" s="9">
        <f t="shared" si="9"/>
        <v>27366</v>
      </c>
      <c r="I633" s="6">
        <v>11617</v>
      </c>
      <c r="J633" s="6">
        <f>VLOOKUP(Table1[[#This Row],[Province]],[1]Sheet1!$A$3:$F$37,3,FALSE)</f>
        <v>7941500</v>
      </c>
      <c r="K633">
        <v>0</v>
      </c>
      <c r="L633" s="4">
        <v>3.3194370000000002</v>
      </c>
      <c r="M633" s="4">
        <v>103.914399</v>
      </c>
      <c r="N633" s="6"/>
      <c r="P633"/>
      <c r="Q633" s="12"/>
      <c r="R633" s="12"/>
    </row>
    <row r="634" spans="1:18" x14ac:dyDescent="0.2">
      <c r="A634">
        <v>6</v>
      </c>
      <c r="B634" t="s">
        <v>32</v>
      </c>
      <c r="C634">
        <v>2015</v>
      </c>
      <c r="D634">
        <v>9</v>
      </c>
      <c r="E634" s="4">
        <v>22133</v>
      </c>
      <c r="F634" s="9">
        <v>0</v>
      </c>
      <c r="G634" s="6">
        <v>8729</v>
      </c>
      <c r="H634" s="9">
        <f t="shared" si="9"/>
        <v>22133</v>
      </c>
      <c r="I634" s="6">
        <v>11143</v>
      </c>
      <c r="J634" s="6">
        <f>VLOOKUP(Table1[[#This Row],[Province]],[1]Sheet1!$A$3:$F$37,3,FALSE)</f>
        <v>7941500</v>
      </c>
      <c r="K634">
        <v>0</v>
      </c>
      <c r="L634" s="4">
        <v>3.3194370000000002</v>
      </c>
      <c r="M634" s="4">
        <v>103.914399</v>
      </c>
      <c r="N634" s="6"/>
      <c r="P634"/>
      <c r="Q634" s="12"/>
      <c r="R634" s="12"/>
    </row>
    <row r="635" spans="1:18" x14ac:dyDescent="0.2">
      <c r="A635">
        <v>6</v>
      </c>
      <c r="B635" t="s">
        <v>32</v>
      </c>
      <c r="C635">
        <v>2015</v>
      </c>
      <c r="D635">
        <v>10</v>
      </c>
      <c r="E635" s="4">
        <v>14421</v>
      </c>
      <c r="F635" s="9">
        <v>0</v>
      </c>
      <c r="G635" s="6">
        <v>5818</v>
      </c>
      <c r="H635" s="9">
        <f t="shared" si="9"/>
        <v>14421</v>
      </c>
      <c r="I635" s="6">
        <v>11333</v>
      </c>
      <c r="J635" s="6">
        <f>VLOOKUP(Table1[[#This Row],[Province]],[1]Sheet1!$A$3:$F$37,3,FALSE)</f>
        <v>7941500</v>
      </c>
      <c r="K635">
        <v>0</v>
      </c>
      <c r="L635" s="4">
        <v>3.3194370000000002</v>
      </c>
      <c r="M635" s="4">
        <v>103.914399</v>
      </c>
      <c r="N635" s="6"/>
      <c r="P635"/>
      <c r="Q635" s="12"/>
      <c r="R635" s="12"/>
    </row>
    <row r="636" spans="1:18" x14ac:dyDescent="0.2">
      <c r="A636">
        <v>6</v>
      </c>
      <c r="B636" t="s">
        <v>32</v>
      </c>
      <c r="C636">
        <v>2015</v>
      </c>
      <c r="D636">
        <v>11</v>
      </c>
      <c r="E636" s="4">
        <v>1940</v>
      </c>
      <c r="F636" s="9">
        <v>0</v>
      </c>
      <c r="G636" s="6">
        <v>7672</v>
      </c>
      <c r="H636" s="9">
        <f t="shared" si="9"/>
        <v>1940</v>
      </c>
      <c r="I636" s="6">
        <v>11365</v>
      </c>
      <c r="J636" s="6">
        <f>VLOOKUP(Table1[[#This Row],[Province]],[1]Sheet1!$A$3:$F$37,3,FALSE)</f>
        <v>7941500</v>
      </c>
      <c r="K636">
        <v>0</v>
      </c>
      <c r="L636" s="4">
        <v>3.3194370000000002</v>
      </c>
      <c r="M636" s="4">
        <v>103.914399</v>
      </c>
      <c r="N636" s="6"/>
      <c r="P636"/>
      <c r="Q636" s="12"/>
      <c r="R636" s="12"/>
    </row>
    <row r="637" spans="1:18" x14ac:dyDescent="0.2">
      <c r="A637">
        <v>6</v>
      </c>
      <c r="B637" t="s">
        <v>32</v>
      </c>
      <c r="C637">
        <v>2015</v>
      </c>
      <c r="D637">
        <v>12</v>
      </c>
      <c r="E637" s="4">
        <v>66</v>
      </c>
      <c r="F637" s="9">
        <v>0</v>
      </c>
      <c r="G637" s="6">
        <v>8223</v>
      </c>
      <c r="H637" s="9">
        <f t="shared" si="9"/>
        <v>66</v>
      </c>
      <c r="I637" s="6">
        <v>12266</v>
      </c>
      <c r="J637" s="6">
        <f>VLOOKUP(Table1[[#This Row],[Province]],[1]Sheet1!$A$3:$F$37,3,FALSE)</f>
        <v>7941500</v>
      </c>
      <c r="K637">
        <v>1</v>
      </c>
      <c r="L637" s="4">
        <v>3.3194370000000002</v>
      </c>
      <c r="M637" s="4">
        <v>103.914399</v>
      </c>
      <c r="N637" s="6"/>
      <c r="P637"/>
      <c r="Q637" s="12"/>
      <c r="R637" s="12"/>
    </row>
    <row r="638" spans="1:18" x14ac:dyDescent="0.2">
      <c r="A638">
        <v>6</v>
      </c>
      <c r="B638" t="s">
        <v>32</v>
      </c>
      <c r="C638">
        <v>2016</v>
      </c>
      <c r="D638">
        <v>1</v>
      </c>
      <c r="E638" s="4">
        <v>266</v>
      </c>
      <c r="F638" s="9">
        <v>0</v>
      </c>
      <c r="G638" s="6">
        <v>1033</v>
      </c>
      <c r="H638" s="9">
        <f t="shared" si="9"/>
        <v>266</v>
      </c>
      <c r="I638" s="6">
        <v>13000</v>
      </c>
      <c r="J638" s="6">
        <f>VLOOKUP(Table1[[#This Row],[Province]],[1]Sheet1!$A$3:$F$37,3,FALSE)</f>
        <v>7941500</v>
      </c>
      <c r="K638">
        <v>0</v>
      </c>
      <c r="L638" s="4">
        <v>3.3194370000000002</v>
      </c>
      <c r="M638" s="4">
        <v>103.914399</v>
      </c>
      <c r="N638" s="13">
        <v>5.04</v>
      </c>
      <c r="P638"/>
      <c r="Q638" s="12"/>
      <c r="R638" s="12"/>
    </row>
    <row r="639" spans="1:18" x14ac:dyDescent="0.2">
      <c r="A639">
        <v>6</v>
      </c>
      <c r="B639" t="s">
        <v>32</v>
      </c>
      <c r="C639">
        <v>2016</v>
      </c>
      <c r="D639">
        <v>3</v>
      </c>
      <c r="E639" s="4">
        <v>932</v>
      </c>
      <c r="F639" s="9">
        <v>0</v>
      </c>
      <c r="G639" s="6">
        <v>3347</v>
      </c>
      <c r="H639" s="9">
        <f t="shared" si="9"/>
        <v>932</v>
      </c>
      <c r="I639" s="6">
        <v>13151</v>
      </c>
      <c r="J639" s="6">
        <f>VLOOKUP(Table1[[#This Row],[Province]],[1]Sheet1!$A$3:$F$37,3,FALSE)</f>
        <v>7941500</v>
      </c>
      <c r="K639">
        <v>0</v>
      </c>
      <c r="L639" s="4">
        <v>3.3194370000000002</v>
      </c>
      <c r="M639" s="4">
        <v>103.914399</v>
      </c>
      <c r="N639" s="13">
        <v>5.04</v>
      </c>
      <c r="P639"/>
      <c r="Q639" s="12"/>
      <c r="R639" s="12"/>
    </row>
    <row r="640" spans="1:18" x14ac:dyDescent="0.2">
      <c r="A640">
        <v>6</v>
      </c>
      <c r="B640" t="s">
        <v>32</v>
      </c>
      <c r="C640">
        <v>2016</v>
      </c>
      <c r="D640">
        <v>4</v>
      </c>
      <c r="E640" s="4">
        <v>2864</v>
      </c>
      <c r="F640" s="9">
        <v>0</v>
      </c>
      <c r="G640" s="6">
        <v>5192</v>
      </c>
      <c r="H640" s="9">
        <f t="shared" si="9"/>
        <v>2864</v>
      </c>
      <c r="I640" s="6">
        <v>13167</v>
      </c>
      <c r="J640" s="6">
        <f>VLOOKUP(Table1[[#This Row],[Province]],[1]Sheet1!$A$3:$F$37,3,FALSE)</f>
        <v>7941500</v>
      </c>
      <c r="K640">
        <v>0</v>
      </c>
      <c r="L640" s="4">
        <v>3.3194370000000002</v>
      </c>
      <c r="M640" s="4">
        <v>103.914399</v>
      </c>
      <c r="N640" s="13">
        <v>5.04</v>
      </c>
      <c r="P640"/>
      <c r="Q640" s="12"/>
      <c r="R640" s="12"/>
    </row>
    <row r="641" spans="1:18" x14ac:dyDescent="0.2">
      <c r="A641">
        <v>6</v>
      </c>
      <c r="B641" t="s">
        <v>32</v>
      </c>
      <c r="C641">
        <v>2016</v>
      </c>
      <c r="D641">
        <v>5</v>
      </c>
      <c r="E641" s="4">
        <v>0</v>
      </c>
      <c r="F641" s="9">
        <v>0</v>
      </c>
      <c r="G641" s="6">
        <v>6987</v>
      </c>
      <c r="H641" s="9">
        <f t="shared" si="9"/>
        <v>0</v>
      </c>
      <c r="I641" s="6">
        <v>15288</v>
      </c>
      <c r="J641" s="6">
        <f>VLOOKUP(Table1[[#This Row],[Province]],[1]Sheet1!$A$3:$F$37,3,FALSE)</f>
        <v>7941500</v>
      </c>
      <c r="K641">
        <v>0</v>
      </c>
      <c r="L641" s="4">
        <v>3.3194370000000002</v>
      </c>
      <c r="M641" s="4">
        <v>103.914399</v>
      </c>
      <c r="N641" s="13">
        <v>5.04</v>
      </c>
      <c r="P641"/>
      <c r="Q641" s="12"/>
      <c r="R641" s="12"/>
    </row>
    <row r="642" spans="1:18" x14ac:dyDescent="0.2">
      <c r="A642">
        <v>6</v>
      </c>
      <c r="B642" t="s">
        <v>32</v>
      </c>
      <c r="C642">
        <v>2016</v>
      </c>
      <c r="D642">
        <v>5</v>
      </c>
      <c r="E642" s="4">
        <v>12820</v>
      </c>
      <c r="F642" s="9">
        <v>0</v>
      </c>
      <c r="G642" s="6">
        <v>8559</v>
      </c>
      <c r="H642" s="9">
        <f t="shared" ref="H642:H705" si="10">F642+E642</f>
        <v>12820</v>
      </c>
      <c r="I642" s="6">
        <v>14725</v>
      </c>
      <c r="J642" s="6">
        <f>VLOOKUP(Table1[[#This Row],[Province]],[1]Sheet1!$A$3:$F$37,3,FALSE)</f>
        <v>7941500</v>
      </c>
      <c r="K642">
        <v>0</v>
      </c>
      <c r="L642" s="4">
        <v>3.3194370000000002</v>
      </c>
      <c r="M642" s="4">
        <v>103.914399</v>
      </c>
      <c r="N642" s="13">
        <v>5.04</v>
      </c>
      <c r="P642"/>
      <c r="Q642" s="12"/>
      <c r="R642" s="12"/>
    </row>
    <row r="643" spans="1:18" x14ac:dyDescent="0.2">
      <c r="A643">
        <v>6</v>
      </c>
      <c r="B643" t="s">
        <v>32</v>
      </c>
      <c r="C643">
        <v>2016</v>
      </c>
      <c r="D643">
        <v>6</v>
      </c>
      <c r="E643" s="4">
        <v>17477</v>
      </c>
      <c r="F643" s="9">
        <v>0</v>
      </c>
      <c r="G643" s="6">
        <v>8374</v>
      </c>
      <c r="H643" s="9">
        <f t="shared" si="10"/>
        <v>17477</v>
      </c>
      <c r="I643" s="6">
        <v>13932</v>
      </c>
      <c r="J643" s="6">
        <f>VLOOKUP(Table1[[#This Row],[Province]],[1]Sheet1!$A$3:$F$37,3,FALSE)</f>
        <v>7941500</v>
      </c>
      <c r="K643">
        <v>1</v>
      </c>
      <c r="L643" s="4">
        <v>3.3194370000000002</v>
      </c>
      <c r="M643" s="4">
        <v>103.914399</v>
      </c>
      <c r="N643" s="13">
        <v>5.04</v>
      </c>
      <c r="P643"/>
      <c r="Q643" s="12"/>
      <c r="R643" s="12"/>
    </row>
    <row r="644" spans="1:18" x14ac:dyDescent="0.2">
      <c r="A644">
        <v>6</v>
      </c>
      <c r="B644" t="s">
        <v>32</v>
      </c>
      <c r="C644">
        <v>2016</v>
      </c>
      <c r="D644">
        <v>7</v>
      </c>
      <c r="E644" s="4">
        <v>15493</v>
      </c>
      <c r="F644" s="9">
        <v>0</v>
      </c>
      <c r="G644" s="6">
        <v>7990</v>
      </c>
      <c r="H644" s="9">
        <f t="shared" si="10"/>
        <v>15493</v>
      </c>
      <c r="I644" s="6">
        <v>14938</v>
      </c>
      <c r="J644" s="6">
        <f>VLOOKUP(Table1[[#This Row],[Province]],[1]Sheet1!$A$3:$F$37,3,FALSE)</f>
        <v>7941500</v>
      </c>
      <c r="K644">
        <v>0</v>
      </c>
      <c r="L644" s="4">
        <v>3.3194370000000002</v>
      </c>
      <c r="M644" s="4">
        <v>103.914399</v>
      </c>
      <c r="N644" s="13">
        <v>5.04</v>
      </c>
      <c r="P644"/>
      <c r="Q644" s="12"/>
      <c r="R644" s="12"/>
    </row>
    <row r="645" spans="1:18" x14ac:dyDescent="0.2">
      <c r="A645">
        <v>6</v>
      </c>
      <c r="B645" t="s">
        <v>32</v>
      </c>
      <c r="C645">
        <v>2016</v>
      </c>
      <c r="D645">
        <v>8</v>
      </c>
      <c r="E645" s="4">
        <v>22913</v>
      </c>
      <c r="F645" s="9">
        <v>0</v>
      </c>
      <c r="G645" s="6">
        <v>7895</v>
      </c>
      <c r="H645" s="9">
        <f t="shared" si="10"/>
        <v>22913</v>
      </c>
      <c r="I645" s="6">
        <v>14955</v>
      </c>
      <c r="J645" s="6">
        <f>VLOOKUP(Table1[[#This Row],[Province]],[1]Sheet1!$A$3:$F$37,3,FALSE)</f>
        <v>7941500</v>
      </c>
      <c r="K645">
        <v>0</v>
      </c>
      <c r="L645" s="4">
        <v>3.3194370000000002</v>
      </c>
      <c r="M645" s="4">
        <v>103.914399</v>
      </c>
      <c r="N645" s="13">
        <v>5.04</v>
      </c>
      <c r="P645"/>
      <c r="Q645" s="12"/>
      <c r="R645" s="12"/>
    </row>
    <row r="646" spans="1:18" x14ac:dyDescent="0.2">
      <c r="A646">
        <v>6</v>
      </c>
      <c r="B646" t="s">
        <v>32</v>
      </c>
      <c r="C646">
        <v>2016</v>
      </c>
      <c r="D646">
        <v>9</v>
      </c>
      <c r="E646" s="4">
        <v>18208</v>
      </c>
      <c r="F646" s="9">
        <v>0</v>
      </c>
      <c r="G646" s="6">
        <v>3052</v>
      </c>
      <c r="H646" s="9">
        <f t="shared" si="10"/>
        <v>18208</v>
      </c>
      <c r="I646" s="6">
        <v>14071</v>
      </c>
      <c r="J646" s="6">
        <f>VLOOKUP(Table1[[#This Row],[Province]],[1]Sheet1!$A$3:$F$37,3,FALSE)</f>
        <v>7941500</v>
      </c>
      <c r="K646">
        <v>0</v>
      </c>
      <c r="L646" s="4">
        <v>3.3194370000000002</v>
      </c>
      <c r="M646" s="4">
        <v>103.914399</v>
      </c>
      <c r="N646" s="13">
        <v>5.04</v>
      </c>
      <c r="P646"/>
      <c r="Q646" s="12"/>
      <c r="R646" s="12"/>
    </row>
    <row r="647" spans="1:18" x14ac:dyDescent="0.2">
      <c r="A647">
        <v>6</v>
      </c>
      <c r="B647" t="s">
        <v>32</v>
      </c>
      <c r="C647">
        <v>2016</v>
      </c>
      <c r="D647">
        <v>10</v>
      </c>
      <c r="E647" s="4">
        <v>7152</v>
      </c>
      <c r="F647" s="9">
        <v>0</v>
      </c>
      <c r="G647" s="6">
        <v>13331</v>
      </c>
      <c r="H647" s="9">
        <f t="shared" si="10"/>
        <v>7152</v>
      </c>
      <c r="I647" s="6">
        <v>13500</v>
      </c>
      <c r="J647" s="6">
        <f>VLOOKUP(Table1[[#This Row],[Province]],[1]Sheet1!$A$3:$F$37,3,FALSE)</f>
        <v>7941500</v>
      </c>
      <c r="K647">
        <v>0</v>
      </c>
      <c r="L647" s="4">
        <v>3.3194370000000002</v>
      </c>
      <c r="M647" s="4">
        <v>103.914399</v>
      </c>
      <c r="N647" s="13">
        <v>5.04</v>
      </c>
      <c r="P647"/>
      <c r="Q647" s="12"/>
      <c r="R647" s="12"/>
    </row>
    <row r="648" spans="1:18" x14ac:dyDescent="0.2">
      <c r="A648">
        <v>6</v>
      </c>
      <c r="B648" t="s">
        <v>32</v>
      </c>
      <c r="C648">
        <v>2016</v>
      </c>
      <c r="D648">
        <v>11</v>
      </c>
      <c r="E648" s="4">
        <v>5646</v>
      </c>
      <c r="F648" s="9">
        <v>0</v>
      </c>
      <c r="G648" s="6">
        <v>3774</v>
      </c>
      <c r="H648" s="9">
        <f t="shared" si="10"/>
        <v>5646</v>
      </c>
      <c r="I648" s="6">
        <v>13136</v>
      </c>
      <c r="J648" s="6">
        <f>VLOOKUP(Table1[[#This Row],[Province]],[1]Sheet1!$A$3:$F$37,3,FALSE)</f>
        <v>7941500</v>
      </c>
      <c r="K648">
        <v>0</v>
      </c>
      <c r="L648" s="4">
        <v>3.3194370000000002</v>
      </c>
      <c r="M648" s="4">
        <v>103.914399</v>
      </c>
      <c r="N648" s="13">
        <v>5.04</v>
      </c>
      <c r="P648"/>
      <c r="Q648" s="12"/>
      <c r="R648" s="12"/>
    </row>
    <row r="649" spans="1:18" x14ac:dyDescent="0.2">
      <c r="A649">
        <v>6</v>
      </c>
      <c r="B649" t="s">
        <v>32</v>
      </c>
      <c r="C649">
        <v>2016</v>
      </c>
      <c r="D649">
        <v>12</v>
      </c>
      <c r="E649" s="4">
        <v>66</v>
      </c>
      <c r="F649" s="9">
        <v>0</v>
      </c>
      <c r="G649" s="6">
        <v>3777</v>
      </c>
      <c r="H649" s="9">
        <f t="shared" si="10"/>
        <v>66</v>
      </c>
      <c r="I649" s="6">
        <v>13500</v>
      </c>
      <c r="J649" s="6">
        <f>VLOOKUP(Table1[[#This Row],[Province]],[1]Sheet1!$A$3:$F$37,3,FALSE)</f>
        <v>7941500</v>
      </c>
      <c r="K649">
        <v>1</v>
      </c>
      <c r="L649" s="4">
        <v>3.3194370000000002</v>
      </c>
      <c r="M649" s="4">
        <v>103.914399</v>
      </c>
      <c r="N649" s="13">
        <v>5.04</v>
      </c>
      <c r="P649"/>
      <c r="Q649" s="12"/>
      <c r="R649" s="12"/>
    </row>
    <row r="650" spans="1:18" x14ac:dyDescent="0.2">
      <c r="A650">
        <v>6</v>
      </c>
      <c r="B650" t="s">
        <v>32</v>
      </c>
      <c r="C650">
        <v>2017</v>
      </c>
      <c r="D650">
        <v>1</v>
      </c>
      <c r="E650" s="4">
        <v>0</v>
      </c>
      <c r="F650" s="9">
        <v>0</v>
      </c>
      <c r="G650" s="6">
        <v>7510</v>
      </c>
      <c r="H650" s="9">
        <f t="shared" si="10"/>
        <v>0</v>
      </c>
      <c r="I650" s="6">
        <v>13500</v>
      </c>
      <c r="J650" s="6">
        <f>VLOOKUP(Table1[[#This Row],[Province]],[1]Sheet1!$A$3:$F$37,3,FALSE)</f>
        <v>7941500</v>
      </c>
      <c r="K650">
        <v>0</v>
      </c>
      <c r="L650" s="4">
        <v>3.3194370000000002</v>
      </c>
      <c r="M650" s="4">
        <v>103.914399</v>
      </c>
      <c r="N650" s="13">
        <v>5.51</v>
      </c>
      <c r="P650"/>
      <c r="Q650" s="12"/>
      <c r="R650" s="12"/>
    </row>
    <row r="651" spans="1:18" x14ac:dyDescent="0.2">
      <c r="A651">
        <v>6</v>
      </c>
      <c r="B651" t="s">
        <v>32</v>
      </c>
      <c r="C651">
        <v>2017</v>
      </c>
      <c r="D651">
        <v>2</v>
      </c>
      <c r="E651" s="4">
        <v>0</v>
      </c>
      <c r="F651" s="9">
        <v>0</v>
      </c>
      <c r="G651" s="6">
        <v>4314</v>
      </c>
      <c r="H651" s="9">
        <f t="shared" si="10"/>
        <v>0</v>
      </c>
      <c r="I651" s="6">
        <v>13500</v>
      </c>
      <c r="J651" s="6">
        <f>VLOOKUP(Table1[[#This Row],[Province]],[1]Sheet1!$A$3:$F$37,3,FALSE)</f>
        <v>7941500</v>
      </c>
      <c r="K651">
        <v>0</v>
      </c>
      <c r="L651" s="4">
        <v>3.3194370000000002</v>
      </c>
      <c r="M651" s="4">
        <v>103.914399</v>
      </c>
      <c r="N651" s="13">
        <v>5.51</v>
      </c>
      <c r="P651"/>
      <c r="Q651" s="12"/>
      <c r="R651" s="12"/>
    </row>
    <row r="652" spans="1:18" x14ac:dyDescent="0.2">
      <c r="A652">
        <v>6</v>
      </c>
      <c r="B652" t="s">
        <v>32</v>
      </c>
      <c r="C652">
        <v>2017</v>
      </c>
      <c r="D652">
        <v>3</v>
      </c>
      <c r="E652" s="4">
        <v>1565</v>
      </c>
      <c r="F652" s="9">
        <v>0</v>
      </c>
      <c r="G652" s="6">
        <v>3371</v>
      </c>
      <c r="H652" s="9">
        <f t="shared" si="10"/>
        <v>1565</v>
      </c>
      <c r="I652" s="6">
        <v>13500</v>
      </c>
      <c r="J652" s="6">
        <f>VLOOKUP(Table1[[#This Row],[Province]],[1]Sheet1!$A$3:$F$37,3,FALSE)</f>
        <v>7941500</v>
      </c>
      <c r="K652">
        <v>0</v>
      </c>
      <c r="L652" s="4">
        <v>3.3194370000000002</v>
      </c>
      <c r="M652" s="4">
        <v>103.914399</v>
      </c>
      <c r="N652" s="13">
        <v>5.51</v>
      </c>
      <c r="P652"/>
      <c r="Q652" s="12"/>
      <c r="R652" s="12"/>
    </row>
    <row r="653" spans="1:18" x14ac:dyDescent="0.2">
      <c r="A653">
        <v>6</v>
      </c>
      <c r="B653" t="s">
        <v>32</v>
      </c>
      <c r="C653">
        <v>2017</v>
      </c>
      <c r="D653">
        <v>4</v>
      </c>
      <c r="E653" s="4">
        <v>2588</v>
      </c>
      <c r="F653" s="9">
        <v>0</v>
      </c>
      <c r="G653" s="6">
        <v>2408</v>
      </c>
      <c r="H653" s="9">
        <f t="shared" si="10"/>
        <v>2588</v>
      </c>
      <c r="I653" s="6">
        <v>13206</v>
      </c>
      <c r="J653" s="6">
        <f>VLOOKUP(Table1[[#This Row],[Province]],[1]Sheet1!$A$3:$F$37,3,FALSE)</f>
        <v>7941500</v>
      </c>
      <c r="K653">
        <v>0</v>
      </c>
      <c r="L653" s="4">
        <v>3.3194370000000002</v>
      </c>
      <c r="M653" s="4">
        <v>103.914399</v>
      </c>
      <c r="N653" s="13">
        <v>5.51</v>
      </c>
      <c r="P653"/>
      <c r="Q653" s="12"/>
      <c r="R653" s="12"/>
    </row>
    <row r="654" spans="1:18" x14ac:dyDescent="0.2">
      <c r="A654">
        <v>6</v>
      </c>
      <c r="B654" t="s">
        <v>32</v>
      </c>
      <c r="C654">
        <v>2017</v>
      </c>
      <c r="D654">
        <v>5</v>
      </c>
      <c r="E654" s="4">
        <v>12145</v>
      </c>
      <c r="F654" s="9">
        <v>0</v>
      </c>
      <c r="G654" s="6">
        <v>2319</v>
      </c>
      <c r="H654" s="9">
        <f t="shared" si="10"/>
        <v>12145</v>
      </c>
      <c r="I654" s="6">
        <v>12700</v>
      </c>
      <c r="J654" s="6">
        <f>VLOOKUP(Table1[[#This Row],[Province]],[1]Sheet1!$A$3:$F$37,3,FALSE)</f>
        <v>7941500</v>
      </c>
      <c r="K654">
        <v>1</v>
      </c>
      <c r="L654" s="4">
        <v>3.3194370000000002</v>
      </c>
      <c r="M654" s="4">
        <v>103.914399</v>
      </c>
      <c r="N654" s="13">
        <v>5.51</v>
      </c>
      <c r="P654"/>
      <c r="Q654" s="12"/>
      <c r="R654" s="12"/>
    </row>
    <row r="655" spans="1:18" x14ac:dyDescent="0.2">
      <c r="A655">
        <v>6</v>
      </c>
      <c r="B655" t="s">
        <v>32</v>
      </c>
      <c r="C655">
        <v>2017</v>
      </c>
      <c r="D655">
        <v>6</v>
      </c>
      <c r="E655" s="4">
        <v>16447</v>
      </c>
      <c r="F655" s="9">
        <v>0</v>
      </c>
      <c r="G655" s="6">
        <v>4291</v>
      </c>
      <c r="H655" s="9">
        <f t="shared" si="10"/>
        <v>16447</v>
      </c>
      <c r="I655" s="6">
        <v>12500</v>
      </c>
      <c r="J655" s="6">
        <f>VLOOKUP(Table1[[#This Row],[Province]],[1]Sheet1!$A$3:$F$37,3,FALSE)</f>
        <v>7941500</v>
      </c>
      <c r="K655">
        <v>0</v>
      </c>
      <c r="L655" s="4">
        <v>3.3194370000000002</v>
      </c>
      <c r="M655" s="4">
        <v>103.914399</v>
      </c>
      <c r="N655" s="13">
        <v>5.51</v>
      </c>
      <c r="P655"/>
      <c r="Q655" s="12"/>
      <c r="R655" s="12"/>
    </row>
    <row r="656" spans="1:18" x14ac:dyDescent="0.2">
      <c r="A656">
        <v>6</v>
      </c>
      <c r="B656" t="s">
        <v>32</v>
      </c>
      <c r="C656">
        <v>2017</v>
      </c>
      <c r="D656">
        <v>7</v>
      </c>
      <c r="E656" s="4">
        <v>12840</v>
      </c>
      <c r="F656" s="9">
        <v>0</v>
      </c>
      <c r="G656" s="6">
        <v>4777</v>
      </c>
      <c r="H656" s="9">
        <f t="shared" si="10"/>
        <v>12840</v>
      </c>
      <c r="I656" s="6">
        <v>12500</v>
      </c>
      <c r="J656" s="6">
        <f>VLOOKUP(Table1[[#This Row],[Province]],[1]Sheet1!$A$3:$F$37,3,FALSE)</f>
        <v>7941500</v>
      </c>
      <c r="K656">
        <v>0</v>
      </c>
      <c r="L656" s="4">
        <v>3.3194370000000002</v>
      </c>
      <c r="M656" s="4">
        <v>103.914399</v>
      </c>
      <c r="N656" s="13">
        <v>5.51</v>
      </c>
      <c r="P656"/>
      <c r="Q656" s="12"/>
      <c r="R656" s="12"/>
    </row>
    <row r="657" spans="1:18" x14ac:dyDescent="0.2">
      <c r="A657">
        <v>6</v>
      </c>
      <c r="B657" t="s">
        <v>32</v>
      </c>
      <c r="C657">
        <v>2017</v>
      </c>
      <c r="D657">
        <v>8</v>
      </c>
      <c r="E657" s="4">
        <v>19500</v>
      </c>
      <c r="F657" s="9">
        <v>0</v>
      </c>
      <c r="G657" s="6">
        <v>9156</v>
      </c>
      <c r="H657" s="9">
        <f t="shared" si="10"/>
        <v>19500</v>
      </c>
      <c r="I657" s="6">
        <v>12500</v>
      </c>
      <c r="J657" s="6">
        <f>VLOOKUP(Table1[[#This Row],[Province]],[1]Sheet1!$A$3:$F$37,3,FALSE)</f>
        <v>7941500</v>
      </c>
      <c r="K657">
        <v>0</v>
      </c>
      <c r="L657" s="4">
        <v>3.3194370000000002</v>
      </c>
      <c r="M657" s="4">
        <v>103.914399</v>
      </c>
      <c r="N657" s="13">
        <v>5.51</v>
      </c>
      <c r="P657"/>
      <c r="Q657" s="12"/>
      <c r="R657" s="12"/>
    </row>
    <row r="658" spans="1:18" x14ac:dyDescent="0.2">
      <c r="A658">
        <v>6</v>
      </c>
      <c r="B658" t="s">
        <v>32</v>
      </c>
      <c r="C658">
        <v>2017</v>
      </c>
      <c r="D658">
        <v>9</v>
      </c>
      <c r="E658" s="4">
        <v>15387</v>
      </c>
      <c r="F658" s="9">
        <v>0</v>
      </c>
      <c r="G658" s="6">
        <v>8873</v>
      </c>
      <c r="H658" s="9">
        <f t="shared" si="10"/>
        <v>15387</v>
      </c>
      <c r="I658" s="6">
        <v>12500</v>
      </c>
      <c r="J658" s="6">
        <f>VLOOKUP(Table1[[#This Row],[Province]],[1]Sheet1!$A$3:$F$37,3,FALSE)</f>
        <v>7941500</v>
      </c>
      <c r="K658">
        <v>0</v>
      </c>
      <c r="L658" s="4">
        <v>3.3194370000000002</v>
      </c>
      <c r="M658" s="4">
        <v>103.914399</v>
      </c>
      <c r="N658" s="13">
        <v>5.51</v>
      </c>
      <c r="P658"/>
      <c r="Q658" s="12"/>
      <c r="R658" s="12"/>
    </row>
    <row r="659" spans="1:18" x14ac:dyDescent="0.2">
      <c r="A659">
        <v>6</v>
      </c>
      <c r="B659" t="s">
        <v>32</v>
      </c>
      <c r="C659">
        <v>2017</v>
      </c>
      <c r="D659">
        <v>10</v>
      </c>
      <c r="E659" s="4">
        <v>6789</v>
      </c>
      <c r="F659" s="9">
        <v>0</v>
      </c>
      <c r="G659" s="6">
        <v>11517</v>
      </c>
      <c r="H659" s="9">
        <f t="shared" si="10"/>
        <v>6789</v>
      </c>
      <c r="I659" s="6">
        <v>12500</v>
      </c>
      <c r="J659" s="6">
        <f>VLOOKUP(Table1[[#This Row],[Province]],[1]Sheet1!$A$3:$F$37,3,FALSE)</f>
        <v>7941500</v>
      </c>
      <c r="K659">
        <v>0</v>
      </c>
      <c r="L659" s="4">
        <v>3.3194370000000002</v>
      </c>
      <c r="M659" s="4">
        <v>103.914399</v>
      </c>
      <c r="N659" s="13">
        <v>5.51</v>
      </c>
      <c r="P659"/>
      <c r="Q659" s="12"/>
      <c r="R659" s="12"/>
    </row>
    <row r="660" spans="1:18" x14ac:dyDescent="0.2">
      <c r="A660">
        <v>6</v>
      </c>
      <c r="B660" t="s">
        <v>32</v>
      </c>
      <c r="C660">
        <v>2017</v>
      </c>
      <c r="D660">
        <v>11</v>
      </c>
      <c r="E660" s="4">
        <v>2722</v>
      </c>
      <c r="F660" s="9">
        <v>0</v>
      </c>
      <c r="G660" s="6">
        <v>3010</v>
      </c>
      <c r="H660" s="9">
        <f t="shared" si="10"/>
        <v>2722</v>
      </c>
      <c r="I660" s="6">
        <v>12500</v>
      </c>
      <c r="J660" s="6">
        <f>VLOOKUP(Table1[[#This Row],[Province]],[1]Sheet1!$A$3:$F$37,3,FALSE)</f>
        <v>7941500</v>
      </c>
      <c r="K660">
        <v>0</v>
      </c>
      <c r="L660" s="4">
        <v>3.3194370000000002</v>
      </c>
      <c r="M660" s="4">
        <v>103.914399</v>
      </c>
      <c r="N660" s="13">
        <v>5.51</v>
      </c>
      <c r="P660"/>
      <c r="Q660" s="12"/>
      <c r="R660" s="12"/>
    </row>
    <row r="661" spans="1:18" x14ac:dyDescent="0.2">
      <c r="A661">
        <v>6</v>
      </c>
      <c r="B661" t="s">
        <v>32</v>
      </c>
      <c r="C661">
        <v>2017</v>
      </c>
      <c r="D661">
        <v>12</v>
      </c>
      <c r="E661" s="4">
        <v>0</v>
      </c>
      <c r="F661" s="9">
        <v>0</v>
      </c>
      <c r="G661" s="6">
        <v>5607</v>
      </c>
      <c r="H661" s="9">
        <f t="shared" si="10"/>
        <v>0</v>
      </c>
      <c r="I661" s="6">
        <v>12500</v>
      </c>
      <c r="J661" s="6">
        <f>VLOOKUP(Table1[[#This Row],[Province]],[1]Sheet1!$A$3:$F$37,3,FALSE)</f>
        <v>7941500</v>
      </c>
      <c r="K661">
        <v>1</v>
      </c>
      <c r="L661" s="4">
        <v>3.3194370000000002</v>
      </c>
      <c r="M661" s="4">
        <v>103.914399</v>
      </c>
      <c r="N661" s="13">
        <v>5.51</v>
      </c>
      <c r="P661"/>
      <c r="Q661" s="12"/>
      <c r="R661" s="12"/>
    </row>
    <row r="662" spans="1:18" x14ac:dyDescent="0.2">
      <c r="A662">
        <v>6</v>
      </c>
      <c r="B662" t="s">
        <v>32</v>
      </c>
      <c r="C662">
        <v>2018</v>
      </c>
      <c r="D662">
        <v>1</v>
      </c>
      <c r="E662" s="4">
        <v>0</v>
      </c>
      <c r="F662" s="9">
        <v>0</v>
      </c>
      <c r="G662" s="6">
        <v>9411</v>
      </c>
      <c r="H662" s="9">
        <f t="shared" si="10"/>
        <v>0</v>
      </c>
      <c r="I662" s="6">
        <v>11917</v>
      </c>
      <c r="J662" s="6">
        <f>VLOOKUP(Table1[[#This Row],[Province]],[1]Sheet1!$A$3:$F$37,3,FALSE)</f>
        <v>7941500</v>
      </c>
      <c r="K662">
        <v>0</v>
      </c>
      <c r="L662" s="4">
        <v>3.3194370000000002</v>
      </c>
      <c r="M662" s="4">
        <v>103.914399</v>
      </c>
      <c r="N662" s="13">
        <v>6.01</v>
      </c>
      <c r="P662"/>
      <c r="Q662" s="12"/>
      <c r="R662" s="12"/>
    </row>
    <row r="663" spans="1:18" x14ac:dyDescent="0.2">
      <c r="A663">
        <v>6</v>
      </c>
      <c r="B663" t="s">
        <v>32</v>
      </c>
      <c r="C663">
        <v>2018</v>
      </c>
      <c r="D663">
        <v>2</v>
      </c>
      <c r="E663" s="4">
        <v>0</v>
      </c>
      <c r="F663" s="9">
        <v>0</v>
      </c>
      <c r="G663" s="6">
        <v>10412</v>
      </c>
      <c r="H663" s="9">
        <f t="shared" si="10"/>
        <v>0</v>
      </c>
      <c r="I663" s="6">
        <v>11886</v>
      </c>
      <c r="J663" s="6">
        <f>VLOOKUP(Table1[[#This Row],[Province]],[1]Sheet1!$A$3:$F$37,3,FALSE)</f>
        <v>7941500</v>
      </c>
      <c r="K663">
        <v>0</v>
      </c>
      <c r="L663" s="4">
        <v>3.3194370000000002</v>
      </c>
      <c r="M663" s="4">
        <v>103.914399</v>
      </c>
      <c r="N663" s="13">
        <v>6.01</v>
      </c>
      <c r="P663"/>
      <c r="Q663" s="12"/>
      <c r="R663" s="12"/>
    </row>
    <row r="664" spans="1:18" x14ac:dyDescent="0.2">
      <c r="A664">
        <v>6</v>
      </c>
      <c r="B664" t="s">
        <v>32</v>
      </c>
      <c r="C664">
        <v>2018</v>
      </c>
      <c r="D664">
        <v>3</v>
      </c>
      <c r="E664" s="4">
        <v>1815</v>
      </c>
      <c r="F664" s="9">
        <v>0</v>
      </c>
      <c r="G664" s="6">
        <v>6785</v>
      </c>
      <c r="H664" s="9">
        <f t="shared" si="10"/>
        <v>1815</v>
      </c>
      <c r="I664" s="6">
        <v>11917</v>
      </c>
      <c r="J664" s="6">
        <f>VLOOKUP(Table1[[#This Row],[Province]],[1]Sheet1!$A$3:$F$37,3,FALSE)</f>
        <v>7941500</v>
      </c>
      <c r="K664">
        <v>0</v>
      </c>
      <c r="L664" s="4">
        <v>3.3194370000000002</v>
      </c>
      <c r="M664" s="4">
        <v>103.914399</v>
      </c>
      <c r="N664" s="13">
        <v>6.01</v>
      </c>
      <c r="P664"/>
      <c r="Q664" s="12"/>
      <c r="R664" s="12"/>
    </row>
    <row r="665" spans="1:18" x14ac:dyDescent="0.2">
      <c r="A665">
        <v>6</v>
      </c>
      <c r="B665" t="s">
        <v>32</v>
      </c>
      <c r="C665">
        <v>2018</v>
      </c>
      <c r="D665">
        <v>4</v>
      </c>
      <c r="E665" s="4">
        <v>4102</v>
      </c>
      <c r="F665" s="9">
        <v>0</v>
      </c>
      <c r="G665" s="6">
        <v>9434</v>
      </c>
      <c r="H665" s="9">
        <f t="shared" si="10"/>
        <v>4102</v>
      </c>
      <c r="I665" s="6">
        <v>11917</v>
      </c>
      <c r="J665" s="6">
        <f>VLOOKUP(Table1[[#This Row],[Province]],[1]Sheet1!$A$3:$F$37,3,FALSE)</f>
        <v>7941500</v>
      </c>
      <c r="K665">
        <v>0</v>
      </c>
      <c r="L665" s="4">
        <v>3.3194370000000002</v>
      </c>
      <c r="M665" s="4">
        <v>103.914399</v>
      </c>
      <c r="N665" s="13">
        <v>6.01</v>
      </c>
      <c r="P665"/>
      <c r="Q665" s="12"/>
      <c r="R665" s="12"/>
    </row>
    <row r="666" spans="1:18" x14ac:dyDescent="0.2">
      <c r="A666">
        <v>6</v>
      </c>
      <c r="B666" t="s">
        <v>32</v>
      </c>
      <c r="C666">
        <v>2018</v>
      </c>
      <c r="D666">
        <v>5</v>
      </c>
      <c r="E666" s="4">
        <v>9365</v>
      </c>
      <c r="F666" s="9">
        <v>0</v>
      </c>
      <c r="G666" s="6">
        <v>7580</v>
      </c>
      <c r="H666" s="9">
        <f t="shared" si="10"/>
        <v>9365</v>
      </c>
      <c r="I666" s="6">
        <v>12000</v>
      </c>
      <c r="J666" s="6">
        <f>VLOOKUP(Table1[[#This Row],[Province]],[1]Sheet1!$A$3:$F$37,3,FALSE)</f>
        <v>7941500</v>
      </c>
      <c r="K666">
        <v>1</v>
      </c>
      <c r="L666" s="4">
        <v>3.3194370000000002</v>
      </c>
      <c r="M666" s="4">
        <v>103.914399</v>
      </c>
      <c r="N666" s="13">
        <v>6.01</v>
      </c>
      <c r="P666"/>
      <c r="Q666" s="12"/>
      <c r="R666" s="12"/>
    </row>
    <row r="667" spans="1:18" x14ac:dyDescent="0.2">
      <c r="A667">
        <v>6</v>
      </c>
      <c r="B667" t="s">
        <v>32</v>
      </c>
      <c r="C667">
        <v>2018</v>
      </c>
      <c r="D667">
        <v>6</v>
      </c>
      <c r="E667" s="4">
        <v>16937</v>
      </c>
      <c r="F667" s="9">
        <v>0</v>
      </c>
      <c r="G667" s="6">
        <v>8897</v>
      </c>
      <c r="H667" s="9">
        <f t="shared" si="10"/>
        <v>16937</v>
      </c>
      <c r="I667" s="6">
        <v>12000</v>
      </c>
      <c r="J667" s="6">
        <f>VLOOKUP(Table1[[#This Row],[Province]],[1]Sheet1!$A$3:$F$37,3,FALSE)</f>
        <v>7941500</v>
      </c>
      <c r="K667">
        <v>0</v>
      </c>
      <c r="L667" s="4">
        <v>3.3194370000000002</v>
      </c>
      <c r="M667" s="4">
        <v>103.914399</v>
      </c>
      <c r="N667" s="13">
        <v>6.01</v>
      </c>
      <c r="P667"/>
      <c r="Q667" s="12"/>
      <c r="R667" s="12"/>
    </row>
    <row r="668" spans="1:18" x14ac:dyDescent="0.2">
      <c r="A668">
        <v>6</v>
      </c>
      <c r="B668" t="s">
        <v>32</v>
      </c>
      <c r="C668">
        <v>2018</v>
      </c>
      <c r="D668">
        <v>7</v>
      </c>
      <c r="E668" s="4">
        <v>15783</v>
      </c>
      <c r="F668" s="9">
        <v>0</v>
      </c>
      <c r="G668" s="6">
        <v>7241</v>
      </c>
      <c r="H668" s="9">
        <f t="shared" si="10"/>
        <v>15783</v>
      </c>
      <c r="I668" s="6">
        <v>12000</v>
      </c>
      <c r="J668" s="6">
        <f>VLOOKUP(Table1[[#This Row],[Province]],[1]Sheet1!$A$3:$F$37,3,FALSE)</f>
        <v>7941500</v>
      </c>
      <c r="K668">
        <v>0</v>
      </c>
      <c r="L668" s="4">
        <v>3.3194370000000002</v>
      </c>
      <c r="M668" s="4">
        <v>103.914399</v>
      </c>
      <c r="N668" s="13">
        <v>6.01</v>
      </c>
      <c r="P668"/>
      <c r="Q668" s="12"/>
      <c r="R668" s="12"/>
    </row>
    <row r="669" spans="1:18" x14ac:dyDescent="0.2">
      <c r="A669">
        <v>6</v>
      </c>
      <c r="B669" t="s">
        <v>32</v>
      </c>
      <c r="C669">
        <v>2018</v>
      </c>
      <c r="D669">
        <v>8</v>
      </c>
      <c r="E669" s="4">
        <v>24560</v>
      </c>
      <c r="F669" s="9">
        <v>0</v>
      </c>
      <c r="G669" s="6">
        <v>7390</v>
      </c>
      <c r="H669" s="9">
        <f t="shared" si="10"/>
        <v>24560</v>
      </c>
      <c r="I669" s="6">
        <v>12000</v>
      </c>
      <c r="J669" s="6">
        <f>VLOOKUP(Table1[[#This Row],[Province]],[1]Sheet1!$A$3:$F$37,3,FALSE)</f>
        <v>7941500</v>
      </c>
      <c r="K669">
        <v>0</v>
      </c>
      <c r="L669" s="4">
        <v>3.3194370000000002</v>
      </c>
      <c r="M669" s="4">
        <v>103.914399</v>
      </c>
      <c r="N669" s="13">
        <v>6.01</v>
      </c>
      <c r="P669"/>
      <c r="Q669" s="12"/>
      <c r="R669" s="12"/>
    </row>
    <row r="670" spans="1:18" x14ac:dyDescent="0.2">
      <c r="A670">
        <v>6</v>
      </c>
      <c r="B670" t="s">
        <v>32</v>
      </c>
      <c r="C670">
        <v>2018</v>
      </c>
      <c r="D670">
        <v>9</v>
      </c>
      <c r="E670" s="4">
        <v>19080</v>
      </c>
      <c r="F670" s="9">
        <v>0</v>
      </c>
      <c r="G670" s="6">
        <v>8551</v>
      </c>
      <c r="H670" s="9">
        <f t="shared" si="10"/>
        <v>19080</v>
      </c>
      <c r="I670" s="6">
        <v>12000</v>
      </c>
      <c r="J670" s="6">
        <f>VLOOKUP(Table1[[#This Row],[Province]],[1]Sheet1!$A$3:$F$37,3,FALSE)</f>
        <v>7941500</v>
      </c>
      <c r="K670">
        <v>0</v>
      </c>
      <c r="L670" s="4">
        <v>3.3194370000000002</v>
      </c>
      <c r="M670" s="4">
        <v>103.914399</v>
      </c>
      <c r="N670" s="13">
        <v>6.01</v>
      </c>
      <c r="P670"/>
      <c r="Q670" s="12"/>
      <c r="R670" s="12"/>
    </row>
    <row r="671" spans="1:18" x14ac:dyDescent="0.2">
      <c r="A671">
        <v>6</v>
      </c>
      <c r="B671" t="s">
        <v>32</v>
      </c>
      <c r="C671">
        <v>2018</v>
      </c>
      <c r="D671">
        <v>10</v>
      </c>
      <c r="E671" s="4">
        <v>4704</v>
      </c>
      <c r="F671" s="9">
        <v>0</v>
      </c>
      <c r="G671" s="6">
        <v>8115</v>
      </c>
      <c r="H671" s="9">
        <f t="shared" si="10"/>
        <v>4704</v>
      </c>
      <c r="I671" s="6">
        <v>12000</v>
      </c>
      <c r="J671" s="6">
        <f>VLOOKUP(Table1[[#This Row],[Province]],[1]Sheet1!$A$3:$F$37,3,FALSE)</f>
        <v>7941500</v>
      </c>
      <c r="K671">
        <v>0</v>
      </c>
      <c r="L671" s="4">
        <v>3.3194370000000002</v>
      </c>
      <c r="M671" s="4">
        <v>103.914399</v>
      </c>
      <c r="N671" s="13">
        <v>6.01</v>
      </c>
      <c r="P671"/>
      <c r="Q671" s="12"/>
      <c r="R671" s="12"/>
    </row>
    <row r="672" spans="1:18" x14ac:dyDescent="0.2">
      <c r="A672">
        <v>6</v>
      </c>
      <c r="B672" t="s">
        <v>32</v>
      </c>
      <c r="C672">
        <v>2018</v>
      </c>
      <c r="D672">
        <v>11</v>
      </c>
      <c r="E672" s="4">
        <v>417</v>
      </c>
      <c r="F672" s="9">
        <v>0</v>
      </c>
      <c r="G672" s="6">
        <v>12836</v>
      </c>
      <c r="H672" s="9">
        <f t="shared" si="10"/>
        <v>417</v>
      </c>
      <c r="I672" s="6">
        <v>11000</v>
      </c>
      <c r="J672" s="6">
        <f>VLOOKUP(Table1[[#This Row],[Province]],[1]Sheet1!$A$3:$F$37,3,FALSE)</f>
        <v>7941500</v>
      </c>
      <c r="K672">
        <v>0</v>
      </c>
      <c r="L672" s="4">
        <v>3.3194370000000002</v>
      </c>
      <c r="M672" s="4">
        <v>103.914399</v>
      </c>
      <c r="N672" s="13">
        <v>6.01</v>
      </c>
      <c r="P672"/>
      <c r="Q672" s="12"/>
      <c r="R672" s="12"/>
    </row>
    <row r="673" spans="1:18" x14ac:dyDescent="0.2">
      <c r="A673">
        <v>6</v>
      </c>
      <c r="B673" t="s">
        <v>32</v>
      </c>
      <c r="C673">
        <v>2018</v>
      </c>
      <c r="D673">
        <v>12</v>
      </c>
      <c r="E673" s="4">
        <v>0</v>
      </c>
      <c r="F673" s="9">
        <v>0</v>
      </c>
      <c r="G673" s="6">
        <v>5192</v>
      </c>
      <c r="H673" s="9">
        <f t="shared" si="10"/>
        <v>0</v>
      </c>
      <c r="I673" s="6">
        <v>10964</v>
      </c>
      <c r="J673" s="6">
        <f>VLOOKUP(Table1[[#This Row],[Province]],[1]Sheet1!$A$3:$F$37,3,FALSE)</f>
        <v>7941500</v>
      </c>
      <c r="K673">
        <v>1</v>
      </c>
      <c r="L673" s="4">
        <v>3.3194370000000002</v>
      </c>
      <c r="M673" s="4">
        <v>103.914399</v>
      </c>
      <c r="N673" s="13">
        <v>6.01</v>
      </c>
      <c r="P673"/>
      <c r="Q673" s="12"/>
      <c r="R673" s="12"/>
    </row>
    <row r="674" spans="1:18" x14ac:dyDescent="0.2">
      <c r="A674">
        <v>6</v>
      </c>
      <c r="B674" t="s">
        <v>32</v>
      </c>
      <c r="C674">
        <v>2019</v>
      </c>
      <c r="D674">
        <v>1</v>
      </c>
      <c r="E674" s="4">
        <v>0</v>
      </c>
      <c r="F674" s="9">
        <v>0</v>
      </c>
      <c r="G674" s="6">
        <v>7774</v>
      </c>
      <c r="H674" s="9">
        <f t="shared" si="10"/>
        <v>0</v>
      </c>
      <c r="I674" s="6">
        <v>10964</v>
      </c>
      <c r="J674" s="6">
        <f>VLOOKUP(Table1[[#This Row],[Province]],[1]Sheet1!$A$3:$F$37,3,FALSE)</f>
        <v>7941500</v>
      </c>
      <c r="K674">
        <v>0</v>
      </c>
      <c r="L674" s="4">
        <v>3.3194370000000002</v>
      </c>
      <c r="M674" s="4">
        <v>103.914399</v>
      </c>
      <c r="N674" s="13">
        <v>5.69</v>
      </c>
      <c r="P674"/>
      <c r="Q674" s="12"/>
      <c r="R674" s="12"/>
    </row>
    <row r="675" spans="1:18" x14ac:dyDescent="0.2">
      <c r="A675">
        <v>6</v>
      </c>
      <c r="B675" t="s">
        <v>32</v>
      </c>
      <c r="C675">
        <v>2019</v>
      </c>
      <c r="D675">
        <v>2</v>
      </c>
      <c r="E675" s="4">
        <v>0</v>
      </c>
      <c r="F675" s="9">
        <v>0</v>
      </c>
      <c r="G675" s="6">
        <v>9053</v>
      </c>
      <c r="H675" s="9">
        <f t="shared" si="10"/>
        <v>0</v>
      </c>
      <c r="I675" s="6">
        <v>11424</v>
      </c>
      <c r="J675" s="6">
        <f>VLOOKUP(Table1[[#This Row],[Province]],[1]Sheet1!$A$3:$F$37,3,FALSE)</f>
        <v>7941500</v>
      </c>
      <c r="K675">
        <v>0</v>
      </c>
      <c r="L675" s="4">
        <v>3.3194370000000002</v>
      </c>
      <c r="M675" s="4">
        <v>103.914399</v>
      </c>
      <c r="N675" s="13">
        <v>5.69</v>
      </c>
      <c r="P675"/>
      <c r="Q675" s="12"/>
      <c r="R675" s="12"/>
    </row>
    <row r="676" spans="1:18" x14ac:dyDescent="0.2">
      <c r="A676">
        <v>6</v>
      </c>
      <c r="B676" t="s">
        <v>32</v>
      </c>
      <c r="C676">
        <v>2019</v>
      </c>
      <c r="D676">
        <v>3</v>
      </c>
      <c r="E676" s="4">
        <v>0</v>
      </c>
      <c r="F676" s="9">
        <v>0</v>
      </c>
      <c r="G676" s="6">
        <v>7925</v>
      </c>
      <c r="H676" s="9">
        <f t="shared" si="10"/>
        <v>0</v>
      </c>
      <c r="I676" s="6">
        <v>11490</v>
      </c>
      <c r="J676" s="6">
        <f>VLOOKUP(Table1[[#This Row],[Province]],[1]Sheet1!$A$3:$F$37,3,FALSE)</f>
        <v>7941500</v>
      </c>
      <c r="K676">
        <v>0</v>
      </c>
      <c r="L676" s="4">
        <v>3.3194370000000002</v>
      </c>
      <c r="M676" s="4">
        <v>103.914399</v>
      </c>
      <c r="N676" s="13">
        <v>5.69</v>
      </c>
      <c r="P676"/>
      <c r="Q676" s="12"/>
      <c r="R676" s="12"/>
    </row>
    <row r="677" spans="1:18" x14ac:dyDescent="0.2">
      <c r="A677">
        <v>6</v>
      </c>
      <c r="B677" t="s">
        <v>32</v>
      </c>
      <c r="C677">
        <v>2019</v>
      </c>
      <c r="D677">
        <v>4</v>
      </c>
      <c r="E677" s="4">
        <v>741</v>
      </c>
      <c r="F677" s="9">
        <v>0</v>
      </c>
      <c r="G677" s="6">
        <v>10295</v>
      </c>
      <c r="H677" s="9">
        <f t="shared" si="10"/>
        <v>741</v>
      </c>
      <c r="I677" s="6">
        <v>11699</v>
      </c>
      <c r="J677" s="6">
        <f>VLOOKUP(Table1[[#This Row],[Province]],[1]Sheet1!$A$3:$F$37,3,FALSE)</f>
        <v>7941500</v>
      </c>
      <c r="K677">
        <v>0</v>
      </c>
      <c r="L677" s="4">
        <v>3.3194370000000002</v>
      </c>
      <c r="M677" s="4">
        <v>103.914399</v>
      </c>
      <c r="N677" s="13">
        <v>5.69</v>
      </c>
      <c r="P677"/>
      <c r="Q677" s="12"/>
      <c r="R677" s="12"/>
    </row>
    <row r="678" spans="1:18" x14ac:dyDescent="0.2">
      <c r="A678">
        <v>6</v>
      </c>
      <c r="B678" t="s">
        <v>32</v>
      </c>
      <c r="C678">
        <v>2019</v>
      </c>
      <c r="D678">
        <v>5</v>
      </c>
      <c r="E678" s="4">
        <v>9182</v>
      </c>
      <c r="F678" s="9">
        <v>0</v>
      </c>
      <c r="G678" s="6">
        <v>10867</v>
      </c>
      <c r="H678" s="9">
        <f t="shared" si="10"/>
        <v>9182</v>
      </c>
      <c r="I678" s="6">
        <v>12151</v>
      </c>
      <c r="J678" s="6">
        <f>VLOOKUP(Table1[[#This Row],[Province]],[1]Sheet1!$A$3:$F$37,3,FALSE)</f>
        <v>7941500</v>
      </c>
      <c r="K678">
        <v>1</v>
      </c>
      <c r="L678" s="4">
        <v>3.3194370000000002</v>
      </c>
      <c r="M678" s="4">
        <v>103.914399</v>
      </c>
      <c r="N678" s="13">
        <v>5.69</v>
      </c>
      <c r="P678"/>
      <c r="Q678" s="12"/>
      <c r="R678" s="12"/>
    </row>
    <row r="679" spans="1:18" x14ac:dyDescent="0.2">
      <c r="A679">
        <v>6</v>
      </c>
      <c r="B679" t="s">
        <v>32</v>
      </c>
      <c r="C679">
        <v>2019</v>
      </c>
      <c r="D679">
        <v>6</v>
      </c>
      <c r="E679" s="4">
        <v>6452</v>
      </c>
      <c r="F679" s="9">
        <v>0</v>
      </c>
      <c r="G679" s="6">
        <v>5261</v>
      </c>
      <c r="H679" s="9">
        <f t="shared" si="10"/>
        <v>6452</v>
      </c>
      <c r="I679" s="6">
        <v>12618</v>
      </c>
      <c r="J679" s="6">
        <f>VLOOKUP(Table1[[#This Row],[Province]],[1]Sheet1!$A$3:$F$37,3,FALSE)</f>
        <v>7941500</v>
      </c>
      <c r="K679">
        <v>0</v>
      </c>
      <c r="L679" s="4">
        <v>3.3194370000000002</v>
      </c>
      <c r="M679" s="4">
        <v>103.914399</v>
      </c>
      <c r="N679" s="13">
        <v>5.69</v>
      </c>
      <c r="P679"/>
      <c r="Q679" s="12"/>
      <c r="R679" s="12"/>
    </row>
    <row r="680" spans="1:18" x14ac:dyDescent="0.2">
      <c r="A680">
        <v>6</v>
      </c>
      <c r="B680" t="s">
        <v>32</v>
      </c>
      <c r="C680">
        <v>2019</v>
      </c>
      <c r="D680">
        <v>7</v>
      </c>
      <c r="E680" s="4">
        <v>24613</v>
      </c>
      <c r="F680" s="9">
        <v>0</v>
      </c>
      <c r="G680" s="6">
        <v>6187</v>
      </c>
      <c r="H680" s="9">
        <f t="shared" si="10"/>
        <v>24613</v>
      </c>
      <c r="I680" s="6">
        <v>12458</v>
      </c>
      <c r="J680" s="6">
        <f>VLOOKUP(Table1[[#This Row],[Province]],[1]Sheet1!$A$3:$F$37,3,FALSE)</f>
        <v>7941500</v>
      </c>
      <c r="K680">
        <v>0</v>
      </c>
      <c r="L680" s="4">
        <v>3.3194370000000002</v>
      </c>
      <c r="M680" s="4">
        <v>103.914399</v>
      </c>
      <c r="N680" s="13">
        <v>5.69</v>
      </c>
      <c r="P680"/>
      <c r="Q680" s="12"/>
      <c r="R680" s="12"/>
    </row>
    <row r="681" spans="1:18" x14ac:dyDescent="0.2">
      <c r="A681">
        <v>6</v>
      </c>
      <c r="B681" t="s">
        <v>32</v>
      </c>
      <c r="C681">
        <v>2019</v>
      </c>
      <c r="D681">
        <v>8</v>
      </c>
      <c r="E681" s="4">
        <v>19359</v>
      </c>
      <c r="F681" s="9">
        <v>0</v>
      </c>
      <c r="G681" s="6">
        <v>8652</v>
      </c>
      <c r="H681" s="9">
        <f t="shared" si="10"/>
        <v>19359</v>
      </c>
      <c r="I681" s="6">
        <v>12368</v>
      </c>
      <c r="J681" s="6">
        <f>VLOOKUP(Table1[[#This Row],[Province]],[1]Sheet1!$A$3:$F$37,3,FALSE)</f>
        <v>7941500</v>
      </c>
      <c r="K681">
        <v>0</v>
      </c>
      <c r="L681" s="4">
        <v>3.3194370000000002</v>
      </c>
      <c r="M681" s="4">
        <v>103.914399</v>
      </c>
      <c r="N681" s="13">
        <v>5.69</v>
      </c>
      <c r="P681"/>
      <c r="Q681" s="12"/>
      <c r="R681" s="12"/>
    </row>
    <row r="682" spans="1:18" x14ac:dyDescent="0.2">
      <c r="A682">
        <v>6</v>
      </c>
      <c r="B682" t="s">
        <v>32</v>
      </c>
      <c r="C682">
        <v>2019</v>
      </c>
      <c r="D682">
        <v>9</v>
      </c>
      <c r="E682" s="4">
        <v>23402</v>
      </c>
      <c r="F682" s="9">
        <v>0</v>
      </c>
      <c r="G682" s="6">
        <v>7651</v>
      </c>
      <c r="H682" s="9">
        <f t="shared" si="10"/>
        <v>23402</v>
      </c>
      <c r="I682" s="6">
        <v>12205</v>
      </c>
      <c r="J682" s="6">
        <f>VLOOKUP(Table1[[#This Row],[Province]],[1]Sheet1!$A$3:$F$37,3,FALSE)</f>
        <v>7941500</v>
      </c>
      <c r="K682">
        <v>0</v>
      </c>
      <c r="L682" s="4">
        <v>3.3194370000000002</v>
      </c>
      <c r="M682" s="4">
        <v>103.914399</v>
      </c>
      <c r="N682" s="13">
        <v>5.69</v>
      </c>
      <c r="P682"/>
      <c r="Q682" s="12"/>
      <c r="R682" s="12"/>
    </row>
    <row r="683" spans="1:18" x14ac:dyDescent="0.2">
      <c r="A683">
        <v>6</v>
      </c>
      <c r="B683" t="s">
        <v>32</v>
      </c>
      <c r="C683">
        <v>2019</v>
      </c>
      <c r="D683">
        <v>10</v>
      </c>
      <c r="E683" s="4">
        <v>6673</v>
      </c>
      <c r="F683" s="9">
        <v>0</v>
      </c>
      <c r="G683" s="6">
        <v>4777</v>
      </c>
      <c r="H683" s="9">
        <f t="shared" si="10"/>
        <v>6673</v>
      </c>
      <c r="I683" s="6">
        <v>12229</v>
      </c>
      <c r="J683" s="6">
        <f>VLOOKUP(Table1[[#This Row],[Province]],[1]Sheet1!$A$3:$F$37,3,FALSE)</f>
        <v>7941500</v>
      </c>
      <c r="K683">
        <v>0</v>
      </c>
      <c r="L683" s="4">
        <v>3.3194370000000002</v>
      </c>
      <c r="M683" s="4">
        <v>103.914399</v>
      </c>
      <c r="N683" s="13">
        <v>5.69</v>
      </c>
      <c r="P683"/>
      <c r="Q683" s="12"/>
      <c r="R683" s="12"/>
    </row>
    <row r="684" spans="1:18" x14ac:dyDescent="0.2">
      <c r="A684">
        <v>6</v>
      </c>
      <c r="B684" t="s">
        <v>32</v>
      </c>
      <c r="C684">
        <v>2019</v>
      </c>
      <c r="D684">
        <v>11</v>
      </c>
      <c r="E684" s="4">
        <v>0</v>
      </c>
      <c r="F684" s="9">
        <v>0</v>
      </c>
      <c r="G684" s="6">
        <v>5536</v>
      </c>
      <c r="H684" s="9">
        <f t="shared" si="10"/>
        <v>0</v>
      </c>
      <c r="I684" s="6">
        <v>12543</v>
      </c>
      <c r="J684" s="6">
        <f>VLOOKUP(Table1[[#This Row],[Province]],[1]Sheet1!$A$3:$F$37,3,FALSE)</f>
        <v>7941500</v>
      </c>
      <c r="K684">
        <v>0</v>
      </c>
      <c r="L684" s="4">
        <v>3.3194370000000002</v>
      </c>
      <c r="M684" s="4">
        <v>103.914399</v>
      </c>
      <c r="N684" s="13">
        <v>5.69</v>
      </c>
      <c r="P684"/>
      <c r="Q684" s="12"/>
      <c r="R684" s="12"/>
    </row>
    <row r="685" spans="1:18" x14ac:dyDescent="0.2">
      <c r="A685">
        <v>6</v>
      </c>
      <c r="B685" t="s">
        <v>32</v>
      </c>
      <c r="C685">
        <v>2019</v>
      </c>
      <c r="D685">
        <v>12</v>
      </c>
      <c r="E685" s="4">
        <v>0</v>
      </c>
      <c r="F685" s="9">
        <v>0</v>
      </c>
      <c r="G685" s="6">
        <v>4507</v>
      </c>
      <c r="H685" s="9">
        <f t="shared" si="10"/>
        <v>0</v>
      </c>
      <c r="I685" s="6">
        <v>12786</v>
      </c>
      <c r="J685" s="6">
        <f>VLOOKUP(Table1[[#This Row],[Province]],[1]Sheet1!$A$3:$F$37,3,FALSE)</f>
        <v>7941500</v>
      </c>
      <c r="K685">
        <v>1</v>
      </c>
      <c r="L685" s="4">
        <v>3.3194370000000002</v>
      </c>
      <c r="M685" s="4">
        <v>103.914399</v>
      </c>
      <c r="N685" s="13">
        <v>5.69</v>
      </c>
      <c r="P685"/>
      <c r="Q685" s="12"/>
      <c r="R685" s="12"/>
    </row>
    <row r="686" spans="1:18" x14ac:dyDescent="0.2">
      <c r="A686">
        <v>6</v>
      </c>
      <c r="B686" t="s">
        <v>32</v>
      </c>
      <c r="C686">
        <v>2020</v>
      </c>
      <c r="D686">
        <v>2</v>
      </c>
      <c r="E686" s="4">
        <v>0</v>
      </c>
      <c r="F686" s="9">
        <v>0</v>
      </c>
      <c r="G686" s="6">
        <v>5818</v>
      </c>
      <c r="H686" s="9">
        <f t="shared" si="10"/>
        <v>0</v>
      </c>
      <c r="I686" s="6">
        <v>13837</v>
      </c>
      <c r="J686" s="6">
        <f>VLOOKUP(Table1[[#This Row],[Province]],[1]Sheet1!$A$3:$F$37,3,FALSE)</f>
        <v>7941500</v>
      </c>
      <c r="K686">
        <v>0</v>
      </c>
      <c r="L686" s="4">
        <v>3.3194370000000002</v>
      </c>
      <c r="M686" s="4">
        <v>103.914399</v>
      </c>
      <c r="N686" s="13">
        <v>-0.11</v>
      </c>
      <c r="P686"/>
      <c r="Q686" s="12"/>
      <c r="R686" s="12"/>
    </row>
    <row r="687" spans="1:18" x14ac:dyDescent="0.2">
      <c r="A687">
        <v>6</v>
      </c>
      <c r="B687" t="s">
        <v>32</v>
      </c>
      <c r="C687">
        <v>2020</v>
      </c>
      <c r="D687">
        <v>3</v>
      </c>
      <c r="E687" s="4">
        <v>0</v>
      </c>
      <c r="F687" s="9">
        <v>0</v>
      </c>
      <c r="G687" s="6">
        <v>4291</v>
      </c>
      <c r="H687" s="9">
        <f t="shared" si="10"/>
        <v>0</v>
      </c>
      <c r="I687" s="6">
        <v>15774</v>
      </c>
      <c r="J687" s="6">
        <f>VLOOKUP(Table1[[#This Row],[Province]],[1]Sheet1!$A$3:$F$37,3,FALSE)</f>
        <v>7941500</v>
      </c>
      <c r="K687">
        <v>0</v>
      </c>
      <c r="L687" s="4">
        <v>3.3194370000000002</v>
      </c>
      <c r="M687" s="4">
        <v>103.914399</v>
      </c>
      <c r="N687" s="13">
        <v>-0.11</v>
      </c>
      <c r="P687"/>
      <c r="Q687" s="12"/>
      <c r="R687" s="12"/>
    </row>
    <row r="688" spans="1:18" x14ac:dyDescent="0.2">
      <c r="A688">
        <v>6</v>
      </c>
      <c r="B688" t="s">
        <v>32</v>
      </c>
      <c r="C688">
        <v>2020</v>
      </c>
      <c r="D688">
        <v>4</v>
      </c>
      <c r="E688" s="4">
        <v>0</v>
      </c>
      <c r="F688" s="9">
        <v>0</v>
      </c>
      <c r="G688" s="6">
        <v>5159</v>
      </c>
      <c r="H688" s="9">
        <f t="shared" si="10"/>
        <v>0</v>
      </c>
      <c r="I688" s="6">
        <v>18000</v>
      </c>
      <c r="J688" s="6">
        <f>VLOOKUP(Table1[[#This Row],[Province]],[1]Sheet1!$A$3:$F$37,3,FALSE)</f>
        <v>7941500</v>
      </c>
      <c r="K688">
        <v>1</v>
      </c>
      <c r="L688" s="4">
        <v>3.3194370000000002</v>
      </c>
      <c r="M688" s="4">
        <v>103.914399</v>
      </c>
      <c r="N688" s="13">
        <v>-0.11</v>
      </c>
      <c r="P688"/>
      <c r="Q688" s="12"/>
      <c r="R688" s="12"/>
    </row>
    <row r="689" spans="1:18" x14ac:dyDescent="0.2">
      <c r="A689">
        <v>6</v>
      </c>
      <c r="B689" t="s">
        <v>32</v>
      </c>
      <c r="C689">
        <v>2020</v>
      </c>
      <c r="D689">
        <v>5</v>
      </c>
      <c r="E689" s="4">
        <v>0</v>
      </c>
      <c r="F689" s="9">
        <v>0</v>
      </c>
      <c r="G689" s="6">
        <v>6943</v>
      </c>
      <c r="H689" s="9">
        <f t="shared" si="10"/>
        <v>0</v>
      </c>
      <c r="I689" s="6">
        <v>15000</v>
      </c>
      <c r="J689" s="6">
        <f>VLOOKUP(Table1[[#This Row],[Province]],[1]Sheet1!$A$3:$F$37,3,FALSE)</f>
        <v>7941500</v>
      </c>
      <c r="K689">
        <v>0</v>
      </c>
      <c r="L689" s="4">
        <v>3.3194370000000002</v>
      </c>
      <c r="M689" s="4">
        <v>103.914399</v>
      </c>
      <c r="N689" s="13">
        <v>-0.11</v>
      </c>
      <c r="P689"/>
      <c r="Q689" s="12"/>
      <c r="R689" s="12"/>
    </row>
    <row r="690" spans="1:18" x14ac:dyDescent="0.2">
      <c r="A690">
        <v>6</v>
      </c>
      <c r="B690" t="s">
        <v>32</v>
      </c>
      <c r="C690">
        <v>2020</v>
      </c>
      <c r="D690">
        <v>5</v>
      </c>
      <c r="E690" s="4">
        <v>0</v>
      </c>
      <c r="F690" s="9">
        <v>0</v>
      </c>
      <c r="G690" s="6">
        <v>3999</v>
      </c>
      <c r="H690" s="9">
        <f t="shared" si="10"/>
        <v>0</v>
      </c>
      <c r="I690" s="6">
        <v>17473</v>
      </c>
      <c r="J690" s="6">
        <f>VLOOKUP(Table1[[#This Row],[Province]],[1]Sheet1!$A$3:$F$37,3,FALSE)</f>
        <v>7941500</v>
      </c>
      <c r="K690">
        <v>0</v>
      </c>
      <c r="L690" s="4">
        <v>3.3194370000000002</v>
      </c>
      <c r="M690" s="4">
        <v>103.914399</v>
      </c>
      <c r="N690" s="13">
        <v>-0.11</v>
      </c>
      <c r="P690"/>
      <c r="Q690" s="12"/>
      <c r="R690" s="12"/>
    </row>
    <row r="691" spans="1:18" x14ac:dyDescent="0.2">
      <c r="A691">
        <v>6</v>
      </c>
      <c r="B691" t="s">
        <v>32</v>
      </c>
      <c r="C691">
        <v>2020</v>
      </c>
      <c r="D691">
        <v>6</v>
      </c>
      <c r="E691" s="4">
        <v>18408</v>
      </c>
      <c r="F691" s="9">
        <v>0</v>
      </c>
      <c r="G691" s="6">
        <v>762</v>
      </c>
      <c r="H691" s="9">
        <f t="shared" si="10"/>
        <v>18408</v>
      </c>
      <c r="I691" s="6">
        <v>14322</v>
      </c>
      <c r="J691" s="6">
        <f>VLOOKUP(Table1[[#This Row],[Province]],[1]Sheet1!$A$3:$F$37,3,FALSE)</f>
        <v>7941500</v>
      </c>
      <c r="K691">
        <v>0</v>
      </c>
      <c r="L691" s="4">
        <v>3.3194370000000002</v>
      </c>
      <c r="M691" s="4">
        <v>103.914399</v>
      </c>
      <c r="N691" s="13">
        <v>-0.11</v>
      </c>
      <c r="P691"/>
      <c r="Q691" s="12"/>
      <c r="R691" s="12"/>
    </row>
    <row r="692" spans="1:18" x14ac:dyDescent="0.2">
      <c r="A692">
        <v>6</v>
      </c>
      <c r="B692" t="s">
        <v>32</v>
      </c>
      <c r="C692">
        <v>2020</v>
      </c>
      <c r="D692">
        <v>7</v>
      </c>
      <c r="E692" s="4">
        <v>18285</v>
      </c>
      <c r="F692" s="9">
        <v>0</v>
      </c>
      <c r="G692" s="6">
        <v>4849</v>
      </c>
      <c r="H692" s="9">
        <f t="shared" si="10"/>
        <v>18285</v>
      </c>
      <c r="I692" s="6">
        <v>12986</v>
      </c>
      <c r="J692" s="6">
        <f>VLOOKUP(Table1[[#This Row],[Province]],[1]Sheet1!$A$3:$F$37,3,FALSE)</f>
        <v>7941500</v>
      </c>
      <c r="K692">
        <v>0</v>
      </c>
      <c r="L692" s="4">
        <v>3.3194370000000002</v>
      </c>
      <c r="M692" s="4">
        <v>103.914399</v>
      </c>
      <c r="N692" s="13">
        <v>-0.11</v>
      </c>
      <c r="P692"/>
      <c r="Q692" s="12"/>
      <c r="R692" s="12"/>
    </row>
    <row r="693" spans="1:18" x14ac:dyDescent="0.2">
      <c r="A693">
        <v>6</v>
      </c>
      <c r="B693" t="s">
        <v>32</v>
      </c>
      <c r="C693">
        <v>2020</v>
      </c>
      <c r="D693">
        <v>8</v>
      </c>
      <c r="E693" s="4">
        <v>22143</v>
      </c>
      <c r="F693" s="9">
        <v>0</v>
      </c>
      <c r="G693" s="6">
        <v>6792</v>
      </c>
      <c r="H693" s="9">
        <f t="shared" si="10"/>
        <v>22143</v>
      </c>
      <c r="I693" s="6">
        <v>12893</v>
      </c>
      <c r="J693" s="6">
        <f>VLOOKUP(Table1[[#This Row],[Province]],[1]Sheet1!$A$3:$F$37,3,FALSE)</f>
        <v>7941500</v>
      </c>
      <c r="K693">
        <v>0</v>
      </c>
      <c r="L693" s="4">
        <v>3.3194370000000002</v>
      </c>
      <c r="M693" s="4">
        <v>103.914399</v>
      </c>
      <c r="N693" s="13">
        <v>-0.11</v>
      </c>
      <c r="P693"/>
      <c r="Q693" s="12"/>
      <c r="R693" s="12"/>
    </row>
    <row r="694" spans="1:18" x14ac:dyDescent="0.2">
      <c r="A694">
        <v>6</v>
      </c>
      <c r="B694" t="s">
        <v>32</v>
      </c>
      <c r="C694">
        <v>2020</v>
      </c>
      <c r="D694">
        <v>9</v>
      </c>
      <c r="E694" s="4">
        <v>19452</v>
      </c>
      <c r="F694" s="9">
        <v>0</v>
      </c>
      <c r="G694" s="6">
        <v>9931</v>
      </c>
      <c r="H694" s="9">
        <f t="shared" si="10"/>
        <v>19452</v>
      </c>
      <c r="I694" s="6">
        <v>13000</v>
      </c>
      <c r="J694" s="6">
        <f>VLOOKUP(Table1[[#This Row],[Province]],[1]Sheet1!$A$3:$F$37,3,FALSE)</f>
        <v>7941500</v>
      </c>
      <c r="K694">
        <v>0</v>
      </c>
      <c r="L694" s="4">
        <v>3.3194370000000002</v>
      </c>
      <c r="M694" s="4">
        <v>103.914399</v>
      </c>
      <c r="N694" s="13">
        <v>-0.11</v>
      </c>
      <c r="P694"/>
      <c r="Q694" s="12"/>
      <c r="R694" s="12"/>
    </row>
    <row r="695" spans="1:18" x14ac:dyDescent="0.2">
      <c r="A695">
        <v>6</v>
      </c>
      <c r="B695" t="s">
        <v>32</v>
      </c>
      <c r="C695">
        <v>2020</v>
      </c>
      <c r="D695">
        <v>10</v>
      </c>
      <c r="E695" s="4">
        <v>9168</v>
      </c>
      <c r="F695" s="9">
        <v>0</v>
      </c>
      <c r="G695" s="6">
        <v>6046</v>
      </c>
      <c r="H695" s="9">
        <f t="shared" si="10"/>
        <v>9168</v>
      </c>
      <c r="I695" s="6">
        <v>12972</v>
      </c>
      <c r="J695" s="6">
        <f>VLOOKUP(Table1[[#This Row],[Province]],[1]Sheet1!$A$3:$F$37,3,FALSE)</f>
        <v>7941500</v>
      </c>
      <c r="K695">
        <v>0</v>
      </c>
      <c r="L695" s="4">
        <v>3.3194370000000002</v>
      </c>
      <c r="M695" s="4">
        <v>103.914399</v>
      </c>
      <c r="N695" s="13">
        <v>-0.11</v>
      </c>
      <c r="P695"/>
      <c r="Q695" s="12"/>
      <c r="R695" s="12"/>
    </row>
    <row r="696" spans="1:18" x14ac:dyDescent="0.2">
      <c r="A696">
        <v>6</v>
      </c>
      <c r="B696" t="s">
        <v>32</v>
      </c>
      <c r="C696">
        <v>2020</v>
      </c>
      <c r="D696">
        <v>11</v>
      </c>
      <c r="E696" s="4">
        <v>3760</v>
      </c>
      <c r="F696" s="9">
        <v>0</v>
      </c>
      <c r="G696" s="6">
        <v>6042</v>
      </c>
      <c r="H696" s="9">
        <f t="shared" si="10"/>
        <v>3760</v>
      </c>
      <c r="I696" s="6">
        <v>13000</v>
      </c>
      <c r="J696" s="6">
        <f>VLOOKUP(Table1[[#This Row],[Province]],[1]Sheet1!$A$3:$F$37,3,FALSE)</f>
        <v>7941500</v>
      </c>
      <c r="K696">
        <v>0</v>
      </c>
      <c r="L696" s="4">
        <v>3.3194370000000002</v>
      </c>
      <c r="M696" s="4">
        <v>103.914399</v>
      </c>
      <c r="N696" s="13">
        <v>-0.11</v>
      </c>
      <c r="P696"/>
      <c r="Q696" s="12"/>
      <c r="R696" s="12"/>
    </row>
    <row r="697" spans="1:18" x14ac:dyDescent="0.2">
      <c r="A697">
        <v>6</v>
      </c>
      <c r="B697" t="s">
        <v>32</v>
      </c>
      <c r="C697">
        <v>2020</v>
      </c>
      <c r="D697">
        <v>12</v>
      </c>
      <c r="E697" s="4">
        <v>590</v>
      </c>
      <c r="F697" s="9">
        <v>0</v>
      </c>
      <c r="G697" s="6">
        <v>4601</v>
      </c>
      <c r="H697" s="9">
        <f t="shared" si="10"/>
        <v>590</v>
      </c>
      <c r="I697" s="6">
        <v>13000</v>
      </c>
      <c r="J697" s="6">
        <f>VLOOKUP(Table1[[#This Row],[Province]],[1]Sheet1!$A$3:$F$37,3,FALSE)</f>
        <v>7941500</v>
      </c>
      <c r="K697">
        <v>1</v>
      </c>
      <c r="L697" s="4">
        <v>3.3194370000000002</v>
      </c>
      <c r="M697" s="4">
        <v>103.914399</v>
      </c>
      <c r="N697" s="13">
        <v>-0.11</v>
      </c>
      <c r="P697"/>
      <c r="Q697" s="12"/>
      <c r="R697" s="12"/>
    </row>
    <row r="698" spans="1:18" x14ac:dyDescent="0.2">
      <c r="A698">
        <v>6</v>
      </c>
      <c r="B698" t="s">
        <v>32</v>
      </c>
      <c r="C698">
        <v>2021</v>
      </c>
      <c r="D698">
        <v>1</v>
      </c>
      <c r="E698" s="4">
        <v>0</v>
      </c>
      <c r="F698" s="9">
        <v>0</v>
      </c>
      <c r="G698" s="6">
        <v>7290</v>
      </c>
      <c r="H698" s="9">
        <f t="shared" si="10"/>
        <v>0</v>
      </c>
      <c r="I698" s="6">
        <v>13000</v>
      </c>
      <c r="J698" s="6">
        <f>VLOOKUP(Table1[[#This Row],[Province]],[1]Sheet1!$A$3:$F$37,3,FALSE)</f>
        <v>7941500</v>
      </c>
      <c r="K698">
        <v>0</v>
      </c>
      <c r="L698" s="4">
        <v>3.3194370000000002</v>
      </c>
      <c r="M698" s="4">
        <v>103.914399</v>
      </c>
      <c r="N698" s="13">
        <v>3.58</v>
      </c>
      <c r="P698"/>
      <c r="Q698" s="12"/>
      <c r="R698" s="12"/>
    </row>
    <row r="699" spans="1:18" x14ac:dyDescent="0.2">
      <c r="A699">
        <v>6</v>
      </c>
      <c r="B699" t="s">
        <v>32</v>
      </c>
      <c r="C699">
        <v>2021</v>
      </c>
      <c r="D699">
        <v>2</v>
      </c>
      <c r="E699" s="4">
        <v>0</v>
      </c>
      <c r="F699" s="9">
        <v>0</v>
      </c>
      <c r="G699" s="6">
        <v>4127</v>
      </c>
      <c r="H699" s="9">
        <f t="shared" si="10"/>
        <v>0</v>
      </c>
      <c r="I699" s="6">
        <v>12969</v>
      </c>
      <c r="J699" s="6">
        <f>VLOOKUP(Table1[[#This Row],[Province]],[1]Sheet1!$A$3:$F$37,3,FALSE)</f>
        <v>7941500</v>
      </c>
      <c r="K699">
        <v>0</v>
      </c>
      <c r="L699" s="4">
        <v>3.3194370000000002</v>
      </c>
      <c r="M699" s="4">
        <v>103.914399</v>
      </c>
      <c r="N699" s="13">
        <v>3.58</v>
      </c>
      <c r="P699"/>
      <c r="Q699" s="12"/>
      <c r="R699" s="12"/>
    </row>
    <row r="700" spans="1:18" x14ac:dyDescent="0.2">
      <c r="A700">
        <v>6</v>
      </c>
      <c r="B700" t="s">
        <v>32</v>
      </c>
      <c r="C700">
        <v>2021</v>
      </c>
      <c r="D700">
        <v>3</v>
      </c>
      <c r="E700" s="4">
        <v>7536</v>
      </c>
      <c r="F700" s="9">
        <v>0</v>
      </c>
      <c r="G700" s="6">
        <v>5044</v>
      </c>
      <c r="H700" s="9">
        <f t="shared" si="10"/>
        <v>7536</v>
      </c>
      <c r="I700" s="6">
        <v>13000</v>
      </c>
      <c r="J700" s="6">
        <f>VLOOKUP(Table1[[#This Row],[Province]],[1]Sheet1!$A$3:$F$37,3,FALSE)</f>
        <v>7941500</v>
      </c>
      <c r="K700">
        <v>0</v>
      </c>
      <c r="L700" s="4">
        <v>3.3194370000000002</v>
      </c>
      <c r="M700" s="4">
        <v>103.914399</v>
      </c>
      <c r="N700" s="13">
        <v>3.58</v>
      </c>
      <c r="P700"/>
      <c r="Q700" s="12"/>
      <c r="R700" s="12"/>
    </row>
    <row r="701" spans="1:18" x14ac:dyDescent="0.2">
      <c r="A701">
        <v>6</v>
      </c>
      <c r="B701" t="s">
        <v>32</v>
      </c>
      <c r="C701">
        <v>2021</v>
      </c>
      <c r="D701">
        <v>4</v>
      </c>
      <c r="E701" s="4">
        <v>6177</v>
      </c>
      <c r="F701" s="9">
        <v>0</v>
      </c>
      <c r="G701" s="6">
        <v>8241</v>
      </c>
      <c r="H701" s="9">
        <f t="shared" si="10"/>
        <v>6177</v>
      </c>
      <c r="I701" s="6">
        <v>12900</v>
      </c>
      <c r="J701" s="6">
        <f>VLOOKUP(Table1[[#This Row],[Province]],[1]Sheet1!$A$3:$F$37,3,FALSE)</f>
        <v>7941500</v>
      </c>
      <c r="K701">
        <v>1</v>
      </c>
      <c r="L701" s="4">
        <v>3.3194370000000002</v>
      </c>
      <c r="M701" s="4">
        <v>103.914399</v>
      </c>
      <c r="N701" s="13">
        <v>3.58</v>
      </c>
      <c r="P701"/>
      <c r="Q701" s="12"/>
      <c r="R701" s="12"/>
    </row>
    <row r="702" spans="1:18" x14ac:dyDescent="0.2">
      <c r="A702">
        <v>6</v>
      </c>
      <c r="B702" t="s">
        <v>32</v>
      </c>
      <c r="C702">
        <v>2021</v>
      </c>
      <c r="D702">
        <v>5</v>
      </c>
      <c r="E702" s="4">
        <v>18250</v>
      </c>
      <c r="F702" s="9">
        <v>0</v>
      </c>
      <c r="G702" s="6">
        <v>4608</v>
      </c>
      <c r="H702" s="9">
        <f t="shared" si="10"/>
        <v>18250</v>
      </c>
      <c r="I702" s="6">
        <v>12890</v>
      </c>
      <c r="J702" s="6">
        <f>VLOOKUP(Table1[[#This Row],[Province]],[1]Sheet1!$A$3:$F$37,3,FALSE)</f>
        <v>7941500</v>
      </c>
      <c r="K702">
        <v>0</v>
      </c>
      <c r="L702" s="4">
        <v>3.3194370000000002</v>
      </c>
      <c r="M702" s="4">
        <v>103.914399</v>
      </c>
      <c r="N702" s="13">
        <v>3.58</v>
      </c>
      <c r="P702"/>
      <c r="Q702" s="12"/>
      <c r="R702" s="12"/>
    </row>
    <row r="703" spans="1:18" x14ac:dyDescent="0.2">
      <c r="A703">
        <v>6</v>
      </c>
      <c r="B703" t="s">
        <v>32</v>
      </c>
      <c r="C703">
        <v>2021</v>
      </c>
      <c r="D703">
        <v>6</v>
      </c>
      <c r="E703" s="4">
        <v>21247</v>
      </c>
      <c r="F703" s="9">
        <v>0</v>
      </c>
      <c r="G703" s="6">
        <v>5768</v>
      </c>
      <c r="H703" s="9">
        <f t="shared" si="10"/>
        <v>21247</v>
      </c>
      <c r="I703" s="6">
        <v>12875</v>
      </c>
      <c r="J703" s="6">
        <f>VLOOKUP(Table1[[#This Row],[Province]],[1]Sheet1!$A$3:$F$37,3,FALSE)</f>
        <v>7941500</v>
      </c>
      <c r="K703">
        <v>0</v>
      </c>
      <c r="L703" s="4">
        <v>3.3194370000000002</v>
      </c>
      <c r="M703" s="4">
        <v>103.914399</v>
      </c>
      <c r="N703" s="13">
        <v>3.58</v>
      </c>
      <c r="P703"/>
      <c r="Q703" s="12"/>
      <c r="R703" s="12"/>
    </row>
    <row r="704" spans="1:18" x14ac:dyDescent="0.2">
      <c r="A704">
        <v>6</v>
      </c>
      <c r="B704" t="s">
        <v>32</v>
      </c>
      <c r="C704">
        <v>2021</v>
      </c>
      <c r="D704">
        <v>7</v>
      </c>
      <c r="E704" s="4">
        <v>20522</v>
      </c>
      <c r="F704" s="9">
        <v>0</v>
      </c>
      <c r="G704" s="6">
        <v>7578</v>
      </c>
      <c r="H704" s="9">
        <f t="shared" si="10"/>
        <v>20522</v>
      </c>
      <c r="I704" s="6">
        <v>12750</v>
      </c>
      <c r="J704" s="6">
        <f>VLOOKUP(Table1[[#This Row],[Province]],[1]Sheet1!$A$3:$F$37,3,FALSE)</f>
        <v>7941500</v>
      </c>
      <c r="K704">
        <v>0</v>
      </c>
      <c r="L704" s="4">
        <v>3.3194370000000002</v>
      </c>
      <c r="M704" s="4">
        <v>103.914399</v>
      </c>
      <c r="N704" s="13">
        <v>3.58</v>
      </c>
      <c r="P704"/>
      <c r="Q704" s="12"/>
      <c r="R704" s="12"/>
    </row>
    <row r="705" spans="1:18" x14ac:dyDescent="0.2">
      <c r="A705">
        <v>6</v>
      </c>
      <c r="B705" t="s">
        <v>32</v>
      </c>
      <c r="C705">
        <v>2021</v>
      </c>
      <c r="D705">
        <v>8</v>
      </c>
      <c r="E705" s="4">
        <v>19330</v>
      </c>
      <c r="F705" s="9">
        <v>0</v>
      </c>
      <c r="G705" s="6">
        <v>4953</v>
      </c>
      <c r="H705" s="9">
        <f t="shared" si="10"/>
        <v>19330</v>
      </c>
      <c r="I705" s="6">
        <v>12750</v>
      </c>
      <c r="J705" s="6">
        <f>VLOOKUP(Table1[[#This Row],[Province]],[1]Sheet1!$A$3:$F$37,3,FALSE)</f>
        <v>7941500</v>
      </c>
      <c r="K705">
        <v>0</v>
      </c>
      <c r="L705" s="4">
        <v>3.3194370000000002</v>
      </c>
      <c r="M705" s="4">
        <v>103.914399</v>
      </c>
      <c r="N705" s="13">
        <v>3.58</v>
      </c>
      <c r="P705"/>
      <c r="Q705" s="12"/>
      <c r="R705" s="12"/>
    </row>
    <row r="706" spans="1:18" x14ac:dyDescent="0.2">
      <c r="A706">
        <v>6</v>
      </c>
      <c r="B706" t="s">
        <v>32</v>
      </c>
      <c r="C706">
        <v>2021</v>
      </c>
      <c r="D706">
        <v>9</v>
      </c>
      <c r="E706" s="4">
        <v>16382</v>
      </c>
      <c r="F706" s="9">
        <v>0</v>
      </c>
      <c r="G706" s="6">
        <v>12563</v>
      </c>
      <c r="H706" s="9">
        <f t="shared" ref="H706:H769" si="11">F706+E706</f>
        <v>16382</v>
      </c>
      <c r="I706" s="6">
        <v>12750</v>
      </c>
      <c r="J706" s="6">
        <f>VLOOKUP(Table1[[#This Row],[Province]],[1]Sheet1!$A$3:$F$37,3,FALSE)</f>
        <v>7941500</v>
      </c>
      <c r="K706">
        <v>0</v>
      </c>
      <c r="L706" s="4">
        <v>3.3194370000000002</v>
      </c>
      <c r="M706" s="4">
        <v>103.914399</v>
      </c>
      <c r="N706" s="13">
        <v>3.58</v>
      </c>
      <c r="P706"/>
      <c r="Q706" s="12"/>
      <c r="R706" s="12"/>
    </row>
    <row r="707" spans="1:18" x14ac:dyDescent="0.2">
      <c r="A707">
        <v>6</v>
      </c>
      <c r="B707" t="s">
        <v>32</v>
      </c>
      <c r="C707">
        <v>2021</v>
      </c>
      <c r="D707">
        <v>10</v>
      </c>
      <c r="E707" s="4">
        <v>249</v>
      </c>
      <c r="F707" s="9">
        <v>0</v>
      </c>
      <c r="G707" s="6">
        <v>4827</v>
      </c>
      <c r="H707" s="9">
        <f t="shared" si="11"/>
        <v>249</v>
      </c>
      <c r="I707" s="6">
        <v>13455</v>
      </c>
      <c r="J707" s="6">
        <f>VLOOKUP(Table1[[#This Row],[Province]],[1]Sheet1!$A$3:$F$37,3,FALSE)</f>
        <v>7941500</v>
      </c>
      <c r="K707">
        <v>0</v>
      </c>
      <c r="L707" s="4">
        <v>3.3194370000000002</v>
      </c>
      <c r="M707" s="4">
        <v>103.914399</v>
      </c>
      <c r="N707" s="13">
        <v>3.58</v>
      </c>
      <c r="P707"/>
      <c r="Q707" s="12"/>
      <c r="R707" s="12"/>
    </row>
    <row r="708" spans="1:18" x14ac:dyDescent="0.2">
      <c r="A708">
        <v>6</v>
      </c>
      <c r="B708" t="s">
        <v>32</v>
      </c>
      <c r="C708">
        <v>2021</v>
      </c>
      <c r="D708">
        <v>11</v>
      </c>
      <c r="E708" s="4">
        <v>0</v>
      </c>
      <c r="F708" s="9">
        <v>0</v>
      </c>
      <c r="G708" s="6">
        <v>10418</v>
      </c>
      <c r="H708" s="9">
        <f t="shared" si="11"/>
        <v>0</v>
      </c>
      <c r="I708" s="6">
        <v>12750</v>
      </c>
      <c r="J708" s="6">
        <f>VLOOKUP(Table1[[#This Row],[Province]],[1]Sheet1!$A$3:$F$37,3,FALSE)</f>
        <v>7941500</v>
      </c>
      <c r="K708">
        <v>0</v>
      </c>
      <c r="L708" s="4">
        <v>3.3194370000000002</v>
      </c>
      <c r="M708" s="4">
        <v>103.914399</v>
      </c>
      <c r="N708" s="13">
        <v>3.58</v>
      </c>
      <c r="P708"/>
      <c r="Q708" s="12"/>
      <c r="R708" s="12"/>
    </row>
    <row r="709" spans="1:18" x14ac:dyDescent="0.2">
      <c r="A709">
        <v>6</v>
      </c>
      <c r="B709" t="s">
        <v>32</v>
      </c>
      <c r="C709">
        <v>2021</v>
      </c>
      <c r="D709">
        <v>12</v>
      </c>
      <c r="E709" s="4">
        <v>0</v>
      </c>
      <c r="F709" s="9">
        <v>0</v>
      </c>
      <c r="G709" s="6">
        <v>4981</v>
      </c>
      <c r="H709" s="9">
        <f t="shared" si="11"/>
        <v>0</v>
      </c>
      <c r="I709" s="6">
        <v>12788</v>
      </c>
      <c r="J709" s="6">
        <f>VLOOKUP(Table1[[#This Row],[Province]],[1]Sheet1!$A$3:$F$37,3,FALSE)</f>
        <v>7941500</v>
      </c>
      <c r="K709">
        <v>1</v>
      </c>
      <c r="L709" s="4">
        <v>3.3194370000000002</v>
      </c>
      <c r="M709" s="4">
        <v>103.914399</v>
      </c>
      <c r="N709" s="13">
        <v>3.58</v>
      </c>
      <c r="P709"/>
      <c r="Q709" s="12"/>
      <c r="R709" s="12"/>
    </row>
    <row r="710" spans="1:18" x14ac:dyDescent="0.2">
      <c r="A710">
        <v>6</v>
      </c>
      <c r="B710" t="s">
        <v>32</v>
      </c>
      <c r="C710">
        <v>2022</v>
      </c>
      <c r="D710">
        <v>1</v>
      </c>
      <c r="E710" s="6">
        <v>0</v>
      </c>
      <c r="F710" s="9">
        <v>0</v>
      </c>
      <c r="G710" s="6">
        <v>9436</v>
      </c>
      <c r="H710" s="9">
        <f t="shared" si="11"/>
        <v>0</v>
      </c>
      <c r="I710" s="6">
        <v>13210</v>
      </c>
      <c r="J710" s="6">
        <f>VLOOKUP(Table1[[#This Row],[Province]],[1]Sheet1!$A$3:$F$37,3,FALSE)</f>
        <v>7941500</v>
      </c>
      <c r="K710">
        <v>0</v>
      </c>
      <c r="L710" s="4">
        <v>3.3194370000000002</v>
      </c>
      <c r="M710" s="4">
        <v>103.914399</v>
      </c>
      <c r="N710" s="13">
        <v>5.23</v>
      </c>
      <c r="P710"/>
      <c r="Q710" s="12"/>
      <c r="R710" s="12"/>
    </row>
    <row r="711" spans="1:18" x14ac:dyDescent="0.2">
      <c r="A711">
        <v>6</v>
      </c>
      <c r="B711" t="s">
        <v>32</v>
      </c>
      <c r="C711">
        <v>2022</v>
      </c>
      <c r="D711">
        <v>2</v>
      </c>
      <c r="E711" s="6">
        <v>0</v>
      </c>
      <c r="F711" s="9">
        <v>0</v>
      </c>
      <c r="G711" s="6">
        <v>6810</v>
      </c>
      <c r="H711" s="9">
        <f t="shared" si="11"/>
        <v>0</v>
      </c>
      <c r="I711" s="6">
        <v>13447</v>
      </c>
      <c r="J711" s="6">
        <f>VLOOKUP(Table1[[#This Row],[Province]],[1]Sheet1!$A$3:$F$37,3,FALSE)</f>
        <v>7941500</v>
      </c>
      <c r="K711">
        <v>0</v>
      </c>
      <c r="L711" s="4">
        <v>3.3194370000000002</v>
      </c>
      <c r="M711" s="4">
        <v>103.914399</v>
      </c>
      <c r="N711" s="13">
        <v>5.23</v>
      </c>
      <c r="P711"/>
      <c r="Q711" s="12"/>
      <c r="R711" s="12"/>
    </row>
    <row r="712" spans="1:18" x14ac:dyDescent="0.2">
      <c r="A712">
        <v>6</v>
      </c>
      <c r="B712" t="s">
        <v>32</v>
      </c>
      <c r="C712">
        <v>2022</v>
      </c>
      <c r="D712">
        <v>3</v>
      </c>
      <c r="E712" s="6">
        <v>3074</v>
      </c>
      <c r="F712" s="9">
        <v>0</v>
      </c>
      <c r="G712" s="6">
        <v>4031</v>
      </c>
      <c r="H712" s="9">
        <f t="shared" si="11"/>
        <v>3074</v>
      </c>
      <c r="I712" s="6">
        <v>13466</v>
      </c>
      <c r="J712" s="6">
        <f>VLOOKUP(Table1[[#This Row],[Province]],[1]Sheet1!$A$3:$F$37,3,FALSE)</f>
        <v>7941500</v>
      </c>
      <c r="K712">
        <v>0</v>
      </c>
      <c r="L712" s="4">
        <v>3.3194370000000002</v>
      </c>
      <c r="M712" s="4">
        <v>103.914399</v>
      </c>
      <c r="N712" s="13">
        <v>5.23</v>
      </c>
      <c r="P712"/>
      <c r="Q712" s="12"/>
      <c r="R712" s="12"/>
    </row>
    <row r="713" spans="1:18" x14ac:dyDescent="0.2">
      <c r="A713">
        <v>6</v>
      </c>
      <c r="B713" t="s">
        <v>32</v>
      </c>
      <c r="C713">
        <v>2022</v>
      </c>
      <c r="D713">
        <v>4</v>
      </c>
      <c r="E713" s="6">
        <v>5967</v>
      </c>
      <c r="F713" s="9">
        <v>0</v>
      </c>
      <c r="G713" s="6">
        <v>3515</v>
      </c>
      <c r="H713" s="9">
        <f t="shared" si="11"/>
        <v>5967</v>
      </c>
      <c r="I713" s="6">
        <v>14058</v>
      </c>
      <c r="J713" s="6">
        <f>VLOOKUP(Table1[[#This Row],[Province]],[1]Sheet1!$A$3:$F$37,3,FALSE)</f>
        <v>7941500</v>
      </c>
      <c r="K713">
        <v>1</v>
      </c>
      <c r="L713" s="4">
        <v>3.3194370000000002</v>
      </c>
      <c r="M713" s="4">
        <v>103.914399</v>
      </c>
      <c r="N713" s="13">
        <v>5.23</v>
      </c>
      <c r="P713"/>
      <c r="Q713" s="12"/>
      <c r="R713" s="12"/>
    </row>
    <row r="714" spans="1:18" x14ac:dyDescent="0.2">
      <c r="A714">
        <v>6</v>
      </c>
      <c r="B714" t="s">
        <v>32</v>
      </c>
      <c r="C714">
        <v>2022</v>
      </c>
      <c r="D714">
        <v>5</v>
      </c>
      <c r="E714" s="6">
        <v>8042</v>
      </c>
      <c r="F714" s="9">
        <v>0</v>
      </c>
      <c r="G714" s="6">
        <v>2226</v>
      </c>
      <c r="H714" s="9">
        <f t="shared" si="11"/>
        <v>8042</v>
      </c>
      <c r="I714" s="6">
        <v>14450</v>
      </c>
      <c r="J714" s="6">
        <f>VLOOKUP(Table1[[#This Row],[Province]],[1]Sheet1!$A$3:$F$37,3,FALSE)</f>
        <v>7941500</v>
      </c>
      <c r="K714">
        <v>0</v>
      </c>
      <c r="L714" s="4">
        <v>3.3194370000000002</v>
      </c>
      <c r="M714" s="4">
        <v>103.914399</v>
      </c>
      <c r="N714" s="13">
        <v>5.23</v>
      </c>
      <c r="P714"/>
      <c r="Q714" s="12"/>
      <c r="R714" s="12"/>
    </row>
    <row r="715" spans="1:18" x14ac:dyDescent="0.2">
      <c r="A715">
        <v>6</v>
      </c>
      <c r="B715" t="s">
        <v>32</v>
      </c>
      <c r="C715">
        <v>2022</v>
      </c>
      <c r="D715">
        <v>6</v>
      </c>
      <c r="E715" s="6">
        <v>18601</v>
      </c>
      <c r="F715" s="9">
        <v>0</v>
      </c>
      <c r="G715" s="6">
        <v>691</v>
      </c>
      <c r="H715" s="9">
        <f t="shared" si="11"/>
        <v>18601</v>
      </c>
      <c r="I715" s="6">
        <v>14202</v>
      </c>
      <c r="J715" s="6">
        <f>VLOOKUP(Table1[[#This Row],[Province]],[1]Sheet1!$A$3:$F$37,3,FALSE)</f>
        <v>7941500</v>
      </c>
      <c r="K715">
        <v>0</v>
      </c>
      <c r="L715" s="4">
        <v>3.3194370000000002</v>
      </c>
      <c r="M715" s="4">
        <v>103.914399</v>
      </c>
      <c r="N715" s="13">
        <v>5.23</v>
      </c>
      <c r="P715"/>
      <c r="Q715" s="12"/>
      <c r="R715" s="12"/>
    </row>
    <row r="716" spans="1:18" x14ac:dyDescent="0.2">
      <c r="A716">
        <v>6</v>
      </c>
      <c r="B716" t="s">
        <v>32</v>
      </c>
      <c r="C716">
        <v>2022</v>
      </c>
      <c r="D716">
        <v>7</v>
      </c>
      <c r="E716" s="6">
        <v>21561</v>
      </c>
      <c r="F716" s="9">
        <v>0</v>
      </c>
      <c r="G716" s="6">
        <v>4645</v>
      </c>
      <c r="H716" s="9">
        <f t="shared" si="11"/>
        <v>21561</v>
      </c>
      <c r="I716" s="6">
        <v>14060</v>
      </c>
      <c r="J716" s="6">
        <f>VLOOKUP(Table1[[#This Row],[Province]],[1]Sheet1!$A$3:$F$37,3,FALSE)</f>
        <v>7941500</v>
      </c>
      <c r="K716">
        <v>0</v>
      </c>
      <c r="L716" s="4">
        <v>3.3194370000000002</v>
      </c>
      <c r="M716" s="4">
        <v>103.914399</v>
      </c>
      <c r="N716" s="13">
        <v>5.23</v>
      </c>
      <c r="P716"/>
      <c r="Q716" s="12"/>
      <c r="R716" s="12"/>
    </row>
    <row r="717" spans="1:18" x14ac:dyDescent="0.2">
      <c r="A717">
        <v>6</v>
      </c>
      <c r="B717" t="s">
        <v>32</v>
      </c>
      <c r="C717">
        <v>2022</v>
      </c>
      <c r="D717">
        <v>8</v>
      </c>
      <c r="E717" s="6">
        <v>22903</v>
      </c>
      <c r="F717" s="9">
        <v>0</v>
      </c>
      <c r="G717" s="6">
        <v>1029</v>
      </c>
      <c r="H717" s="9">
        <f t="shared" si="11"/>
        <v>22903</v>
      </c>
      <c r="I717" s="6">
        <v>14120</v>
      </c>
      <c r="J717" s="6">
        <f>VLOOKUP(Table1[[#This Row],[Province]],[1]Sheet1!$A$3:$F$37,3,FALSE)</f>
        <v>7941500</v>
      </c>
      <c r="K717">
        <v>0</v>
      </c>
      <c r="L717" s="4">
        <v>3.3194370000000002</v>
      </c>
      <c r="M717" s="4">
        <v>103.914399</v>
      </c>
      <c r="N717" s="13">
        <v>5.23</v>
      </c>
      <c r="P717"/>
      <c r="Q717" s="12"/>
      <c r="R717" s="12"/>
    </row>
    <row r="718" spans="1:18" x14ac:dyDescent="0.2">
      <c r="A718">
        <v>6</v>
      </c>
      <c r="B718" t="s">
        <v>32</v>
      </c>
      <c r="C718">
        <v>2022</v>
      </c>
      <c r="D718">
        <v>9</v>
      </c>
      <c r="E718" s="6">
        <v>19294</v>
      </c>
      <c r="F718" s="9">
        <v>0</v>
      </c>
      <c r="G718" s="6">
        <v>2054</v>
      </c>
      <c r="H718" s="9">
        <f t="shared" si="11"/>
        <v>19294</v>
      </c>
      <c r="I718" s="6">
        <v>13343</v>
      </c>
      <c r="J718" s="6">
        <f>VLOOKUP(Table1[[#This Row],[Province]],[1]Sheet1!$A$3:$F$37,3,FALSE)</f>
        <v>7941500</v>
      </c>
      <c r="K718">
        <v>0</v>
      </c>
      <c r="L718" s="4">
        <v>3.3194370000000002</v>
      </c>
      <c r="M718" s="4">
        <v>103.914399</v>
      </c>
      <c r="N718" s="13">
        <v>5.23</v>
      </c>
      <c r="P718"/>
      <c r="Q718" s="12"/>
      <c r="R718" s="12"/>
    </row>
    <row r="719" spans="1:18" x14ac:dyDescent="0.2">
      <c r="A719">
        <v>6</v>
      </c>
      <c r="B719" t="s">
        <v>32</v>
      </c>
      <c r="C719">
        <v>2022</v>
      </c>
      <c r="D719">
        <v>10</v>
      </c>
      <c r="E719" s="6">
        <v>10359</v>
      </c>
      <c r="F719" s="9">
        <v>0</v>
      </c>
      <c r="G719" s="6">
        <v>6354</v>
      </c>
      <c r="H719" s="9">
        <f t="shared" si="11"/>
        <v>10359</v>
      </c>
      <c r="I719" s="6">
        <v>13316</v>
      </c>
      <c r="J719" s="6">
        <f>VLOOKUP(Table1[[#This Row],[Province]],[1]Sheet1!$A$3:$F$37,3,FALSE)</f>
        <v>7941500</v>
      </c>
      <c r="K719">
        <v>0</v>
      </c>
      <c r="L719" s="4">
        <v>3.3194370000000002</v>
      </c>
      <c r="M719" s="4">
        <v>103.914399</v>
      </c>
      <c r="N719" s="13">
        <v>5.23</v>
      </c>
      <c r="P719"/>
      <c r="Q719" s="12"/>
      <c r="R719" s="12"/>
    </row>
    <row r="720" spans="1:18" x14ac:dyDescent="0.2">
      <c r="A720">
        <v>6</v>
      </c>
      <c r="B720" t="s">
        <v>32</v>
      </c>
      <c r="C720">
        <v>2022</v>
      </c>
      <c r="D720">
        <v>11</v>
      </c>
      <c r="E720" s="6">
        <v>2617</v>
      </c>
      <c r="F720" s="9">
        <v>0</v>
      </c>
      <c r="G720" s="6">
        <v>3337</v>
      </c>
      <c r="H720" s="9">
        <f t="shared" si="11"/>
        <v>2617</v>
      </c>
      <c r="I720" s="6">
        <v>13950</v>
      </c>
      <c r="J720" s="6">
        <f>VLOOKUP(Table1[[#This Row],[Province]],[1]Sheet1!$A$3:$F$37,3,FALSE)</f>
        <v>7941500</v>
      </c>
      <c r="K720">
        <v>0</v>
      </c>
      <c r="L720" s="4">
        <v>3.3194370000000002</v>
      </c>
      <c r="M720" s="4">
        <v>103.914399</v>
      </c>
      <c r="N720" s="13">
        <v>5.23</v>
      </c>
      <c r="P720"/>
      <c r="Q720" s="12"/>
      <c r="R720" s="12"/>
    </row>
    <row r="721" spans="1:18" x14ac:dyDescent="0.2">
      <c r="A721">
        <v>6</v>
      </c>
      <c r="B721" t="s">
        <v>32</v>
      </c>
      <c r="C721">
        <v>2022</v>
      </c>
      <c r="D721">
        <v>12</v>
      </c>
      <c r="E721" s="6">
        <v>0</v>
      </c>
      <c r="F721" s="9">
        <v>0</v>
      </c>
      <c r="G721" s="6">
        <v>11084</v>
      </c>
      <c r="H721" s="9">
        <f t="shared" si="11"/>
        <v>0</v>
      </c>
      <c r="I721" s="6">
        <v>13950</v>
      </c>
      <c r="J721" s="6">
        <f>VLOOKUP(Table1[[#This Row],[Province]],[1]Sheet1!$A$3:$F$37,3,FALSE)</f>
        <v>7941500</v>
      </c>
      <c r="K721">
        <v>1</v>
      </c>
      <c r="L721" s="4">
        <v>3.3194370000000002</v>
      </c>
      <c r="M721" s="4">
        <v>103.914399</v>
      </c>
      <c r="N721" s="13">
        <v>5.23</v>
      </c>
      <c r="P721"/>
      <c r="Q721" s="12"/>
      <c r="R721" s="12"/>
    </row>
    <row r="722" spans="1:18" x14ac:dyDescent="0.2">
      <c r="A722">
        <v>7</v>
      </c>
      <c r="B722" t="s">
        <v>5</v>
      </c>
      <c r="C722">
        <v>2013</v>
      </c>
      <c r="D722">
        <v>1</v>
      </c>
      <c r="E722" s="4">
        <v>0</v>
      </c>
      <c r="F722" s="9">
        <v>0</v>
      </c>
      <c r="G722" s="6">
        <v>1234</v>
      </c>
      <c r="H722" s="9">
        <f t="shared" si="11"/>
        <v>0</v>
      </c>
      <c r="I722" s="6">
        <v>12000</v>
      </c>
      <c r="J722" s="6">
        <f>VLOOKUP(Table1[[#This Row],[Province]],[1]Sheet1!$A$3:$F$37,3,FALSE)</f>
        <v>1844800</v>
      </c>
      <c r="K722">
        <v>0</v>
      </c>
      <c r="L722" s="4">
        <v>3.5778470000000002</v>
      </c>
      <c r="M722" s="4">
        <v>102.346388</v>
      </c>
      <c r="N722" s="6"/>
      <c r="P722"/>
      <c r="Q722" s="12"/>
      <c r="R722" s="12"/>
    </row>
    <row r="723" spans="1:18" x14ac:dyDescent="0.2">
      <c r="A723">
        <v>7</v>
      </c>
      <c r="B723" t="s">
        <v>5</v>
      </c>
      <c r="C723">
        <v>2013</v>
      </c>
      <c r="D723">
        <v>2</v>
      </c>
      <c r="E723" s="4">
        <v>0</v>
      </c>
      <c r="F723" s="9">
        <v>0</v>
      </c>
      <c r="G723" s="6">
        <v>1183</v>
      </c>
      <c r="H723" s="9">
        <f t="shared" si="11"/>
        <v>0</v>
      </c>
      <c r="I723" s="6">
        <v>12000</v>
      </c>
      <c r="J723" s="6">
        <f>VLOOKUP(Table1[[#This Row],[Province]],[1]Sheet1!$A$3:$F$37,3,FALSE)</f>
        <v>1844800</v>
      </c>
      <c r="K723">
        <v>0</v>
      </c>
      <c r="L723" s="4">
        <v>3.5778470000000002</v>
      </c>
      <c r="M723" s="4">
        <v>102.346388</v>
      </c>
      <c r="N723" s="6"/>
      <c r="P723"/>
      <c r="Q723" s="12"/>
      <c r="R723" s="12"/>
    </row>
    <row r="724" spans="1:18" x14ac:dyDescent="0.2">
      <c r="A724">
        <v>7</v>
      </c>
      <c r="B724" t="s">
        <v>5</v>
      </c>
      <c r="C724">
        <v>2013</v>
      </c>
      <c r="D724">
        <v>3</v>
      </c>
      <c r="E724" s="4">
        <v>0</v>
      </c>
      <c r="F724" s="9">
        <v>0</v>
      </c>
      <c r="G724" s="6">
        <v>1219</v>
      </c>
      <c r="H724" s="9">
        <f t="shared" si="11"/>
        <v>0</v>
      </c>
      <c r="I724" s="6">
        <v>12000</v>
      </c>
      <c r="J724" s="6">
        <f>VLOOKUP(Table1[[#This Row],[Province]],[1]Sheet1!$A$3:$F$37,3,FALSE)</f>
        <v>1844800</v>
      </c>
      <c r="K724">
        <v>0</v>
      </c>
      <c r="L724" s="4">
        <v>3.5778470000000002</v>
      </c>
      <c r="M724" s="4">
        <v>102.346388</v>
      </c>
      <c r="N724" s="6"/>
      <c r="P724"/>
      <c r="Q724" s="12"/>
      <c r="R724" s="12"/>
    </row>
    <row r="725" spans="1:18" x14ac:dyDescent="0.2">
      <c r="A725">
        <v>7</v>
      </c>
      <c r="B725" t="s">
        <v>5</v>
      </c>
      <c r="C725">
        <v>2013</v>
      </c>
      <c r="D725">
        <v>4</v>
      </c>
      <c r="E725" s="4">
        <v>0</v>
      </c>
      <c r="F725" s="9">
        <v>0</v>
      </c>
      <c r="G725" s="6">
        <v>1584</v>
      </c>
      <c r="H725" s="9">
        <f t="shared" si="11"/>
        <v>0</v>
      </c>
      <c r="I725" s="6">
        <v>12000</v>
      </c>
      <c r="J725" s="6">
        <f>VLOOKUP(Table1[[#This Row],[Province]],[1]Sheet1!$A$3:$F$37,3,FALSE)</f>
        <v>1844800</v>
      </c>
      <c r="K725">
        <v>0</v>
      </c>
      <c r="L725" s="4">
        <v>3.5778470000000002</v>
      </c>
      <c r="M725" s="4">
        <v>102.346388</v>
      </c>
      <c r="N725" s="6"/>
      <c r="P725"/>
      <c r="Q725" s="12"/>
      <c r="R725" s="12"/>
    </row>
    <row r="726" spans="1:18" x14ac:dyDescent="0.2">
      <c r="A726">
        <v>7</v>
      </c>
      <c r="B726" t="s">
        <v>5</v>
      </c>
      <c r="C726">
        <v>2013</v>
      </c>
      <c r="D726">
        <v>5</v>
      </c>
      <c r="E726" s="4">
        <v>0</v>
      </c>
      <c r="F726" s="9">
        <v>0</v>
      </c>
      <c r="G726" s="6">
        <v>1920</v>
      </c>
      <c r="H726" s="9">
        <f t="shared" si="11"/>
        <v>0</v>
      </c>
      <c r="I726" s="6">
        <v>12000</v>
      </c>
      <c r="J726" s="6">
        <f>VLOOKUP(Table1[[#This Row],[Province]],[1]Sheet1!$A$3:$F$37,3,FALSE)</f>
        <v>1844800</v>
      </c>
      <c r="K726">
        <v>0</v>
      </c>
      <c r="L726" s="4">
        <v>3.5778470000000002</v>
      </c>
      <c r="M726" s="4">
        <v>102.346388</v>
      </c>
      <c r="N726" s="6"/>
      <c r="P726"/>
      <c r="Q726" s="12"/>
      <c r="R726" s="12"/>
    </row>
    <row r="727" spans="1:18" x14ac:dyDescent="0.2">
      <c r="A727">
        <v>7</v>
      </c>
      <c r="B727" t="s">
        <v>5</v>
      </c>
      <c r="C727">
        <v>2013</v>
      </c>
      <c r="D727">
        <v>6</v>
      </c>
      <c r="E727" s="4">
        <v>0</v>
      </c>
      <c r="F727" s="9">
        <v>0</v>
      </c>
      <c r="G727" s="6">
        <v>1599</v>
      </c>
      <c r="H727" s="9">
        <f t="shared" si="11"/>
        <v>0</v>
      </c>
      <c r="I727" s="6">
        <v>12000</v>
      </c>
      <c r="J727" s="6">
        <f>VLOOKUP(Table1[[#This Row],[Province]],[1]Sheet1!$A$3:$F$37,3,FALSE)</f>
        <v>1844800</v>
      </c>
      <c r="K727">
        <v>0</v>
      </c>
      <c r="L727" s="4">
        <v>3.5778470000000002</v>
      </c>
      <c r="M727" s="4">
        <v>102.346388</v>
      </c>
      <c r="N727" s="6"/>
      <c r="P727"/>
      <c r="Q727" s="12"/>
      <c r="R727" s="12"/>
    </row>
    <row r="728" spans="1:18" x14ac:dyDescent="0.2">
      <c r="A728">
        <v>7</v>
      </c>
      <c r="B728" t="s">
        <v>5</v>
      </c>
      <c r="C728">
        <v>2013</v>
      </c>
      <c r="D728">
        <v>7</v>
      </c>
      <c r="E728" s="4">
        <v>0</v>
      </c>
      <c r="F728" s="9">
        <v>0</v>
      </c>
      <c r="G728" s="6">
        <v>2774</v>
      </c>
      <c r="H728" s="9">
        <f t="shared" si="11"/>
        <v>0</v>
      </c>
      <c r="I728" s="6">
        <v>13091</v>
      </c>
      <c r="J728" s="6">
        <f>VLOOKUP(Table1[[#This Row],[Province]],[1]Sheet1!$A$3:$F$37,3,FALSE)</f>
        <v>1844800</v>
      </c>
      <c r="K728">
        <v>1</v>
      </c>
      <c r="L728" s="4">
        <v>3.5778470000000002</v>
      </c>
      <c r="M728" s="4">
        <v>102.346388</v>
      </c>
      <c r="N728" s="6"/>
      <c r="P728"/>
      <c r="Q728" s="12"/>
      <c r="R728" s="12"/>
    </row>
    <row r="729" spans="1:18" x14ac:dyDescent="0.2">
      <c r="A729">
        <v>7</v>
      </c>
      <c r="B729" t="s">
        <v>5</v>
      </c>
      <c r="C729">
        <v>2013</v>
      </c>
      <c r="D729">
        <v>8</v>
      </c>
      <c r="E729" s="4">
        <v>0</v>
      </c>
      <c r="F729" s="9">
        <v>0</v>
      </c>
      <c r="G729" s="6">
        <v>1015</v>
      </c>
      <c r="H729" s="9">
        <f t="shared" si="11"/>
        <v>0</v>
      </c>
      <c r="I729" s="6">
        <v>12118</v>
      </c>
      <c r="J729" s="6">
        <f>VLOOKUP(Table1[[#This Row],[Province]],[1]Sheet1!$A$3:$F$37,3,FALSE)</f>
        <v>1844800</v>
      </c>
      <c r="K729">
        <v>0</v>
      </c>
      <c r="L729" s="4">
        <v>3.5778470000000002</v>
      </c>
      <c r="M729" s="4">
        <v>102.346388</v>
      </c>
      <c r="N729" s="6"/>
      <c r="P729"/>
      <c r="Q729" s="12"/>
      <c r="R729" s="12"/>
    </row>
    <row r="730" spans="1:18" x14ac:dyDescent="0.2">
      <c r="A730">
        <v>7</v>
      </c>
      <c r="B730" t="s">
        <v>5</v>
      </c>
      <c r="C730">
        <v>2013</v>
      </c>
      <c r="D730">
        <v>9</v>
      </c>
      <c r="E730" s="4">
        <v>0</v>
      </c>
      <c r="F730" s="9">
        <v>0</v>
      </c>
      <c r="G730" s="6">
        <v>2168</v>
      </c>
      <c r="H730" s="9">
        <f t="shared" si="11"/>
        <v>0</v>
      </c>
      <c r="I730" s="6">
        <v>12190</v>
      </c>
      <c r="J730" s="6">
        <f>VLOOKUP(Table1[[#This Row],[Province]],[1]Sheet1!$A$3:$F$37,3,FALSE)</f>
        <v>1844800</v>
      </c>
      <c r="K730">
        <v>0</v>
      </c>
      <c r="L730" s="4">
        <v>3.5778470000000002</v>
      </c>
      <c r="M730" s="4">
        <v>102.346388</v>
      </c>
      <c r="N730" s="6"/>
      <c r="P730"/>
      <c r="Q730" s="12"/>
      <c r="R730" s="12"/>
    </row>
    <row r="731" spans="1:18" x14ac:dyDescent="0.2">
      <c r="A731">
        <v>7</v>
      </c>
      <c r="B731" t="s">
        <v>5</v>
      </c>
      <c r="C731">
        <v>2013</v>
      </c>
      <c r="D731">
        <v>10</v>
      </c>
      <c r="E731" s="4">
        <v>0</v>
      </c>
      <c r="F731" s="9">
        <v>0</v>
      </c>
      <c r="G731" s="6">
        <v>1774</v>
      </c>
      <c r="H731" s="9">
        <f t="shared" si="11"/>
        <v>0</v>
      </c>
      <c r="I731" s="6">
        <v>12000</v>
      </c>
      <c r="J731" s="6">
        <f>VLOOKUP(Table1[[#This Row],[Province]],[1]Sheet1!$A$3:$F$37,3,FALSE)</f>
        <v>1844800</v>
      </c>
      <c r="K731">
        <v>0</v>
      </c>
      <c r="L731" s="4">
        <v>3.5778470000000002</v>
      </c>
      <c r="M731" s="4">
        <v>102.346388</v>
      </c>
      <c r="N731" s="6"/>
      <c r="P731"/>
      <c r="Q731" s="12"/>
      <c r="R731" s="12"/>
    </row>
    <row r="732" spans="1:18" x14ac:dyDescent="0.2">
      <c r="A732">
        <v>7</v>
      </c>
      <c r="B732" t="s">
        <v>5</v>
      </c>
      <c r="C732">
        <v>2013</v>
      </c>
      <c r="D732">
        <v>11</v>
      </c>
      <c r="E732" s="4">
        <v>0</v>
      </c>
      <c r="F732" s="9">
        <v>0</v>
      </c>
      <c r="G732" s="6">
        <v>1307</v>
      </c>
      <c r="H732" s="9">
        <f t="shared" si="11"/>
        <v>0</v>
      </c>
      <c r="I732" s="6">
        <v>12150</v>
      </c>
      <c r="J732" s="6">
        <f>VLOOKUP(Table1[[#This Row],[Province]],[1]Sheet1!$A$3:$F$37,3,FALSE)</f>
        <v>1844800</v>
      </c>
      <c r="K732">
        <v>0</v>
      </c>
      <c r="L732" s="4">
        <v>3.5778470000000002</v>
      </c>
      <c r="M732" s="4">
        <v>102.346388</v>
      </c>
      <c r="N732" s="6"/>
      <c r="P732"/>
      <c r="Q732" s="12"/>
      <c r="R732" s="12"/>
    </row>
    <row r="733" spans="1:18" x14ac:dyDescent="0.2">
      <c r="A733">
        <v>7</v>
      </c>
      <c r="B733" t="s">
        <v>5</v>
      </c>
      <c r="C733">
        <v>2013</v>
      </c>
      <c r="D733">
        <v>12</v>
      </c>
      <c r="E733" s="4">
        <v>0</v>
      </c>
      <c r="F733" s="9">
        <v>0</v>
      </c>
      <c r="G733" s="6">
        <v>1818</v>
      </c>
      <c r="H733" s="9">
        <f t="shared" si="11"/>
        <v>0</v>
      </c>
      <c r="I733" s="6">
        <v>11425</v>
      </c>
      <c r="J733" s="6">
        <f>VLOOKUP(Table1[[#This Row],[Province]],[1]Sheet1!$A$3:$F$37,3,FALSE)</f>
        <v>1844800</v>
      </c>
      <c r="K733">
        <v>1</v>
      </c>
      <c r="L733" s="4">
        <v>3.5778470000000002</v>
      </c>
      <c r="M733" s="4">
        <v>102.346388</v>
      </c>
      <c r="N733" s="6"/>
      <c r="P733"/>
      <c r="Q733" s="12"/>
      <c r="R733" s="12"/>
    </row>
    <row r="734" spans="1:18" x14ac:dyDescent="0.2">
      <c r="A734">
        <v>7</v>
      </c>
      <c r="B734" t="s">
        <v>5</v>
      </c>
      <c r="C734">
        <v>2014</v>
      </c>
      <c r="D734">
        <v>1</v>
      </c>
      <c r="E734" s="4">
        <v>0</v>
      </c>
      <c r="F734" s="9">
        <v>0</v>
      </c>
      <c r="G734" s="6">
        <v>1272</v>
      </c>
      <c r="H734" s="9">
        <f t="shared" si="11"/>
        <v>0</v>
      </c>
      <c r="I734" s="6">
        <v>11000</v>
      </c>
      <c r="J734" s="6">
        <f>VLOOKUP(Table1[[#This Row],[Province]],[1]Sheet1!$A$3:$F$37,3,FALSE)</f>
        <v>1844800</v>
      </c>
      <c r="K734">
        <v>0</v>
      </c>
      <c r="L734" s="4">
        <v>3.5778470000000002</v>
      </c>
      <c r="M734" s="4">
        <v>102.346388</v>
      </c>
      <c r="N734" s="6"/>
      <c r="P734"/>
      <c r="Q734" s="12"/>
      <c r="R734" s="12"/>
    </row>
    <row r="735" spans="1:18" x14ac:dyDescent="0.2">
      <c r="A735">
        <v>7</v>
      </c>
      <c r="B735" t="s">
        <v>5</v>
      </c>
      <c r="C735">
        <v>2014</v>
      </c>
      <c r="D735">
        <v>2</v>
      </c>
      <c r="E735" s="4">
        <v>0</v>
      </c>
      <c r="F735" s="9">
        <v>0</v>
      </c>
      <c r="G735" s="6">
        <v>1135</v>
      </c>
      <c r="H735" s="9">
        <f t="shared" si="11"/>
        <v>0</v>
      </c>
      <c r="I735" s="6">
        <v>11000</v>
      </c>
      <c r="J735" s="6">
        <f>VLOOKUP(Table1[[#This Row],[Province]],[1]Sheet1!$A$3:$F$37,3,FALSE)</f>
        <v>1844800</v>
      </c>
      <c r="K735">
        <v>0</v>
      </c>
      <c r="L735" s="4">
        <v>3.5778470000000002</v>
      </c>
      <c r="M735" s="4">
        <v>102.346388</v>
      </c>
      <c r="N735" s="6"/>
      <c r="P735"/>
      <c r="Q735" s="12"/>
      <c r="R735" s="12"/>
    </row>
    <row r="736" spans="1:18" x14ac:dyDescent="0.2">
      <c r="A736">
        <v>7</v>
      </c>
      <c r="B736" t="s">
        <v>5</v>
      </c>
      <c r="C736">
        <v>2014</v>
      </c>
      <c r="D736">
        <v>3</v>
      </c>
      <c r="E736" s="4">
        <v>0</v>
      </c>
      <c r="F736" s="9">
        <v>0</v>
      </c>
      <c r="G736" s="6">
        <v>1275</v>
      </c>
      <c r="H736" s="9">
        <f t="shared" si="11"/>
        <v>0</v>
      </c>
      <c r="I736" s="6">
        <v>10975</v>
      </c>
      <c r="J736" s="6">
        <f>VLOOKUP(Table1[[#This Row],[Province]],[1]Sheet1!$A$3:$F$37,3,FALSE)</f>
        <v>1844800</v>
      </c>
      <c r="K736">
        <v>0</v>
      </c>
      <c r="L736" s="4">
        <v>3.5778470000000002</v>
      </c>
      <c r="M736" s="4">
        <v>102.346388</v>
      </c>
      <c r="N736" s="6"/>
      <c r="P736"/>
      <c r="Q736" s="12"/>
      <c r="R736" s="12"/>
    </row>
    <row r="737" spans="1:18" x14ac:dyDescent="0.2">
      <c r="A737">
        <v>7</v>
      </c>
      <c r="B737" t="s">
        <v>5</v>
      </c>
      <c r="C737">
        <v>2014</v>
      </c>
      <c r="D737">
        <v>4</v>
      </c>
      <c r="E737" s="4">
        <v>0</v>
      </c>
      <c r="F737" s="9">
        <v>0</v>
      </c>
      <c r="G737" s="6">
        <v>1642</v>
      </c>
      <c r="H737" s="9">
        <f t="shared" si="11"/>
        <v>0</v>
      </c>
      <c r="I737" s="6">
        <v>10500</v>
      </c>
      <c r="J737" s="6">
        <f>VLOOKUP(Table1[[#This Row],[Province]],[1]Sheet1!$A$3:$F$37,3,FALSE)</f>
        <v>1844800</v>
      </c>
      <c r="K737">
        <v>0</v>
      </c>
      <c r="L737" s="4">
        <v>3.5778470000000002</v>
      </c>
      <c r="M737" s="4">
        <v>102.346388</v>
      </c>
      <c r="N737" s="6"/>
      <c r="P737"/>
      <c r="Q737" s="12"/>
      <c r="R737" s="12"/>
    </row>
    <row r="738" spans="1:18" x14ac:dyDescent="0.2">
      <c r="A738">
        <v>7</v>
      </c>
      <c r="B738" t="s">
        <v>5</v>
      </c>
      <c r="C738">
        <v>2014</v>
      </c>
      <c r="D738">
        <v>5</v>
      </c>
      <c r="E738" s="4">
        <v>0</v>
      </c>
      <c r="F738" s="9">
        <v>0</v>
      </c>
      <c r="G738" s="6">
        <v>1839</v>
      </c>
      <c r="H738" s="9">
        <f t="shared" si="11"/>
        <v>0</v>
      </c>
      <c r="I738" s="6">
        <v>10500</v>
      </c>
      <c r="J738" s="6">
        <f>VLOOKUP(Table1[[#This Row],[Province]],[1]Sheet1!$A$3:$F$37,3,FALSE)</f>
        <v>1844800</v>
      </c>
      <c r="K738">
        <v>0</v>
      </c>
      <c r="L738" s="4">
        <v>3.5778470000000002</v>
      </c>
      <c r="M738" s="4">
        <v>102.346388</v>
      </c>
      <c r="N738" s="6"/>
      <c r="P738"/>
      <c r="Q738" s="12"/>
      <c r="R738" s="12"/>
    </row>
    <row r="739" spans="1:18" x14ac:dyDescent="0.2">
      <c r="A739">
        <v>7</v>
      </c>
      <c r="B739" t="s">
        <v>5</v>
      </c>
      <c r="C739">
        <v>2014</v>
      </c>
      <c r="D739">
        <v>6</v>
      </c>
      <c r="E739" s="4">
        <v>0</v>
      </c>
      <c r="F739" s="9">
        <v>0</v>
      </c>
      <c r="G739" s="6">
        <v>2617</v>
      </c>
      <c r="H739" s="9">
        <f t="shared" si="11"/>
        <v>0</v>
      </c>
      <c r="I739" s="6">
        <v>10500</v>
      </c>
      <c r="J739" s="6">
        <f>VLOOKUP(Table1[[#This Row],[Province]],[1]Sheet1!$A$3:$F$37,3,FALSE)</f>
        <v>1844800</v>
      </c>
      <c r="K739">
        <v>1</v>
      </c>
      <c r="L739" s="4">
        <v>3.5778470000000002</v>
      </c>
      <c r="M739" s="4">
        <v>102.346388</v>
      </c>
      <c r="N739" s="6"/>
      <c r="P739"/>
      <c r="Q739" s="12"/>
      <c r="R739" s="12"/>
    </row>
    <row r="740" spans="1:18" x14ac:dyDescent="0.2">
      <c r="A740">
        <v>7</v>
      </c>
      <c r="B740" t="s">
        <v>5</v>
      </c>
      <c r="C740">
        <v>2014</v>
      </c>
      <c r="D740">
        <v>7</v>
      </c>
      <c r="E740" s="4">
        <v>0</v>
      </c>
      <c r="F740" s="9">
        <v>0</v>
      </c>
      <c r="G740" s="6">
        <v>1642</v>
      </c>
      <c r="H740" s="9">
        <f t="shared" si="11"/>
        <v>0</v>
      </c>
      <c r="I740" s="6">
        <v>10500</v>
      </c>
      <c r="J740" s="6">
        <f>VLOOKUP(Table1[[#This Row],[Province]],[1]Sheet1!$A$3:$F$37,3,FALSE)</f>
        <v>1844800</v>
      </c>
      <c r="K740">
        <v>0</v>
      </c>
      <c r="L740" s="4">
        <v>3.5778470000000002</v>
      </c>
      <c r="M740" s="4">
        <v>102.346388</v>
      </c>
      <c r="N740" s="6"/>
      <c r="P740"/>
      <c r="Q740" s="12"/>
      <c r="R740" s="12"/>
    </row>
    <row r="741" spans="1:18" x14ac:dyDescent="0.2">
      <c r="A741">
        <v>7</v>
      </c>
      <c r="B741" t="s">
        <v>5</v>
      </c>
      <c r="C741">
        <v>2014</v>
      </c>
      <c r="D741">
        <v>8</v>
      </c>
      <c r="E741" s="4">
        <v>0</v>
      </c>
      <c r="F741" s="9">
        <v>0</v>
      </c>
      <c r="G741" s="6">
        <v>1583</v>
      </c>
      <c r="H741" s="9">
        <f t="shared" si="11"/>
        <v>0</v>
      </c>
      <c r="I741" s="6">
        <v>10500</v>
      </c>
      <c r="J741" s="6">
        <f>VLOOKUP(Table1[[#This Row],[Province]],[1]Sheet1!$A$3:$F$37,3,FALSE)</f>
        <v>1844800</v>
      </c>
      <c r="K741">
        <v>0</v>
      </c>
      <c r="L741" s="4">
        <v>3.5778470000000002</v>
      </c>
      <c r="M741" s="4">
        <v>102.346388</v>
      </c>
      <c r="N741" s="6"/>
      <c r="P741"/>
      <c r="Q741" s="12"/>
      <c r="R741" s="12"/>
    </row>
    <row r="742" spans="1:18" x14ac:dyDescent="0.2">
      <c r="A742">
        <v>7</v>
      </c>
      <c r="B742" t="s">
        <v>5</v>
      </c>
      <c r="C742">
        <v>2014</v>
      </c>
      <c r="D742">
        <v>9</v>
      </c>
      <c r="E742" s="4">
        <v>0</v>
      </c>
      <c r="F742" s="9">
        <v>0</v>
      </c>
      <c r="G742" s="6">
        <v>1593</v>
      </c>
      <c r="H742" s="9">
        <f t="shared" si="11"/>
        <v>0</v>
      </c>
      <c r="I742" s="6">
        <v>10500</v>
      </c>
      <c r="J742" s="6">
        <f>VLOOKUP(Table1[[#This Row],[Province]],[1]Sheet1!$A$3:$F$37,3,FALSE)</f>
        <v>1844800</v>
      </c>
      <c r="K742">
        <v>0</v>
      </c>
      <c r="L742" s="4">
        <v>3.5778470000000002</v>
      </c>
      <c r="M742" s="4">
        <v>102.346388</v>
      </c>
      <c r="N742" s="6"/>
      <c r="P742"/>
      <c r="Q742" s="12"/>
      <c r="R742" s="12"/>
    </row>
    <row r="743" spans="1:18" x14ac:dyDescent="0.2">
      <c r="A743">
        <v>7</v>
      </c>
      <c r="B743" t="s">
        <v>5</v>
      </c>
      <c r="C743">
        <v>2014</v>
      </c>
      <c r="D743">
        <v>10</v>
      </c>
      <c r="E743" s="4">
        <v>0</v>
      </c>
      <c r="F743" s="9">
        <v>0</v>
      </c>
      <c r="G743" s="6">
        <v>2363</v>
      </c>
      <c r="H743" s="9">
        <f t="shared" si="11"/>
        <v>0</v>
      </c>
      <c r="I743" s="6">
        <v>10500</v>
      </c>
      <c r="J743" s="6">
        <f>VLOOKUP(Table1[[#This Row],[Province]],[1]Sheet1!$A$3:$F$37,3,FALSE)</f>
        <v>1844800</v>
      </c>
      <c r="K743">
        <v>0</v>
      </c>
      <c r="L743" s="4">
        <v>3.5778470000000002</v>
      </c>
      <c r="M743" s="4">
        <v>102.346388</v>
      </c>
      <c r="N743" s="6"/>
      <c r="P743"/>
      <c r="Q743" s="12"/>
      <c r="R743" s="12"/>
    </row>
    <row r="744" spans="1:18" x14ac:dyDescent="0.2">
      <c r="A744">
        <v>7</v>
      </c>
      <c r="B744" t="s">
        <v>5</v>
      </c>
      <c r="C744">
        <v>2014</v>
      </c>
      <c r="D744">
        <v>11</v>
      </c>
      <c r="E744" s="4">
        <v>0</v>
      </c>
      <c r="F744" s="9">
        <v>0</v>
      </c>
      <c r="G744" s="6">
        <v>1886</v>
      </c>
      <c r="H744" s="9">
        <f t="shared" si="11"/>
        <v>0</v>
      </c>
      <c r="I744" s="6">
        <v>10500</v>
      </c>
      <c r="J744" s="6">
        <f>VLOOKUP(Table1[[#This Row],[Province]],[1]Sheet1!$A$3:$F$37,3,FALSE)</f>
        <v>1844800</v>
      </c>
      <c r="K744">
        <v>0</v>
      </c>
      <c r="L744" s="4">
        <v>3.5778470000000002</v>
      </c>
      <c r="M744" s="4">
        <v>102.346388</v>
      </c>
      <c r="N744" s="6"/>
      <c r="P744"/>
      <c r="Q744" s="12"/>
      <c r="R744" s="12"/>
    </row>
    <row r="745" spans="1:18" x14ac:dyDescent="0.2">
      <c r="A745">
        <v>7</v>
      </c>
      <c r="B745" t="s">
        <v>5</v>
      </c>
      <c r="C745">
        <v>2014</v>
      </c>
      <c r="D745">
        <v>12</v>
      </c>
      <c r="E745" s="4">
        <v>0</v>
      </c>
      <c r="F745" s="9">
        <v>0</v>
      </c>
      <c r="G745" s="6">
        <v>2199</v>
      </c>
      <c r="H745" s="9">
        <f t="shared" si="11"/>
        <v>0</v>
      </c>
      <c r="I745" s="6">
        <v>10500</v>
      </c>
      <c r="J745" s="6">
        <f>VLOOKUP(Table1[[#This Row],[Province]],[1]Sheet1!$A$3:$F$37,3,FALSE)</f>
        <v>1844800</v>
      </c>
      <c r="K745">
        <v>1</v>
      </c>
      <c r="L745" s="4">
        <v>3.5778470000000002</v>
      </c>
      <c r="M745" s="4">
        <v>102.346388</v>
      </c>
      <c r="N745" s="6"/>
      <c r="P745"/>
      <c r="Q745" s="12"/>
      <c r="R745" s="12"/>
    </row>
    <row r="746" spans="1:18" x14ac:dyDescent="0.2">
      <c r="A746">
        <v>7</v>
      </c>
      <c r="B746" t="s">
        <v>5</v>
      </c>
      <c r="C746">
        <v>2015</v>
      </c>
      <c r="D746">
        <v>1</v>
      </c>
      <c r="E746" s="4">
        <v>0</v>
      </c>
      <c r="F746" s="9">
        <v>0</v>
      </c>
      <c r="G746" s="6">
        <v>1081</v>
      </c>
      <c r="H746" s="9">
        <f t="shared" si="11"/>
        <v>0</v>
      </c>
      <c r="I746" s="6">
        <v>10500</v>
      </c>
      <c r="J746" s="6">
        <f>VLOOKUP(Table1[[#This Row],[Province]],[1]Sheet1!$A$3:$F$37,3,FALSE)</f>
        <v>1844800</v>
      </c>
      <c r="K746">
        <v>0</v>
      </c>
      <c r="L746" s="4">
        <v>3.5778470000000002</v>
      </c>
      <c r="M746" s="4">
        <v>102.346388</v>
      </c>
      <c r="N746" s="6"/>
      <c r="P746"/>
      <c r="Q746" s="12"/>
      <c r="R746" s="12"/>
    </row>
    <row r="747" spans="1:18" x14ac:dyDescent="0.2">
      <c r="A747">
        <v>7</v>
      </c>
      <c r="B747" t="s">
        <v>5</v>
      </c>
      <c r="C747">
        <v>2015</v>
      </c>
      <c r="D747">
        <v>2</v>
      </c>
      <c r="E747" s="4">
        <v>0</v>
      </c>
      <c r="F747" s="9">
        <v>0</v>
      </c>
      <c r="G747" s="6">
        <v>2726</v>
      </c>
      <c r="H747" s="9">
        <f t="shared" si="11"/>
        <v>0</v>
      </c>
      <c r="I747" s="6">
        <v>10500</v>
      </c>
      <c r="J747" s="6">
        <f>VLOOKUP(Table1[[#This Row],[Province]],[1]Sheet1!$A$3:$F$37,3,FALSE)</f>
        <v>1844800</v>
      </c>
      <c r="K747">
        <v>0</v>
      </c>
      <c r="L747" s="4">
        <v>3.5778470000000002</v>
      </c>
      <c r="M747" s="4">
        <v>102.346388</v>
      </c>
      <c r="N747" s="6"/>
      <c r="P747"/>
      <c r="Q747" s="12"/>
      <c r="R747" s="12"/>
    </row>
    <row r="748" spans="1:18" x14ac:dyDescent="0.2">
      <c r="A748">
        <v>7</v>
      </c>
      <c r="B748" t="s">
        <v>5</v>
      </c>
      <c r="C748">
        <v>2015</v>
      </c>
      <c r="D748">
        <v>3</v>
      </c>
      <c r="E748" s="4">
        <v>0</v>
      </c>
      <c r="F748" s="9">
        <v>0</v>
      </c>
      <c r="G748" s="6">
        <v>1237</v>
      </c>
      <c r="H748" s="9">
        <f t="shared" si="11"/>
        <v>0</v>
      </c>
      <c r="I748" s="6">
        <v>10500</v>
      </c>
      <c r="J748" s="6">
        <f>VLOOKUP(Table1[[#This Row],[Province]],[1]Sheet1!$A$3:$F$37,3,FALSE)</f>
        <v>1844800</v>
      </c>
      <c r="K748">
        <v>0</v>
      </c>
      <c r="L748" s="4">
        <v>3.5778470000000002</v>
      </c>
      <c r="M748" s="4">
        <v>102.346388</v>
      </c>
      <c r="N748" s="6"/>
      <c r="P748"/>
      <c r="Q748" s="12"/>
      <c r="R748" s="12"/>
    </row>
    <row r="749" spans="1:18" x14ac:dyDescent="0.2">
      <c r="A749">
        <v>7</v>
      </c>
      <c r="B749" t="s">
        <v>5</v>
      </c>
      <c r="C749">
        <v>2015</v>
      </c>
      <c r="D749">
        <v>4</v>
      </c>
      <c r="E749" s="4">
        <v>0</v>
      </c>
      <c r="F749" s="9">
        <v>0</v>
      </c>
      <c r="G749" s="6">
        <v>2049</v>
      </c>
      <c r="H749" s="9">
        <f t="shared" si="11"/>
        <v>0</v>
      </c>
      <c r="I749" s="6">
        <v>10810</v>
      </c>
      <c r="J749" s="6">
        <f>VLOOKUP(Table1[[#This Row],[Province]],[1]Sheet1!$A$3:$F$37,3,FALSE)</f>
        <v>1844800</v>
      </c>
      <c r="K749">
        <v>0</v>
      </c>
      <c r="L749" s="4">
        <v>3.5778470000000002</v>
      </c>
      <c r="M749" s="4">
        <v>102.346388</v>
      </c>
      <c r="N749" s="6"/>
      <c r="P749"/>
      <c r="Q749" s="12"/>
      <c r="R749" s="12"/>
    </row>
    <row r="750" spans="1:18" x14ac:dyDescent="0.2">
      <c r="A750">
        <v>7</v>
      </c>
      <c r="B750" t="s">
        <v>5</v>
      </c>
      <c r="C750">
        <v>2015</v>
      </c>
      <c r="D750">
        <v>5</v>
      </c>
      <c r="E750" s="4">
        <v>0</v>
      </c>
      <c r="F750" s="9">
        <v>0</v>
      </c>
      <c r="G750" s="6">
        <v>1963</v>
      </c>
      <c r="H750" s="9">
        <f t="shared" si="11"/>
        <v>0</v>
      </c>
      <c r="I750" s="6">
        <v>12105</v>
      </c>
      <c r="J750" s="6">
        <f>VLOOKUP(Table1[[#This Row],[Province]],[1]Sheet1!$A$3:$F$37,3,FALSE)</f>
        <v>1844800</v>
      </c>
      <c r="K750">
        <v>0</v>
      </c>
      <c r="L750" s="4">
        <v>3.5778470000000002</v>
      </c>
      <c r="M750" s="4">
        <v>102.346388</v>
      </c>
      <c r="N750" s="6"/>
      <c r="P750"/>
      <c r="Q750" s="12"/>
      <c r="R750" s="12"/>
    </row>
    <row r="751" spans="1:18" x14ac:dyDescent="0.2">
      <c r="A751">
        <v>7</v>
      </c>
      <c r="B751" t="s">
        <v>5</v>
      </c>
      <c r="C751">
        <v>2015</v>
      </c>
      <c r="D751">
        <v>6</v>
      </c>
      <c r="E751" s="4">
        <v>0</v>
      </c>
      <c r="F751" s="9">
        <v>0</v>
      </c>
      <c r="G751" s="6">
        <v>2231</v>
      </c>
      <c r="H751" s="9">
        <f t="shared" si="11"/>
        <v>0</v>
      </c>
      <c r="I751" s="6">
        <v>12500</v>
      </c>
      <c r="J751" s="6">
        <f>VLOOKUP(Table1[[#This Row],[Province]],[1]Sheet1!$A$3:$F$37,3,FALSE)</f>
        <v>1844800</v>
      </c>
      <c r="K751">
        <v>1</v>
      </c>
      <c r="L751" s="4">
        <v>3.5778470000000002</v>
      </c>
      <c r="M751" s="4">
        <v>102.346388</v>
      </c>
      <c r="N751" s="6"/>
      <c r="P751"/>
      <c r="Q751" s="12"/>
      <c r="R751" s="12"/>
    </row>
    <row r="752" spans="1:18" x14ac:dyDescent="0.2">
      <c r="A752">
        <v>7</v>
      </c>
      <c r="B752" t="s">
        <v>5</v>
      </c>
      <c r="C752">
        <v>2015</v>
      </c>
      <c r="D752">
        <v>7</v>
      </c>
      <c r="E752" s="4">
        <v>0</v>
      </c>
      <c r="F752" s="9">
        <v>0</v>
      </c>
      <c r="G752" s="6">
        <v>1523</v>
      </c>
      <c r="H752" s="9">
        <f t="shared" si="11"/>
        <v>0</v>
      </c>
      <c r="I752" s="6">
        <v>13184</v>
      </c>
      <c r="J752" s="6">
        <f>VLOOKUP(Table1[[#This Row],[Province]],[1]Sheet1!$A$3:$F$37,3,FALSE)</f>
        <v>1844800</v>
      </c>
      <c r="K752">
        <v>0</v>
      </c>
      <c r="L752" s="4">
        <v>3.5778470000000002</v>
      </c>
      <c r="M752" s="4">
        <v>102.346388</v>
      </c>
      <c r="N752" s="6"/>
      <c r="P752"/>
      <c r="Q752" s="12"/>
      <c r="R752" s="12"/>
    </row>
    <row r="753" spans="1:18" x14ac:dyDescent="0.2">
      <c r="A753">
        <v>7</v>
      </c>
      <c r="B753" t="s">
        <v>5</v>
      </c>
      <c r="C753">
        <v>2015</v>
      </c>
      <c r="D753">
        <v>8</v>
      </c>
      <c r="E753" s="4">
        <v>0</v>
      </c>
      <c r="F753" s="9">
        <v>0</v>
      </c>
      <c r="G753" s="6">
        <v>1507</v>
      </c>
      <c r="H753" s="9">
        <f t="shared" si="11"/>
        <v>0</v>
      </c>
      <c r="I753" s="6">
        <v>14000</v>
      </c>
      <c r="J753" s="6">
        <f>VLOOKUP(Table1[[#This Row],[Province]],[1]Sheet1!$A$3:$F$37,3,FALSE)</f>
        <v>1844800</v>
      </c>
      <c r="K753">
        <v>0</v>
      </c>
      <c r="L753" s="4">
        <v>3.5778470000000002</v>
      </c>
      <c r="M753" s="4">
        <v>102.346388</v>
      </c>
      <c r="N753" s="6"/>
      <c r="P753"/>
      <c r="Q753" s="12"/>
      <c r="R753" s="12"/>
    </row>
    <row r="754" spans="1:18" x14ac:dyDescent="0.2">
      <c r="A754">
        <v>7</v>
      </c>
      <c r="B754" t="s">
        <v>5</v>
      </c>
      <c r="C754">
        <v>2015</v>
      </c>
      <c r="D754">
        <v>9</v>
      </c>
      <c r="E754" s="4">
        <v>0</v>
      </c>
      <c r="F754" s="9">
        <v>0</v>
      </c>
      <c r="G754" s="6">
        <v>2023</v>
      </c>
      <c r="H754" s="9">
        <f t="shared" si="11"/>
        <v>0</v>
      </c>
      <c r="I754" s="6">
        <v>14000</v>
      </c>
      <c r="J754" s="6">
        <f>VLOOKUP(Table1[[#This Row],[Province]],[1]Sheet1!$A$3:$F$37,3,FALSE)</f>
        <v>1844800</v>
      </c>
      <c r="K754">
        <v>0</v>
      </c>
      <c r="L754" s="4">
        <v>3.5778470000000002</v>
      </c>
      <c r="M754" s="4">
        <v>102.346388</v>
      </c>
      <c r="N754" s="6"/>
      <c r="P754"/>
      <c r="Q754" s="12"/>
      <c r="R754" s="12"/>
    </row>
    <row r="755" spans="1:18" x14ac:dyDescent="0.2">
      <c r="A755">
        <v>7</v>
      </c>
      <c r="B755" t="s">
        <v>5</v>
      </c>
      <c r="C755">
        <v>2015</v>
      </c>
      <c r="D755">
        <v>10</v>
      </c>
      <c r="E755" s="4">
        <v>0</v>
      </c>
      <c r="F755" s="9">
        <v>0</v>
      </c>
      <c r="G755" s="6">
        <v>1348</v>
      </c>
      <c r="H755" s="9">
        <f t="shared" si="11"/>
        <v>0</v>
      </c>
      <c r="I755" s="6">
        <v>14000</v>
      </c>
      <c r="J755" s="6">
        <f>VLOOKUP(Table1[[#This Row],[Province]],[1]Sheet1!$A$3:$F$37,3,FALSE)</f>
        <v>1844800</v>
      </c>
      <c r="K755">
        <v>0</v>
      </c>
      <c r="L755" s="4">
        <v>3.5778470000000002</v>
      </c>
      <c r="M755" s="4">
        <v>102.346388</v>
      </c>
      <c r="N755" s="6"/>
      <c r="P755"/>
      <c r="Q755" s="12"/>
      <c r="R755" s="12"/>
    </row>
    <row r="756" spans="1:18" x14ac:dyDescent="0.2">
      <c r="A756">
        <v>7</v>
      </c>
      <c r="B756" t="s">
        <v>5</v>
      </c>
      <c r="C756">
        <v>2015</v>
      </c>
      <c r="D756">
        <v>11</v>
      </c>
      <c r="E756" s="4">
        <v>0</v>
      </c>
      <c r="F756" s="9">
        <v>0</v>
      </c>
      <c r="G756" s="6">
        <v>1778</v>
      </c>
      <c r="H756" s="9">
        <f t="shared" si="11"/>
        <v>0</v>
      </c>
      <c r="I756" s="6">
        <v>14000</v>
      </c>
      <c r="J756" s="6">
        <f>VLOOKUP(Table1[[#This Row],[Province]],[1]Sheet1!$A$3:$F$37,3,FALSE)</f>
        <v>1844800</v>
      </c>
      <c r="K756">
        <v>0</v>
      </c>
      <c r="L756" s="4">
        <v>3.5778470000000002</v>
      </c>
      <c r="M756" s="4">
        <v>102.346388</v>
      </c>
      <c r="N756" s="6"/>
      <c r="P756"/>
      <c r="Q756" s="12"/>
      <c r="R756" s="12"/>
    </row>
    <row r="757" spans="1:18" x14ac:dyDescent="0.2">
      <c r="A757">
        <v>7</v>
      </c>
      <c r="B757" t="s">
        <v>5</v>
      </c>
      <c r="C757">
        <v>2015</v>
      </c>
      <c r="D757">
        <v>12</v>
      </c>
      <c r="E757" s="4">
        <v>0</v>
      </c>
      <c r="F757" s="9">
        <v>0</v>
      </c>
      <c r="G757" s="6">
        <v>1906</v>
      </c>
      <c r="H757" s="9">
        <f t="shared" si="11"/>
        <v>0</v>
      </c>
      <c r="I757" s="6">
        <v>14000</v>
      </c>
      <c r="J757" s="6">
        <f>VLOOKUP(Table1[[#This Row],[Province]],[1]Sheet1!$A$3:$F$37,3,FALSE)</f>
        <v>1844800</v>
      </c>
      <c r="K757">
        <v>1</v>
      </c>
      <c r="L757" s="4">
        <v>3.5778470000000002</v>
      </c>
      <c r="M757" s="4">
        <v>102.346388</v>
      </c>
      <c r="N757" s="6"/>
      <c r="P757"/>
      <c r="Q757" s="12"/>
      <c r="R757" s="12"/>
    </row>
    <row r="758" spans="1:18" x14ac:dyDescent="0.2">
      <c r="A758">
        <v>7</v>
      </c>
      <c r="B758" t="s">
        <v>5</v>
      </c>
      <c r="C758">
        <v>2016</v>
      </c>
      <c r="D758">
        <v>1</v>
      </c>
      <c r="E758" s="4">
        <v>0</v>
      </c>
      <c r="F758" s="9">
        <v>0</v>
      </c>
      <c r="G758" s="6">
        <v>484</v>
      </c>
      <c r="H758" s="9">
        <f t="shared" si="11"/>
        <v>0</v>
      </c>
      <c r="I758" s="6">
        <v>13450</v>
      </c>
      <c r="J758" s="6">
        <f>VLOOKUP(Table1[[#This Row],[Province]],[1]Sheet1!$A$3:$F$37,3,FALSE)</f>
        <v>1844800</v>
      </c>
      <c r="K758">
        <v>0</v>
      </c>
      <c r="L758" s="4">
        <v>3.5778470000000002</v>
      </c>
      <c r="M758" s="4">
        <v>102.346388</v>
      </c>
      <c r="N758" s="13">
        <v>5.28</v>
      </c>
      <c r="P758"/>
      <c r="Q758" s="12"/>
      <c r="R758" s="12"/>
    </row>
    <row r="759" spans="1:18" x14ac:dyDescent="0.2">
      <c r="A759">
        <v>7</v>
      </c>
      <c r="B759" t="s">
        <v>5</v>
      </c>
      <c r="C759">
        <v>2016</v>
      </c>
      <c r="D759">
        <v>2</v>
      </c>
      <c r="E759" s="4">
        <v>0</v>
      </c>
      <c r="F759" s="9">
        <v>0</v>
      </c>
      <c r="G759" s="6">
        <v>1375</v>
      </c>
      <c r="H759" s="9">
        <f t="shared" si="11"/>
        <v>0</v>
      </c>
      <c r="I759" s="6">
        <v>13000</v>
      </c>
      <c r="J759" s="6">
        <f>VLOOKUP(Table1[[#This Row],[Province]],[1]Sheet1!$A$3:$F$37,3,FALSE)</f>
        <v>1844800</v>
      </c>
      <c r="K759">
        <v>0</v>
      </c>
      <c r="L759" s="4">
        <v>3.5778470000000002</v>
      </c>
      <c r="M759" s="4">
        <v>102.346388</v>
      </c>
      <c r="N759" s="13">
        <v>5.28</v>
      </c>
      <c r="P759"/>
      <c r="Q759" s="12"/>
      <c r="R759" s="12"/>
    </row>
    <row r="760" spans="1:18" x14ac:dyDescent="0.2">
      <c r="A760">
        <v>7</v>
      </c>
      <c r="B760" t="s">
        <v>5</v>
      </c>
      <c r="C760">
        <v>2016</v>
      </c>
      <c r="D760">
        <v>3</v>
      </c>
      <c r="E760" s="4">
        <v>0</v>
      </c>
      <c r="F760" s="9">
        <v>0</v>
      </c>
      <c r="G760" s="6">
        <v>2612</v>
      </c>
      <c r="H760" s="9">
        <f t="shared" si="11"/>
        <v>0</v>
      </c>
      <c r="I760" s="6">
        <v>13000</v>
      </c>
      <c r="J760" s="6">
        <f>VLOOKUP(Table1[[#This Row],[Province]],[1]Sheet1!$A$3:$F$37,3,FALSE)</f>
        <v>1844800</v>
      </c>
      <c r="K760">
        <v>0</v>
      </c>
      <c r="L760" s="4">
        <v>3.5778470000000002</v>
      </c>
      <c r="M760" s="4">
        <v>102.346388</v>
      </c>
      <c r="N760" s="13">
        <v>5.28</v>
      </c>
      <c r="P760"/>
      <c r="Q760" s="12"/>
      <c r="R760" s="12"/>
    </row>
    <row r="761" spans="1:18" x14ac:dyDescent="0.2">
      <c r="A761">
        <v>7</v>
      </c>
      <c r="B761" t="s">
        <v>5</v>
      </c>
      <c r="C761">
        <v>2016</v>
      </c>
      <c r="D761">
        <v>4</v>
      </c>
      <c r="E761" s="4">
        <v>0</v>
      </c>
      <c r="F761" s="9">
        <v>0</v>
      </c>
      <c r="G761" s="6">
        <v>945</v>
      </c>
      <c r="H761" s="9">
        <f t="shared" si="11"/>
        <v>0</v>
      </c>
      <c r="I761" s="6">
        <v>13024</v>
      </c>
      <c r="J761" s="6">
        <f>VLOOKUP(Table1[[#This Row],[Province]],[1]Sheet1!$A$3:$F$37,3,FALSE)</f>
        <v>1844800</v>
      </c>
      <c r="K761">
        <v>0</v>
      </c>
      <c r="L761" s="4">
        <v>3.5778470000000002</v>
      </c>
      <c r="M761" s="4">
        <v>102.346388</v>
      </c>
      <c r="N761" s="13">
        <v>5.28</v>
      </c>
      <c r="P761"/>
      <c r="Q761" s="12"/>
      <c r="R761" s="12"/>
    </row>
    <row r="762" spans="1:18" x14ac:dyDescent="0.2">
      <c r="A762">
        <v>7</v>
      </c>
      <c r="B762" t="s">
        <v>5</v>
      </c>
      <c r="C762">
        <v>2016</v>
      </c>
      <c r="D762">
        <v>5</v>
      </c>
      <c r="E762" s="4">
        <v>0</v>
      </c>
      <c r="F762" s="9">
        <v>0</v>
      </c>
      <c r="G762" s="6">
        <v>2611</v>
      </c>
      <c r="H762" s="9">
        <f t="shared" si="11"/>
        <v>0</v>
      </c>
      <c r="I762" s="6">
        <v>14550</v>
      </c>
      <c r="J762" s="6">
        <f>VLOOKUP(Table1[[#This Row],[Province]],[1]Sheet1!$A$3:$F$37,3,FALSE)</f>
        <v>1844800</v>
      </c>
      <c r="K762">
        <v>0</v>
      </c>
      <c r="L762" s="4">
        <v>3.5778470000000002</v>
      </c>
      <c r="M762" s="4">
        <v>102.346388</v>
      </c>
      <c r="N762" s="13">
        <v>5.28</v>
      </c>
      <c r="P762"/>
      <c r="Q762" s="12"/>
      <c r="R762" s="12"/>
    </row>
    <row r="763" spans="1:18" x14ac:dyDescent="0.2">
      <c r="A763">
        <v>7</v>
      </c>
      <c r="B763" t="s">
        <v>5</v>
      </c>
      <c r="C763">
        <v>2016</v>
      </c>
      <c r="D763">
        <v>6</v>
      </c>
      <c r="E763" s="4">
        <v>0</v>
      </c>
      <c r="F763" s="9">
        <v>0</v>
      </c>
      <c r="G763" s="6">
        <v>1967</v>
      </c>
      <c r="H763" s="9">
        <f t="shared" si="11"/>
        <v>0</v>
      </c>
      <c r="I763" s="6">
        <v>15000</v>
      </c>
      <c r="J763" s="6">
        <f>VLOOKUP(Table1[[#This Row],[Province]],[1]Sheet1!$A$3:$F$37,3,FALSE)</f>
        <v>1844800</v>
      </c>
      <c r="K763">
        <v>1</v>
      </c>
      <c r="L763" s="4">
        <v>3.5778470000000002</v>
      </c>
      <c r="M763" s="4">
        <v>102.346388</v>
      </c>
      <c r="N763" s="13">
        <v>5.28</v>
      </c>
      <c r="P763"/>
      <c r="Q763" s="12"/>
      <c r="R763" s="12"/>
    </row>
    <row r="764" spans="1:18" x14ac:dyDescent="0.2">
      <c r="A764">
        <v>7</v>
      </c>
      <c r="B764" t="s">
        <v>5</v>
      </c>
      <c r="C764">
        <v>2016</v>
      </c>
      <c r="D764">
        <v>7</v>
      </c>
      <c r="E764" s="4">
        <v>0</v>
      </c>
      <c r="F764" s="9">
        <v>0</v>
      </c>
      <c r="G764" s="6">
        <v>1877</v>
      </c>
      <c r="H764" s="9">
        <f t="shared" si="11"/>
        <v>0</v>
      </c>
      <c r="I764" s="6">
        <v>15000</v>
      </c>
      <c r="J764" s="6">
        <f>VLOOKUP(Table1[[#This Row],[Province]],[1]Sheet1!$A$3:$F$37,3,FALSE)</f>
        <v>1844800</v>
      </c>
      <c r="K764">
        <v>0</v>
      </c>
      <c r="L764" s="4">
        <v>3.5778470000000002</v>
      </c>
      <c r="M764" s="4">
        <v>102.346388</v>
      </c>
      <c r="N764" s="13">
        <v>5.28</v>
      </c>
      <c r="P764"/>
      <c r="Q764" s="12"/>
      <c r="R764" s="12"/>
    </row>
    <row r="765" spans="1:18" x14ac:dyDescent="0.2">
      <c r="A765">
        <v>7</v>
      </c>
      <c r="B765" t="s">
        <v>5</v>
      </c>
      <c r="C765">
        <v>2016</v>
      </c>
      <c r="D765">
        <v>8</v>
      </c>
      <c r="E765" s="4">
        <v>0</v>
      </c>
      <c r="F765" s="9">
        <v>0</v>
      </c>
      <c r="G765" s="6">
        <v>1855</v>
      </c>
      <c r="H765" s="9">
        <f t="shared" si="11"/>
        <v>0</v>
      </c>
      <c r="I765" s="6">
        <v>14795</v>
      </c>
      <c r="J765" s="6">
        <f>VLOOKUP(Table1[[#This Row],[Province]],[1]Sheet1!$A$3:$F$37,3,FALSE)</f>
        <v>1844800</v>
      </c>
      <c r="K765">
        <v>0</v>
      </c>
      <c r="L765" s="4">
        <v>3.5778470000000002</v>
      </c>
      <c r="M765" s="4">
        <v>102.346388</v>
      </c>
      <c r="N765" s="13">
        <v>5.28</v>
      </c>
      <c r="P765"/>
      <c r="Q765" s="12"/>
      <c r="R765" s="12"/>
    </row>
    <row r="766" spans="1:18" x14ac:dyDescent="0.2">
      <c r="A766">
        <v>7</v>
      </c>
      <c r="B766" t="s">
        <v>5</v>
      </c>
      <c r="C766">
        <v>2016</v>
      </c>
      <c r="D766">
        <v>9</v>
      </c>
      <c r="E766" s="4">
        <v>0</v>
      </c>
      <c r="F766" s="9">
        <v>0</v>
      </c>
      <c r="G766" s="6">
        <v>717</v>
      </c>
      <c r="H766" s="9">
        <f t="shared" si="11"/>
        <v>0</v>
      </c>
      <c r="I766" s="6">
        <v>14071</v>
      </c>
      <c r="J766" s="6">
        <f>VLOOKUP(Table1[[#This Row],[Province]],[1]Sheet1!$A$3:$F$37,3,FALSE)</f>
        <v>1844800</v>
      </c>
      <c r="K766">
        <v>0</v>
      </c>
      <c r="L766" s="4">
        <v>3.5778470000000002</v>
      </c>
      <c r="M766" s="4">
        <v>102.346388</v>
      </c>
      <c r="N766" s="13">
        <v>5.28</v>
      </c>
      <c r="P766"/>
      <c r="Q766" s="12"/>
      <c r="R766" s="12"/>
    </row>
    <row r="767" spans="1:18" x14ac:dyDescent="0.2">
      <c r="A767">
        <v>7</v>
      </c>
      <c r="B767" t="s">
        <v>5</v>
      </c>
      <c r="C767">
        <v>2016</v>
      </c>
      <c r="D767">
        <v>10</v>
      </c>
      <c r="E767" s="4">
        <v>0</v>
      </c>
      <c r="F767" s="9">
        <v>0</v>
      </c>
      <c r="G767" s="6">
        <v>3132</v>
      </c>
      <c r="H767" s="9">
        <f t="shared" si="11"/>
        <v>0</v>
      </c>
      <c r="I767" s="6">
        <v>14000</v>
      </c>
      <c r="J767" s="6">
        <f>VLOOKUP(Table1[[#This Row],[Province]],[1]Sheet1!$A$3:$F$37,3,FALSE)</f>
        <v>1844800</v>
      </c>
      <c r="K767">
        <v>0</v>
      </c>
      <c r="L767" s="4">
        <v>3.5778470000000002</v>
      </c>
      <c r="M767" s="4">
        <v>102.346388</v>
      </c>
      <c r="N767" s="13">
        <v>5.28</v>
      </c>
      <c r="P767"/>
      <c r="Q767" s="12"/>
      <c r="R767" s="12"/>
    </row>
    <row r="768" spans="1:18" x14ac:dyDescent="0.2">
      <c r="A768">
        <v>7</v>
      </c>
      <c r="B768" t="s">
        <v>5</v>
      </c>
      <c r="C768">
        <v>2016</v>
      </c>
      <c r="D768">
        <v>11</v>
      </c>
      <c r="E768" s="4">
        <v>0</v>
      </c>
      <c r="F768" s="9">
        <v>0</v>
      </c>
      <c r="G768" s="6">
        <v>887</v>
      </c>
      <c r="H768" s="9">
        <f t="shared" si="11"/>
        <v>0</v>
      </c>
      <c r="I768" s="6">
        <v>13886</v>
      </c>
      <c r="J768" s="6">
        <f>VLOOKUP(Table1[[#This Row],[Province]],[1]Sheet1!$A$3:$F$37,3,FALSE)</f>
        <v>1844800</v>
      </c>
      <c r="K768">
        <v>0</v>
      </c>
      <c r="L768" s="4">
        <v>3.5778470000000002</v>
      </c>
      <c r="M768" s="4">
        <v>102.346388</v>
      </c>
      <c r="N768" s="13">
        <v>5.28</v>
      </c>
      <c r="P768"/>
      <c r="Q768" s="12"/>
      <c r="R768" s="12"/>
    </row>
    <row r="769" spans="1:18" x14ac:dyDescent="0.2">
      <c r="A769">
        <v>7</v>
      </c>
      <c r="B769" t="s">
        <v>5</v>
      </c>
      <c r="C769">
        <v>2016</v>
      </c>
      <c r="D769">
        <v>12</v>
      </c>
      <c r="E769" s="4">
        <v>0</v>
      </c>
      <c r="F769" s="9">
        <v>0</v>
      </c>
      <c r="G769" s="6">
        <v>887</v>
      </c>
      <c r="H769" s="9">
        <f t="shared" si="11"/>
        <v>0</v>
      </c>
      <c r="I769" s="6">
        <v>13550</v>
      </c>
      <c r="J769" s="6">
        <f>VLOOKUP(Table1[[#This Row],[Province]],[1]Sheet1!$A$3:$F$37,3,FALSE)</f>
        <v>1844800</v>
      </c>
      <c r="K769">
        <v>1</v>
      </c>
      <c r="L769" s="4">
        <v>3.5778470000000002</v>
      </c>
      <c r="M769" s="4">
        <v>102.346388</v>
      </c>
      <c r="N769" s="13">
        <v>5.28</v>
      </c>
      <c r="P769"/>
      <c r="Q769" s="12"/>
      <c r="R769" s="12"/>
    </row>
    <row r="770" spans="1:18" x14ac:dyDescent="0.2">
      <c r="A770">
        <v>7</v>
      </c>
      <c r="B770" t="s">
        <v>5</v>
      </c>
      <c r="C770">
        <v>2017</v>
      </c>
      <c r="D770">
        <v>1</v>
      </c>
      <c r="E770" s="4">
        <v>0</v>
      </c>
      <c r="F770" s="9">
        <v>0</v>
      </c>
      <c r="G770" s="6">
        <v>1759</v>
      </c>
      <c r="H770" s="9">
        <f t="shared" ref="H770:H833" si="12">F770+E770</f>
        <v>0</v>
      </c>
      <c r="I770" s="6">
        <v>13262</v>
      </c>
      <c r="J770" s="6">
        <f>VLOOKUP(Table1[[#This Row],[Province]],[1]Sheet1!$A$3:$F$37,3,FALSE)</f>
        <v>1844800</v>
      </c>
      <c r="K770">
        <v>0</v>
      </c>
      <c r="L770" s="4">
        <v>3.5778470000000002</v>
      </c>
      <c r="M770" s="4">
        <v>102.346388</v>
      </c>
      <c r="N770" s="13">
        <v>4.9800000000000004</v>
      </c>
      <c r="P770"/>
      <c r="Q770" s="12"/>
      <c r="R770" s="12"/>
    </row>
    <row r="771" spans="1:18" x14ac:dyDescent="0.2">
      <c r="A771">
        <v>7</v>
      </c>
      <c r="B771" t="s">
        <v>5</v>
      </c>
      <c r="C771">
        <v>2017</v>
      </c>
      <c r="D771">
        <v>2</v>
      </c>
      <c r="E771" s="4">
        <v>0</v>
      </c>
      <c r="F771" s="9">
        <v>0</v>
      </c>
      <c r="G771" s="6">
        <v>1010</v>
      </c>
      <c r="H771" s="9">
        <f t="shared" si="12"/>
        <v>0</v>
      </c>
      <c r="I771" s="6">
        <v>13263</v>
      </c>
      <c r="J771" s="6">
        <f>VLOOKUP(Table1[[#This Row],[Province]],[1]Sheet1!$A$3:$F$37,3,FALSE)</f>
        <v>1844800</v>
      </c>
      <c r="K771">
        <v>0</v>
      </c>
      <c r="L771" s="4">
        <v>3.5778470000000002</v>
      </c>
      <c r="M771" s="4">
        <v>102.346388</v>
      </c>
      <c r="N771" s="13">
        <v>4.9800000000000004</v>
      </c>
      <c r="P771"/>
      <c r="Q771" s="12"/>
      <c r="R771" s="12"/>
    </row>
    <row r="772" spans="1:18" x14ac:dyDescent="0.2">
      <c r="A772">
        <v>7</v>
      </c>
      <c r="B772" t="s">
        <v>5</v>
      </c>
      <c r="C772">
        <v>2017</v>
      </c>
      <c r="D772">
        <v>3</v>
      </c>
      <c r="E772" s="4">
        <v>0</v>
      </c>
      <c r="F772" s="9">
        <v>0</v>
      </c>
      <c r="G772" s="6">
        <v>789</v>
      </c>
      <c r="H772" s="9">
        <f t="shared" si="12"/>
        <v>0</v>
      </c>
      <c r="I772" s="6">
        <v>13000</v>
      </c>
      <c r="J772" s="6">
        <f>VLOOKUP(Table1[[#This Row],[Province]],[1]Sheet1!$A$3:$F$37,3,FALSE)</f>
        <v>1844800</v>
      </c>
      <c r="K772">
        <v>0</v>
      </c>
      <c r="L772" s="4">
        <v>3.5778470000000002</v>
      </c>
      <c r="M772" s="4">
        <v>102.346388</v>
      </c>
      <c r="N772" s="13">
        <v>4.9800000000000004</v>
      </c>
      <c r="P772"/>
      <c r="Q772" s="12"/>
      <c r="R772" s="12"/>
    </row>
    <row r="773" spans="1:18" x14ac:dyDescent="0.2">
      <c r="A773">
        <v>7</v>
      </c>
      <c r="B773" t="s">
        <v>5</v>
      </c>
      <c r="C773">
        <v>2017</v>
      </c>
      <c r="D773">
        <v>4</v>
      </c>
      <c r="E773" s="4">
        <v>0</v>
      </c>
      <c r="F773" s="9">
        <v>0</v>
      </c>
      <c r="G773" s="6">
        <v>564</v>
      </c>
      <c r="H773" s="9">
        <f t="shared" si="12"/>
        <v>0</v>
      </c>
      <c r="I773" s="6">
        <v>12765</v>
      </c>
      <c r="J773" s="6">
        <f>VLOOKUP(Table1[[#This Row],[Province]],[1]Sheet1!$A$3:$F$37,3,FALSE)</f>
        <v>1844800</v>
      </c>
      <c r="K773">
        <v>0</v>
      </c>
      <c r="L773" s="4">
        <v>3.5778470000000002</v>
      </c>
      <c r="M773" s="4">
        <v>102.346388</v>
      </c>
      <c r="N773" s="13">
        <v>4.9800000000000004</v>
      </c>
      <c r="P773"/>
      <c r="Q773" s="12"/>
      <c r="R773" s="12"/>
    </row>
    <row r="774" spans="1:18" x14ac:dyDescent="0.2">
      <c r="A774">
        <v>7</v>
      </c>
      <c r="B774" t="s">
        <v>5</v>
      </c>
      <c r="C774">
        <v>2017</v>
      </c>
      <c r="D774">
        <v>5</v>
      </c>
      <c r="E774" s="4">
        <v>0</v>
      </c>
      <c r="F774" s="9">
        <v>0</v>
      </c>
      <c r="G774" s="6">
        <v>543</v>
      </c>
      <c r="H774" s="9">
        <f t="shared" si="12"/>
        <v>0</v>
      </c>
      <c r="I774" s="6">
        <v>12500</v>
      </c>
      <c r="J774" s="6">
        <f>VLOOKUP(Table1[[#This Row],[Province]],[1]Sheet1!$A$3:$F$37,3,FALSE)</f>
        <v>1844800</v>
      </c>
      <c r="K774">
        <v>1</v>
      </c>
      <c r="L774" s="4">
        <v>3.5778470000000002</v>
      </c>
      <c r="M774" s="4">
        <v>102.346388</v>
      </c>
      <c r="N774" s="13">
        <v>4.9800000000000004</v>
      </c>
      <c r="P774"/>
      <c r="Q774" s="12"/>
      <c r="R774" s="12"/>
    </row>
    <row r="775" spans="1:18" x14ac:dyDescent="0.2">
      <c r="A775">
        <v>7</v>
      </c>
      <c r="B775" t="s">
        <v>5</v>
      </c>
      <c r="C775">
        <v>2017</v>
      </c>
      <c r="D775">
        <v>6</v>
      </c>
      <c r="E775" s="4">
        <v>0</v>
      </c>
      <c r="F775" s="9">
        <v>0</v>
      </c>
      <c r="G775" s="6">
        <v>1005</v>
      </c>
      <c r="H775" s="9">
        <f t="shared" si="12"/>
        <v>0</v>
      </c>
      <c r="I775" s="6">
        <v>12500</v>
      </c>
      <c r="J775" s="6">
        <f>VLOOKUP(Table1[[#This Row],[Province]],[1]Sheet1!$A$3:$F$37,3,FALSE)</f>
        <v>1844800</v>
      </c>
      <c r="K775">
        <v>0</v>
      </c>
      <c r="L775" s="4">
        <v>3.5778470000000002</v>
      </c>
      <c r="M775" s="4">
        <v>102.346388</v>
      </c>
      <c r="N775" s="13">
        <v>4.9800000000000004</v>
      </c>
      <c r="P775"/>
      <c r="Q775" s="12"/>
      <c r="R775" s="12"/>
    </row>
    <row r="776" spans="1:18" x14ac:dyDescent="0.2">
      <c r="A776">
        <v>7</v>
      </c>
      <c r="B776" t="s">
        <v>5</v>
      </c>
      <c r="C776">
        <v>2017</v>
      </c>
      <c r="D776">
        <v>7</v>
      </c>
      <c r="E776" s="4">
        <v>0</v>
      </c>
      <c r="F776" s="9">
        <v>0</v>
      </c>
      <c r="G776" s="6">
        <v>1119</v>
      </c>
      <c r="H776" s="9">
        <f t="shared" si="12"/>
        <v>0</v>
      </c>
      <c r="I776" s="6">
        <v>12500</v>
      </c>
      <c r="J776" s="6">
        <f>VLOOKUP(Table1[[#This Row],[Province]],[1]Sheet1!$A$3:$F$37,3,FALSE)</f>
        <v>1844800</v>
      </c>
      <c r="K776">
        <v>0</v>
      </c>
      <c r="L776" s="4">
        <v>3.5778470000000002</v>
      </c>
      <c r="M776" s="4">
        <v>102.346388</v>
      </c>
      <c r="N776" s="13">
        <v>4.9800000000000004</v>
      </c>
      <c r="P776"/>
      <c r="Q776" s="12"/>
      <c r="R776" s="12"/>
    </row>
    <row r="777" spans="1:18" x14ac:dyDescent="0.2">
      <c r="A777">
        <v>7</v>
      </c>
      <c r="B777" t="s">
        <v>5</v>
      </c>
      <c r="C777">
        <v>2017</v>
      </c>
      <c r="D777">
        <v>8</v>
      </c>
      <c r="E777" s="4">
        <v>0</v>
      </c>
      <c r="F777" s="9">
        <v>0</v>
      </c>
      <c r="G777" s="6">
        <v>2144</v>
      </c>
      <c r="H777" s="9">
        <f t="shared" si="12"/>
        <v>0</v>
      </c>
      <c r="I777" s="6">
        <v>12500</v>
      </c>
      <c r="J777" s="6">
        <f>VLOOKUP(Table1[[#This Row],[Province]],[1]Sheet1!$A$3:$F$37,3,FALSE)</f>
        <v>1844800</v>
      </c>
      <c r="K777">
        <v>0</v>
      </c>
      <c r="L777" s="4">
        <v>3.5778470000000002</v>
      </c>
      <c r="M777" s="4">
        <v>102.346388</v>
      </c>
      <c r="N777" s="13">
        <v>4.9800000000000004</v>
      </c>
      <c r="P777"/>
      <c r="Q777" s="12"/>
      <c r="R777" s="12"/>
    </row>
    <row r="778" spans="1:18" x14ac:dyDescent="0.2">
      <c r="A778">
        <v>7</v>
      </c>
      <c r="B778" t="s">
        <v>5</v>
      </c>
      <c r="C778">
        <v>2017</v>
      </c>
      <c r="D778">
        <v>9</v>
      </c>
      <c r="E778" s="4">
        <v>0</v>
      </c>
      <c r="F778" s="9">
        <v>0</v>
      </c>
      <c r="G778" s="6">
        <v>2078</v>
      </c>
      <c r="H778" s="9">
        <f t="shared" si="12"/>
        <v>0</v>
      </c>
      <c r="I778" s="6">
        <v>12222</v>
      </c>
      <c r="J778" s="6">
        <f>VLOOKUP(Table1[[#This Row],[Province]],[1]Sheet1!$A$3:$F$37,3,FALSE)</f>
        <v>1844800</v>
      </c>
      <c r="K778">
        <v>0</v>
      </c>
      <c r="L778" s="4">
        <v>3.5778470000000002</v>
      </c>
      <c r="M778" s="4">
        <v>102.346388</v>
      </c>
      <c r="N778" s="13">
        <v>4.9800000000000004</v>
      </c>
      <c r="P778"/>
      <c r="Q778" s="12"/>
      <c r="R778" s="12"/>
    </row>
    <row r="779" spans="1:18" x14ac:dyDescent="0.2">
      <c r="A779">
        <v>7</v>
      </c>
      <c r="B779" t="s">
        <v>5</v>
      </c>
      <c r="C779">
        <v>2017</v>
      </c>
      <c r="D779">
        <v>10</v>
      </c>
      <c r="E779" s="4">
        <v>0</v>
      </c>
      <c r="F779" s="9">
        <v>0</v>
      </c>
      <c r="G779" s="6">
        <v>2697</v>
      </c>
      <c r="H779" s="9">
        <f t="shared" si="12"/>
        <v>0</v>
      </c>
      <c r="I779" s="6">
        <v>11784</v>
      </c>
      <c r="J779" s="6">
        <f>VLOOKUP(Table1[[#This Row],[Province]],[1]Sheet1!$A$3:$F$37,3,FALSE)</f>
        <v>1844800</v>
      </c>
      <c r="K779">
        <v>0</v>
      </c>
      <c r="L779" s="4">
        <v>3.5778470000000002</v>
      </c>
      <c r="M779" s="4">
        <v>102.346388</v>
      </c>
      <c r="N779" s="13">
        <v>4.9800000000000004</v>
      </c>
      <c r="P779"/>
      <c r="Q779" s="12"/>
      <c r="R779" s="12"/>
    </row>
    <row r="780" spans="1:18" x14ac:dyDescent="0.2">
      <c r="A780">
        <v>7</v>
      </c>
      <c r="B780" t="s">
        <v>5</v>
      </c>
      <c r="C780">
        <v>2017</v>
      </c>
      <c r="D780">
        <v>11</v>
      </c>
      <c r="E780" s="4">
        <v>0</v>
      </c>
      <c r="F780" s="9">
        <v>0</v>
      </c>
      <c r="G780" s="6">
        <v>705</v>
      </c>
      <c r="H780" s="9">
        <f t="shared" si="12"/>
        <v>0</v>
      </c>
      <c r="I780" s="6">
        <v>11784</v>
      </c>
      <c r="J780" s="6">
        <f>VLOOKUP(Table1[[#This Row],[Province]],[1]Sheet1!$A$3:$F$37,3,FALSE)</f>
        <v>1844800</v>
      </c>
      <c r="K780">
        <v>0</v>
      </c>
      <c r="L780" s="4">
        <v>3.5778470000000002</v>
      </c>
      <c r="M780" s="4">
        <v>102.346388</v>
      </c>
      <c r="N780" s="13">
        <v>4.9800000000000004</v>
      </c>
      <c r="P780"/>
      <c r="Q780" s="12"/>
      <c r="R780" s="12"/>
    </row>
    <row r="781" spans="1:18" x14ac:dyDescent="0.2">
      <c r="A781">
        <v>7</v>
      </c>
      <c r="B781" t="s">
        <v>5</v>
      </c>
      <c r="C781">
        <v>2017</v>
      </c>
      <c r="D781">
        <v>12</v>
      </c>
      <c r="E781" s="4">
        <v>0</v>
      </c>
      <c r="F781" s="9">
        <v>0</v>
      </c>
      <c r="G781" s="6">
        <v>1313</v>
      </c>
      <c r="H781" s="9">
        <f t="shared" si="12"/>
        <v>0</v>
      </c>
      <c r="I781" s="6">
        <v>11861</v>
      </c>
      <c r="J781" s="6">
        <f>VLOOKUP(Table1[[#This Row],[Province]],[1]Sheet1!$A$3:$F$37,3,FALSE)</f>
        <v>1844800</v>
      </c>
      <c r="K781">
        <v>1</v>
      </c>
      <c r="L781" s="4">
        <v>3.5778470000000002</v>
      </c>
      <c r="M781" s="4">
        <v>102.346388</v>
      </c>
      <c r="N781" s="13">
        <v>4.9800000000000004</v>
      </c>
      <c r="P781"/>
      <c r="Q781" s="12"/>
      <c r="R781" s="12"/>
    </row>
    <row r="782" spans="1:18" x14ac:dyDescent="0.2">
      <c r="A782">
        <v>7</v>
      </c>
      <c r="B782" t="s">
        <v>5</v>
      </c>
      <c r="C782">
        <v>2018</v>
      </c>
      <c r="D782">
        <v>1</v>
      </c>
      <c r="E782" s="4">
        <v>0</v>
      </c>
      <c r="F782" s="9">
        <v>0</v>
      </c>
      <c r="G782" s="6">
        <v>1453</v>
      </c>
      <c r="H782" s="9">
        <f t="shared" si="12"/>
        <v>0</v>
      </c>
      <c r="I782" s="6">
        <v>13000</v>
      </c>
      <c r="J782" s="6">
        <f>VLOOKUP(Table1[[#This Row],[Province]],[1]Sheet1!$A$3:$F$37,3,FALSE)</f>
        <v>1844800</v>
      </c>
      <c r="K782">
        <v>0</v>
      </c>
      <c r="L782" s="4">
        <v>3.5778470000000002</v>
      </c>
      <c r="M782" s="4">
        <v>102.346388</v>
      </c>
      <c r="N782" s="13">
        <v>4.97</v>
      </c>
      <c r="P782"/>
      <c r="Q782" s="12"/>
      <c r="R782" s="12"/>
    </row>
    <row r="783" spans="1:18" x14ac:dyDescent="0.2">
      <c r="A783">
        <v>7</v>
      </c>
      <c r="B783" t="s">
        <v>5</v>
      </c>
      <c r="C783">
        <v>2018</v>
      </c>
      <c r="D783">
        <v>2</v>
      </c>
      <c r="E783" s="4">
        <v>0</v>
      </c>
      <c r="F783" s="9">
        <v>0</v>
      </c>
      <c r="G783" s="6">
        <v>2011</v>
      </c>
      <c r="H783" s="9">
        <f t="shared" si="12"/>
        <v>0</v>
      </c>
      <c r="I783" s="6">
        <v>13000</v>
      </c>
      <c r="J783" s="6">
        <f>VLOOKUP(Table1[[#This Row],[Province]],[1]Sheet1!$A$3:$F$37,3,FALSE)</f>
        <v>1844800</v>
      </c>
      <c r="K783">
        <v>0</v>
      </c>
      <c r="L783" s="4">
        <v>3.5778470000000002</v>
      </c>
      <c r="M783" s="4">
        <v>102.346388</v>
      </c>
      <c r="N783" s="13">
        <v>4.97</v>
      </c>
      <c r="P783"/>
      <c r="Q783" s="12"/>
      <c r="R783" s="12"/>
    </row>
    <row r="784" spans="1:18" x14ac:dyDescent="0.2">
      <c r="A784">
        <v>7</v>
      </c>
      <c r="B784" t="s">
        <v>5</v>
      </c>
      <c r="C784">
        <v>2018</v>
      </c>
      <c r="D784">
        <v>3</v>
      </c>
      <c r="E784" s="4">
        <v>0</v>
      </c>
      <c r="F784" s="9">
        <v>0</v>
      </c>
      <c r="G784" s="6">
        <v>2611</v>
      </c>
      <c r="H784" s="9">
        <f t="shared" si="12"/>
        <v>0</v>
      </c>
      <c r="I784" s="6">
        <v>12095</v>
      </c>
      <c r="J784" s="6">
        <f>VLOOKUP(Table1[[#This Row],[Province]],[1]Sheet1!$A$3:$F$37,3,FALSE)</f>
        <v>1844800</v>
      </c>
      <c r="K784">
        <v>0</v>
      </c>
      <c r="L784" s="4">
        <v>3.5778470000000002</v>
      </c>
      <c r="M784" s="4">
        <v>102.346388</v>
      </c>
      <c r="N784" s="13">
        <v>4.97</v>
      </c>
      <c r="P784"/>
      <c r="Q784" s="12"/>
      <c r="R784" s="12"/>
    </row>
    <row r="785" spans="1:18" x14ac:dyDescent="0.2">
      <c r="A785">
        <v>7</v>
      </c>
      <c r="B785" t="s">
        <v>5</v>
      </c>
      <c r="C785">
        <v>2018</v>
      </c>
      <c r="D785">
        <v>4</v>
      </c>
      <c r="E785" s="4">
        <v>0</v>
      </c>
      <c r="F785" s="9">
        <v>0</v>
      </c>
      <c r="G785" s="6">
        <v>2144</v>
      </c>
      <c r="H785" s="9">
        <f t="shared" si="12"/>
        <v>0</v>
      </c>
      <c r="I785" s="6">
        <v>12000</v>
      </c>
      <c r="J785" s="6">
        <f>VLOOKUP(Table1[[#This Row],[Province]],[1]Sheet1!$A$3:$F$37,3,FALSE)</f>
        <v>1844800</v>
      </c>
      <c r="K785">
        <v>0</v>
      </c>
      <c r="L785" s="4">
        <v>3.5778470000000002</v>
      </c>
      <c r="M785" s="4">
        <v>102.346388</v>
      </c>
      <c r="N785" s="13">
        <v>4.97</v>
      </c>
      <c r="P785"/>
      <c r="Q785" s="12"/>
      <c r="R785" s="12"/>
    </row>
    <row r="786" spans="1:18" x14ac:dyDescent="0.2">
      <c r="A786">
        <v>7</v>
      </c>
      <c r="B786" t="s">
        <v>5</v>
      </c>
      <c r="C786">
        <v>2018</v>
      </c>
      <c r="D786">
        <v>5</v>
      </c>
      <c r="E786" s="4">
        <v>0</v>
      </c>
      <c r="F786" s="9">
        <v>0</v>
      </c>
      <c r="G786" s="6">
        <v>2365</v>
      </c>
      <c r="H786" s="9">
        <f t="shared" si="12"/>
        <v>0</v>
      </c>
      <c r="I786" s="6">
        <v>11864</v>
      </c>
      <c r="J786" s="6">
        <f>VLOOKUP(Table1[[#This Row],[Province]],[1]Sheet1!$A$3:$F$37,3,FALSE)</f>
        <v>1844800</v>
      </c>
      <c r="K786">
        <v>1</v>
      </c>
      <c r="L786" s="4">
        <v>3.5778470000000002</v>
      </c>
      <c r="M786" s="4">
        <v>102.346388</v>
      </c>
      <c r="N786" s="13">
        <v>4.97</v>
      </c>
      <c r="P786"/>
      <c r="Q786" s="12"/>
      <c r="R786" s="12"/>
    </row>
    <row r="787" spans="1:18" x14ac:dyDescent="0.2">
      <c r="A787">
        <v>7</v>
      </c>
      <c r="B787" t="s">
        <v>5</v>
      </c>
      <c r="C787">
        <v>2018</v>
      </c>
      <c r="D787">
        <v>6</v>
      </c>
      <c r="E787" s="4">
        <v>0</v>
      </c>
      <c r="F787" s="9">
        <v>0</v>
      </c>
      <c r="G787" s="6">
        <v>2204</v>
      </c>
      <c r="H787" s="9">
        <f t="shared" si="12"/>
        <v>0</v>
      </c>
      <c r="I787" s="6">
        <v>12000</v>
      </c>
      <c r="J787" s="6">
        <f>VLOOKUP(Table1[[#This Row],[Province]],[1]Sheet1!$A$3:$F$37,3,FALSE)</f>
        <v>1844800</v>
      </c>
      <c r="K787">
        <v>0</v>
      </c>
      <c r="L787" s="4">
        <v>3.5778470000000002</v>
      </c>
      <c r="M787" s="4">
        <v>102.346388</v>
      </c>
      <c r="N787" s="13">
        <v>4.97</v>
      </c>
      <c r="P787"/>
      <c r="Q787" s="12"/>
      <c r="R787" s="12"/>
    </row>
    <row r="788" spans="1:18" x14ac:dyDescent="0.2">
      <c r="A788">
        <v>7</v>
      </c>
      <c r="B788" t="s">
        <v>5</v>
      </c>
      <c r="C788">
        <v>2018</v>
      </c>
      <c r="D788">
        <v>7</v>
      </c>
      <c r="E788" s="4">
        <v>0</v>
      </c>
      <c r="F788" s="9">
        <v>0</v>
      </c>
      <c r="G788" s="6">
        <v>2438</v>
      </c>
      <c r="H788" s="9">
        <f t="shared" si="12"/>
        <v>0</v>
      </c>
      <c r="I788" s="6">
        <v>12000</v>
      </c>
      <c r="J788" s="6">
        <f>VLOOKUP(Table1[[#This Row],[Province]],[1]Sheet1!$A$3:$F$37,3,FALSE)</f>
        <v>1844800</v>
      </c>
      <c r="K788">
        <v>0</v>
      </c>
      <c r="L788" s="4">
        <v>3.5778470000000002</v>
      </c>
      <c r="M788" s="4">
        <v>102.346388</v>
      </c>
      <c r="N788" s="13">
        <v>4.97</v>
      </c>
      <c r="P788"/>
      <c r="Q788" s="12"/>
      <c r="R788" s="12"/>
    </row>
    <row r="789" spans="1:18" x14ac:dyDescent="0.2">
      <c r="A789">
        <v>7</v>
      </c>
      <c r="B789" t="s">
        <v>5</v>
      </c>
      <c r="C789">
        <v>2018</v>
      </c>
      <c r="D789">
        <v>8</v>
      </c>
      <c r="E789" s="4">
        <v>0</v>
      </c>
      <c r="F789" s="9">
        <v>0</v>
      </c>
      <c r="G789" s="6">
        <v>1589</v>
      </c>
      <c r="H789" s="9">
        <f t="shared" si="12"/>
        <v>0</v>
      </c>
      <c r="I789" s="6">
        <v>12000</v>
      </c>
      <c r="J789" s="6">
        <f>VLOOKUP(Table1[[#This Row],[Province]],[1]Sheet1!$A$3:$F$37,3,FALSE)</f>
        <v>1844800</v>
      </c>
      <c r="K789">
        <v>0</v>
      </c>
      <c r="L789" s="4">
        <v>3.5778470000000002</v>
      </c>
      <c r="M789" s="4">
        <v>102.346388</v>
      </c>
      <c r="N789" s="13">
        <v>4.97</v>
      </c>
      <c r="P789"/>
      <c r="Q789" s="12"/>
      <c r="R789" s="12"/>
    </row>
    <row r="790" spans="1:18" x14ac:dyDescent="0.2">
      <c r="A790">
        <v>7</v>
      </c>
      <c r="B790" t="s">
        <v>5</v>
      </c>
      <c r="C790">
        <v>2018</v>
      </c>
      <c r="D790">
        <v>9</v>
      </c>
      <c r="E790" s="4">
        <v>0</v>
      </c>
      <c r="F790" s="9">
        <v>0</v>
      </c>
      <c r="G790" s="6">
        <v>2209</v>
      </c>
      <c r="H790" s="9">
        <f t="shared" si="12"/>
        <v>0</v>
      </c>
      <c r="I790" s="6">
        <v>11964</v>
      </c>
      <c r="J790" s="6">
        <f>VLOOKUP(Table1[[#This Row],[Province]],[1]Sheet1!$A$3:$F$37,3,FALSE)</f>
        <v>1844800</v>
      </c>
      <c r="K790">
        <v>0</v>
      </c>
      <c r="L790" s="4">
        <v>3.5778470000000002</v>
      </c>
      <c r="M790" s="4">
        <v>102.346388</v>
      </c>
      <c r="N790" s="13">
        <v>4.97</v>
      </c>
      <c r="P790"/>
      <c r="Q790" s="12"/>
      <c r="R790" s="12"/>
    </row>
    <row r="791" spans="1:18" x14ac:dyDescent="0.2">
      <c r="A791">
        <v>7</v>
      </c>
      <c r="B791" t="s">
        <v>5</v>
      </c>
      <c r="C791">
        <v>2018</v>
      </c>
      <c r="D791">
        <v>10</v>
      </c>
      <c r="E791" s="4">
        <v>0</v>
      </c>
      <c r="F791" s="9">
        <v>0</v>
      </c>
      <c r="G791" s="6">
        <v>1775</v>
      </c>
      <c r="H791" s="9">
        <f t="shared" si="12"/>
        <v>0</v>
      </c>
      <c r="I791" s="6">
        <v>12000</v>
      </c>
      <c r="J791" s="6">
        <f>VLOOKUP(Table1[[#This Row],[Province]],[1]Sheet1!$A$3:$F$37,3,FALSE)</f>
        <v>1844800</v>
      </c>
      <c r="K791">
        <v>0</v>
      </c>
      <c r="L791" s="4">
        <v>3.5778470000000002</v>
      </c>
      <c r="M791" s="4">
        <v>102.346388</v>
      </c>
      <c r="N791" s="13">
        <v>4.97</v>
      </c>
      <c r="P791"/>
      <c r="Q791" s="12"/>
      <c r="R791" s="12"/>
    </row>
    <row r="792" spans="1:18" x14ac:dyDescent="0.2">
      <c r="A792">
        <v>7</v>
      </c>
      <c r="B792" t="s">
        <v>5</v>
      </c>
      <c r="C792">
        <v>2018</v>
      </c>
      <c r="D792">
        <v>11</v>
      </c>
      <c r="E792" s="4">
        <v>0</v>
      </c>
      <c r="F792" s="9">
        <v>0</v>
      </c>
      <c r="G792" s="6">
        <v>2083</v>
      </c>
      <c r="H792" s="9">
        <f t="shared" si="12"/>
        <v>0</v>
      </c>
      <c r="I792" s="6">
        <v>12000</v>
      </c>
      <c r="J792" s="6">
        <f>VLOOKUP(Table1[[#This Row],[Province]],[1]Sheet1!$A$3:$F$37,3,FALSE)</f>
        <v>1844800</v>
      </c>
      <c r="K792">
        <v>0</v>
      </c>
      <c r="L792" s="4">
        <v>3.5778470000000002</v>
      </c>
      <c r="M792" s="4">
        <v>102.346388</v>
      </c>
      <c r="N792" s="13">
        <v>4.97</v>
      </c>
      <c r="P792"/>
      <c r="Q792" s="12"/>
      <c r="R792" s="12"/>
    </row>
    <row r="793" spans="1:18" x14ac:dyDescent="0.2">
      <c r="A793">
        <v>7</v>
      </c>
      <c r="B793" t="s">
        <v>5</v>
      </c>
      <c r="C793">
        <v>2018</v>
      </c>
      <c r="D793">
        <v>12</v>
      </c>
      <c r="E793" s="4">
        <v>0</v>
      </c>
      <c r="F793" s="9">
        <v>0</v>
      </c>
      <c r="G793" s="6">
        <v>1696</v>
      </c>
      <c r="H793" s="9">
        <f t="shared" si="12"/>
        <v>0</v>
      </c>
      <c r="I793" s="6">
        <v>12000</v>
      </c>
      <c r="J793" s="6">
        <f>VLOOKUP(Table1[[#This Row],[Province]],[1]Sheet1!$A$3:$F$37,3,FALSE)</f>
        <v>1844800</v>
      </c>
      <c r="K793">
        <v>1</v>
      </c>
      <c r="L793" s="4">
        <v>3.5778470000000002</v>
      </c>
      <c r="M793" s="4">
        <v>102.346388</v>
      </c>
      <c r="N793" s="13">
        <v>4.97</v>
      </c>
      <c r="P793"/>
      <c r="Q793" s="12"/>
      <c r="R793" s="12"/>
    </row>
    <row r="794" spans="1:18" x14ac:dyDescent="0.2">
      <c r="A794">
        <v>7</v>
      </c>
      <c r="B794" t="s">
        <v>5</v>
      </c>
      <c r="C794">
        <v>2019</v>
      </c>
      <c r="D794">
        <v>1</v>
      </c>
      <c r="E794" s="4">
        <v>0</v>
      </c>
      <c r="F794" s="9">
        <v>0</v>
      </c>
      <c r="G794" s="6">
        <v>1730</v>
      </c>
      <c r="H794" s="9">
        <f t="shared" si="12"/>
        <v>0</v>
      </c>
      <c r="I794" s="6">
        <v>12000</v>
      </c>
      <c r="J794" s="6">
        <f>VLOOKUP(Table1[[#This Row],[Province]],[1]Sheet1!$A$3:$F$37,4,FALSE)</f>
        <v>1874900</v>
      </c>
      <c r="K794">
        <v>0</v>
      </c>
      <c r="L794" s="4">
        <v>3.5778470000000002</v>
      </c>
      <c r="M794" s="4">
        <v>102.346388</v>
      </c>
      <c r="N794" s="13">
        <v>4.9400000000000004</v>
      </c>
      <c r="P794"/>
      <c r="Q794" s="12"/>
      <c r="R794" s="12"/>
    </row>
    <row r="795" spans="1:18" x14ac:dyDescent="0.2">
      <c r="A795">
        <v>7</v>
      </c>
      <c r="B795" t="s">
        <v>5</v>
      </c>
      <c r="C795">
        <v>2019</v>
      </c>
      <c r="D795">
        <v>2</v>
      </c>
      <c r="E795" s="4">
        <v>0</v>
      </c>
      <c r="F795" s="9">
        <v>0</v>
      </c>
      <c r="G795" s="6">
        <v>2002</v>
      </c>
      <c r="H795" s="9">
        <f t="shared" si="12"/>
        <v>0</v>
      </c>
      <c r="I795" s="6">
        <v>11350</v>
      </c>
      <c r="J795" s="6">
        <f>VLOOKUP(Table1[[#This Row],[Province]],[1]Sheet1!$A$3:$F$37,4,FALSE)</f>
        <v>1874900</v>
      </c>
      <c r="K795">
        <v>0</v>
      </c>
      <c r="L795" s="4">
        <v>3.5778470000000002</v>
      </c>
      <c r="M795" s="4">
        <v>102.346388</v>
      </c>
      <c r="N795" s="13">
        <v>4.9400000000000004</v>
      </c>
      <c r="P795"/>
      <c r="Q795" s="12"/>
      <c r="R795" s="12"/>
    </row>
    <row r="796" spans="1:18" x14ac:dyDescent="0.2">
      <c r="A796">
        <v>7</v>
      </c>
      <c r="B796" t="s">
        <v>5</v>
      </c>
      <c r="C796">
        <v>2019</v>
      </c>
      <c r="D796">
        <v>3</v>
      </c>
      <c r="E796" s="4">
        <v>0</v>
      </c>
      <c r="F796" s="9">
        <v>0</v>
      </c>
      <c r="G796" s="6">
        <v>1900</v>
      </c>
      <c r="H796" s="9">
        <f t="shared" si="12"/>
        <v>0</v>
      </c>
      <c r="I796" s="6">
        <v>11614</v>
      </c>
      <c r="J796" s="6">
        <f>VLOOKUP(Table1[[#This Row],[Province]],[1]Sheet1!$A$3:$F$37,4,FALSE)</f>
        <v>1874900</v>
      </c>
      <c r="K796">
        <v>0</v>
      </c>
      <c r="L796" s="4">
        <v>3.5778470000000002</v>
      </c>
      <c r="M796" s="4">
        <v>102.346388</v>
      </c>
      <c r="N796" s="13">
        <v>4.9400000000000004</v>
      </c>
      <c r="P796"/>
      <c r="Q796" s="12"/>
      <c r="R796" s="12"/>
    </row>
    <row r="797" spans="1:18" x14ac:dyDescent="0.2">
      <c r="A797">
        <v>7</v>
      </c>
      <c r="B797" t="s">
        <v>5</v>
      </c>
      <c r="C797">
        <v>2019</v>
      </c>
      <c r="D797">
        <v>4</v>
      </c>
      <c r="E797" s="4">
        <v>0</v>
      </c>
      <c r="F797" s="9">
        <v>0</v>
      </c>
      <c r="G797" s="6">
        <v>3006</v>
      </c>
      <c r="H797" s="9">
        <f t="shared" si="12"/>
        <v>0</v>
      </c>
      <c r="I797" s="6">
        <v>11119</v>
      </c>
      <c r="J797" s="6">
        <f>VLOOKUP(Table1[[#This Row],[Province]],[1]Sheet1!$A$3:$F$37,4,FALSE)</f>
        <v>1874900</v>
      </c>
      <c r="K797">
        <v>0</v>
      </c>
      <c r="L797" s="4">
        <v>3.5778470000000002</v>
      </c>
      <c r="M797" s="4">
        <v>102.346388</v>
      </c>
      <c r="N797" s="13">
        <v>4.9400000000000004</v>
      </c>
      <c r="P797"/>
      <c r="Q797" s="12"/>
      <c r="R797" s="12"/>
    </row>
    <row r="798" spans="1:18" x14ac:dyDescent="0.2">
      <c r="A798">
        <v>7</v>
      </c>
      <c r="B798" t="s">
        <v>5</v>
      </c>
      <c r="C798">
        <v>2019</v>
      </c>
      <c r="D798">
        <v>5</v>
      </c>
      <c r="E798" s="4">
        <v>0</v>
      </c>
      <c r="F798" s="9">
        <v>0</v>
      </c>
      <c r="G798" s="6">
        <v>1216</v>
      </c>
      <c r="H798" s="9">
        <f t="shared" si="12"/>
        <v>0</v>
      </c>
      <c r="I798" s="6">
        <v>11174</v>
      </c>
      <c r="J798" s="6">
        <f>VLOOKUP(Table1[[#This Row],[Province]],[1]Sheet1!$A$3:$F$37,4,FALSE)</f>
        <v>1874900</v>
      </c>
      <c r="K798">
        <v>1</v>
      </c>
      <c r="L798" s="4">
        <v>3.5778470000000002</v>
      </c>
      <c r="M798" s="4">
        <v>102.346388</v>
      </c>
      <c r="N798" s="13">
        <v>4.9400000000000004</v>
      </c>
      <c r="P798"/>
      <c r="Q798" s="12"/>
      <c r="R798" s="12"/>
    </row>
    <row r="799" spans="1:18" x14ac:dyDescent="0.2">
      <c r="A799">
        <v>7</v>
      </c>
      <c r="B799" t="s">
        <v>5</v>
      </c>
      <c r="C799">
        <v>2019</v>
      </c>
      <c r="D799">
        <v>6</v>
      </c>
      <c r="E799" s="4">
        <v>0</v>
      </c>
      <c r="F799" s="9">
        <v>0</v>
      </c>
      <c r="G799" s="6">
        <v>1820</v>
      </c>
      <c r="H799" s="9">
        <f t="shared" si="12"/>
        <v>0</v>
      </c>
      <c r="I799" s="6">
        <v>12168</v>
      </c>
      <c r="J799" s="6">
        <f>VLOOKUP(Table1[[#This Row],[Province]],[1]Sheet1!$A$3:$F$37,4,FALSE)</f>
        <v>1874900</v>
      </c>
      <c r="K799">
        <v>0</v>
      </c>
      <c r="L799" s="4">
        <v>3.5778470000000002</v>
      </c>
      <c r="M799" s="4">
        <v>102.346388</v>
      </c>
      <c r="N799" s="13">
        <v>4.9400000000000004</v>
      </c>
      <c r="P799"/>
      <c r="Q799" s="12"/>
      <c r="R799" s="12"/>
    </row>
    <row r="800" spans="1:18" x14ac:dyDescent="0.2">
      <c r="A800">
        <v>7</v>
      </c>
      <c r="B800" t="s">
        <v>5</v>
      </c>
      <c r="C800">
        <v>2019</v>
      </c>
      <c r="D800">
        <v>7</v>
      </c>
      <c r="E800" s="4">
        <v>0</v>
      </c>
      <c r="F800" s="9">
        <v>0</v>
      </c>
      <c r="G800" s="6">
        <v>2120</v>
      </c>
      <c r="H800" s="9">
        <f t="shared" si="12"/>
        <v>0</v>
      </c>
      <c r="I800" s="6">
        <v>12203</v>
      </c>
      <c r="J800" s="6">
        <f>VLOOKUP(Table1[[#This Row],[Province]],[1]Sheet1!$A$3:$F$37,4,FALSE)</f>
        <v>1874900</v>
      </c>
      <c r="K800">
        <v>0</v>
      </c>
      <c r="L800" s="4">
        <v>3.5778470000000002</v>
      </c>
      <c r="M800" s="4">
        <v>102.346388</v>
      </c>
      <c r="N800" s="13">
        <v>4.9400000000000004</v>
      </c>
      <c r="P800"/>
      <c r="Q800" s="12"/>
      <c r="R800" s="12"/>
    </row>
    <row r="801" spans="1:18" x14ac:dyDescent="0.2">
      <c r="A801">
        <v>7</v>
      </c>
      <c r="B801" t="s">
        <v>5</v>
      </c>
      <c r="C801">
        <v>2019</v>
      </c>
      <c r="D801">
        <v>8</v>
      </c>
      <c r="E801" s="4">
        <v>0</v>
      </c>
      <c r="F801" s="9">
        <v>0</v>
      </c>
      <c r="G801" s="6">
        <v>1856</v>
      </c>
      <c r="H801" s="9">
        <f t="shared" si="12"/>
        <v>0</v>
      </c>
      <c r="I801" s="6">
        <v>12191</v>
      </c>
      <c r="J801" s="6">
        <f>VLOOKUP(Table1[[#This Row],[Province]],[1]Sheet1!$A$3:$F$37,4,FALSE)</f>
        <v>1874900</v>
      </c>
      <c r="K801">
        <v>0</v>
      </c>
      <c r="L801" s="4">
        <v>3.5778470000000002</v>
      </c>
      <c r="M801" s="4">
        <v>102.346388</v>
      </c>
      <c r="N801" s="13">
        <v>4.9400000000000004</v>
      </c>
      <c r="P801"/>
      <c r="Q801" s="12"/>
      <c r="R801" s="12"/>
    </row>
    <row r="802" spans="1:18" x14ac:dyDescent="0.2">
      <c r="A802">
        <v>7</v>
      </c>
      <c r="B802" t="s">
        <v>5</v>
      </c>
      <c r="C802">
        <v>2019</v>
      </c>
      <c r="D802">
        <v>9</v>
      </c>
      <c r="E802" s="4">
        <v>0</v>
      </c>
      <c r="F802" s="9">
        <v>0</v>
      </c>
      <c r="G802" s="6">
        <v>2411</v>
      </c>
      <c r="H802" s="9">
        <f t="shared" si="12"/>
        <v>0</v>
      </c>
      <c r="I802" s="6">
        <v>12143</v>
      </c>
      <c r="J802" s="6">
        <f>VLOOKUP(Table1[[#This Row],[Province]],[1]Sheet1!$A$3:$F$37,4,FALSE)</f>
        <v>1874900</v>
      </c>
      <c r="K802">
        <v>0</v>
      </c>
      <c r="L802" s="4">
        <v>3.5778470000000002</v>
      </c>
      <c r="M802" s="4">
        <v>102.346388</v>
      </c>
      <c r="N802" s="13">
        <v>4.9400000000000004</v>
      </c>
      <c r="P802"/>
      <c r="Q802" s="12"/>
      <c r="R802" s="12"/>
    </row>
    <row r="803" spans="1:18" x14ac:dyDescent="0.2">
      <c r="A803">
        <v>7</v>
      </c>
      <c r="B803" t="s">
        <v>5</v>
      </c>
      <c r="C803">
        <v>2019</v>
      </c>
      <c r="D803">
        <v>10</v>
      </c>
      <c r="E803" s="4">
        <v>0</v>
      </c>
      <c r="F803" s="9">
        <v>0</v>
      </c>
      <c r="G803" s="6">
        <v>2545</v>
      </c>
      <c r="H803" s="9">
        <f t="shared" si="12"/>
        <v>0</v>
      </c>
      <c r="I803" s="6">
        <v>12205</v>
      </c>
      <c r="J803" s="6">
        <f>VLOOKUP(Table1[[#This Row],[Province]],[1]Sheet1!$A$3:$F$37,4,FALSE)</f>
        <v>1874900</v>
      </c>
      <c r="K803">
        <v>0</v>
      </c>
      <c r="L803" s="4">
        <v>3.5778470000000002</v>
      </c>
      <c r="M803" s="4">
        <v>102.346388</v>
      </c>
      <c r="N803" s="13">
        <v>4.9400000000000004</v>
      </c>
      <c r="P803"/>
      <c r="Q803" s="12"/>
      <c r="R803" s="12"/>
    </row>
    <row r="804" spans="1:18" x14ac:dyDescent="0.2">
      <c r="A804">
        <v>7</v>
      </c>
      <c r="B804" t="s">
        <v>5</v>
      </c>
      <c r="C804">
        <v>2019</v>
      </c>
      <c r="D804">
        <v>11</v>
      </c>
      <c r="E804" s="4">
        <v>0</v>
      </c>
      <c r="F804" s="9">
        <v>0</v>
      </c>
      <c r="G804" s="6">
        <v>1232</v>
      </c>
      <c r="H804" s="9">
        <f t="shared" si="12"/>
        <v>0</v>
      </c>
      <c r="I804" s="6">
        <v>12067</v>
      </c>
      <c r="J804" s="6">
        <f>VLOOKUP(Table1[[#This Row],[Province]],[1]Sheet1!$A$3:$F$37,4,FALSE)</f>
        <v>1874900</v>
      </c>
      <c r="K804">
        <v>0</v>
      </c>
      <c r="L804" s="4">
        <v>3.5778470000000002</v>
      </c>
      <c r="M804" s="4">
        <v>102.346388</v>
      </c>
      <c r="N804" s="13">
        <v>4.9400000000000004</v>
      </c>
      <c r="P804"/>
      <c r="Q804" s="12"/>
      <c r="R804" s="12"/>
    </row>
    <row r="805" spans="1:18" x14ac:dyDescent="0.2">
      <c r="A805">
        <v>7</v>
      </c>
      <c r="B805" t="s">
        <v>5</v>
      </c>
      <c r="C805">
        <v>2019</v>
      </c>
      <c r="D805">
        <v>12</v>
      </c>
      <c r="E805" s="4">
        <v>0</v>
      </c>
      <c r="F805" s="9">
        <v>0</v>
      </c>
      <c r="G805" s="6">
        <v>1449</v>
      </c>
      <c r="H805" s="9">
        <f t="shared" si="12"/>
        <v>0</v>
      </c>
      <c r="I805" s="6">
        <v>12563</v>
      </c>
      <c r="J805" s="6">
        <f>VLOOKUP(Table1[[#This Row],[Province]],[1]Sheet1!$A$3:$F$37,4,FALSE)</f>
        <v>1874900</v>
      </c>
      <c r="K805">
        <v>1</v>
      </c>
      <c r="L805" s="4">
        <v>3.5778470000000002</v>
      </c>
      <c r="M805" s="4">
        <v>102.346388</v>
      </c>
      <c r="N805" s="13">
        <v>4.9400000000000004</v>
      </c>
      <c r="P805"/>
      <c r="Q805" s="12"/>
      <c r="R805" s="12"/>
    </row>
    <row r="806" spans="1:18" x14ac:dyDescent="0.2">
      <c r="A806">
        <v>7</v>
      </c>
      <c r="B806" t="s">
        <v>5</v>
      </c>
      <c r="C806">
        <v>2020</v>
      </c>
      <c r="D806">
        <v>1</v>
      </c>
      <c r="E806" s="4">
        <v>0</v>
      </c>
      <c r="F806" s="9">
        <v>0</v>
      </c>
      <c r="G806" s="6">
        <v>2026</v>
      </c>
      <c r="H806" s="9">
        <f t="shared" si="12"/>
        <v>0</v>
      </c>
      <c r="I806" s="6">
        <v>12841</v>
      </c>
      <c r="J806" s="6">
        <f>VLOOKUP(Table1[[#This Row],[Province]],[1]Sheet1!$A$3:$F$37,4,FALSE)</f>
        <v>1874900</v>
      </c>
      <c r="K806">
        <v>0</v>
      </c>
      <c r="L806" s="4">
        <v>3.5778470000000002</v>
      </c>
      <c r="M806" s="4">
        <v>102.346388</v>
      </c>
      <c r="N806" s="13">
        <v>-0.02</v>
      </c>
      <c r="P806"/>
      <c r="Q806" s="12"/>
      <c r="R806" s="12"/>
    </row>
    <row r="807" spans="1:18" x14ac:dyDescent="0.2">
      <c r="A807">
        <v>7</v>
      </c>
      <c r="B807" t="s">
        <v>5</v>
      </c>
      <c r="C807">
        <v>2020</v>
      </c>
      <c r="D807">
        <v>2</v>
      </c>
      <c r="E807" s="4">
        <v>0</v>
      </c>
      <c r="F807" s="9">
        <v>0</v>
      </c>
      <c r="G807" s="6">
        <v>1792</v>
      </c>
      <c r="H807" s="9">
        <f t="shared" si="12"/>
        <v>0</v>
      </c>
      <c r="I807" s="6">
        <v>12523</v>
      </c>
      <c r="J807" s="6">
        <f>VLOOKUP(Table1[[#This Row],[Province]],[1]Sheet1!$A$3:$F$37,4,FALSE)</f>
        <v>1874900</v>
      </c>
      <c r="K807">
        <v>0</v>
      </c>
      <c r="L807" s="4">
        <v>3.5778470000000002</v>
      </c>
      <c r="M807" s="4">
        <v>102.346388</v>
      </c>
      <c r="N807" s="13">
        <v>-0.02</v>
      </c>
      <c r="P807"/>
      <c r="Q807" s="12"/>
      <c r="R807" s="12"/>
    </row>
    <row r="808" spans="1:18" x14ac:dyDescent="0.2">
      <c r="A808">
        <v>7</v>
      </c>
      <c r="B808" t="s">
        <v>5</v>
      </c>
      <c r="C808">
        <v>2020</v>
      </c>
      <c r="D808">
        <v>3</v>
      </c>
      <c r="E808" s="4">
        <v>0</v>
      </c>
      <c r="F808" s="9">
        <v>0</v>
      </c>
      <c r="G808" s="6">
        <v>1119</v>
      </c>
      <c r="H808" s="9">
        <f t="shared" si="12"/>
        <v>0</v>
      </c>
      <c r="I808" s="6">
        <v>14638</v>
      </c>
      <c r="J808" s="6">
        <f>VLOOKUP(Table1[[#This Row],[Province]],[1]Sheet1!$A$3:$F$37,4,FALSE)</f>
        <v>1874900</v>
      </c>
      <c r="K808">
        <v>0</v>
      </c>
      <c r="L808" s="4">
        <v>3.5778470000000002</v>
      </c>
      <c r="M808" s="4">
        <v>102.346388</v>
      </c>
      <c r="N808" s="13">
        <v>-0.02</v>
      </c>
      <c r="P808"/>
      <c r="Q808" s="12"/>
      <c r="R808" s="12"/>
    </row>
    <row r="809" spans="1:18" x14ac:dyDescent="0.2">
      <c r="A809">
        <v>7</v>
      </c>
      <c r="B809" t="s">
        <v>5</v>
      </c>
      <c r="C809">
        <v>2020</v>
      </c>
      <c r="D809">
        <v>4</v>
      </c>
      <c r="E809" s="4">
        <v>0</v>
      </c>
      <c r="F809" s="9">
        <v>0</v>
      </c>
      <c r="G809" s="6">
        <v>1296</v>
      </c>
      <c r="H809" s="9">
        <f t="shared" si="12"/>
        <v>0</v>
      </c>
      <c r="I809" s="6">
        <v>16414</v>
      </c>
      <c r="J809" s="6">
        <f>VLOOKUP(Table1[[#This Row],[Province]],[1]Sheet1!$A$3:$F$37,4,FALSE)</f>
        <v>1874900</v>
      </c>
      <c r="K809">
        <v>1</v>
      </c>
      <c r="L809" s="4">
        <v>3.5778470000000002</v>
      </c>
      <c r="M809" s="4">
        <v>102.346388</v>
      </c>
      <c r="N809" s="13">
        <v>-0.02</v>
      </c>
      <c r="P809"/>
      <c r="Q809" s="12"/>
      <c r="R809" s="12"/>
    </row>
    <row r="810" spans="1:18" x14ac:dyDescent="0.2">
      <c r="A810">
        <v>7</v>
      </c>
      <c r="B810" t="s">
        <v>5</v>
      </c>
      <c r="C810">
        <v>2020</v>
      </c>
      <c r="D810">
        <v>5</v>
      </c>
      <c r="E810" s="4">
        <v>0</v>
      </c>
      <c r="F810" s="9">
        <v>0</v>
      </c>
      <c r="G810" s="6">
        <v>1056</v>
      </c>
      <c r="H810" s="9">
        <f t="shared" si="12"/>
        <v>0</v>
      </c>
      <c r="I810" s="6">
        <v>15263</v>
      </c>
      <c r="J810" s="6">
        <f>VLOOKUP(Table1[[#This Row],[Province]],[1]Sheet1!$A$3:$F$37,4,FALSE)</f>
        <v>1874900</v>
      </c>
      <c r="K810">
        <v>0</v>
      </c>
      <c r="L810" s="4">
        <v>3.5778470000000002</v>
      </c>
      <c r="M810" s="4">
        <v>102.346388</v>
      </c>
      <c r="N810" s="13">
        <v>-0.02</v>
      </c>
      <c r="P810"/>
      <c r="Q810" s="12"/>
      <c r="R810" s="12"/>
    </row>
    <row r="811" spans="1:18" x14ac:dyDescent="0.2">
      <c r="A811">
        <v>7</v>
      </c>
      <c r="B811" t="s">
        <v>5</v>
      </c>
      <c r="C811">
        <v>2020</v>
      </c>
      <c r="D811">
        <v>5</v>
      </c>
      <c r="E811" s="4">
        <v>12820</v>
      </c>
      <c r="F811" s="9">
        <v>0</v>
      </c>
      <c r="G811" s="6">
        <v>1641</v>
      </c>
      <c r="H811" s="9">
        <f t="shared" si="12"/>
        <v>12820</v>
      </c>
      <c r="I811" s="6">
        <v>14725</v>
      </c>
      <c r="J811" s="6">
        <f>VLOOKUP(Table1[[#This Row],[Province]],[1]Sheet1!$A$3:$F$37,4,FALSE)</f>
        <v>1874900</v>
      </c>
      <c r="K811">
        <v>0</v>
      </c>
      <c r="L811" s="4">
        <v>3.5778470000000002</v>
      </c>
      <c r="M811" s="4">
        <v>102.346388</v>
      </c>
      <c r="N811" s="13">
        <v>-0.02</v>
      </c>
      <c r="P811"/>
      <c r="Q811" s="12"/>
      <c r="R811" s="12"/>
    </row>
    <row r="812" spans="1:18" x14ac:dyDescent="0.2">
      <c r="A812">
        <v>7</v>
      </c>
      <c r="B812" t="s">
        <v>5</v>
      </c>
      <c r="C812">
        <v>2020</v>
      </c>
      <c r="D812">
        <v>7</v>
      </c>
      <c r="E812" s="4">
        <v>0</v>
      </c>
      <c r="F812" s="9">
        <v>0</v>
      </c>
      <c r="G812" s="6">
        <v>1375</v>
      </c>
      <c r="H812" s="9">
        <f t="shared" si="12"/>
        <v>0</v>
      </c>
      <c r="I812" s="6">
        <v>13264</v>
      </c>
      <c r="J812" s="6">
        <f>VLOOKUP(Table1[[#This Row],[Province]],[1]Sheet1!$A$3:$F$37,4,FALSE)</f>
        <v>1874900</v>
      </c>
      <c r="K812">
        <v>0</v>
      </c>
      <c r="L812" s="4">
        <v>3.5778470000000002</v>
      </c>
      <c r="M812" s="4">
        <v>102.346388</v>
      </c>
      <c r="N812" s="13">
        <v>-0.02</v>
      </c>
      <c r="P812"/>
      <c r="Q812" s="12"/>
      <c r="R812" s="12"/>
    </row>
    <row r="813" spans="1:18" x14ac:dyDescent="0.2">
      <c r="A813">
        <v>7</v>
      </c>
      <c r="B813" t="s">
        <v>5</v>
      </c>
      <c r="C813">
        <v>2020</v>
      </c>
      <c r="D813">
        <v>8</v>
      </c>
      <c r="E813" s="4">
        <v>0</v>
      </c>
      <c r="F813" s="9">
        <v>0</v>
      </c>
      <c r="G813" s="6">
        <v>1014</v>
      </c>
      <c r="H813" s="9">
        <f t="shared" si="12"/>
        <v>0</v>
      </c>
      <c r="I813" s="6">
        <v>12534</v>
      </c>
      <c r="J813" s="6">
        <f>VLOOKUP(Table1[[#This Row],[Province]],[1]Sheet1!$A$3:$F$37,4,FALSE)</f>
        <v>1874900</v>
      </c>
      <c r="K813">
        <v>0</v>
      </c>
      <c r="L813" s="4">
        <v>3.5778470000000002</v>
      </c>
      <c r="M813" s="4">
        <v>102.346388</v>
      </c>
      <c r="N813" s="13">
        <v>-0.02</v>
      </c>
      <c r="P813"/>
      <c r="Q813" s="12"/>
      <c r="R813" s="12"/>
    </row>
    <row r="814" spans="1:18" x14ac:dyDescent="0.2">
      <c r="A814">
        <v>7</v>
      </c>
      <c r="B814" t="s">
        <v>5</v>
      </c>
      <c r="C814">
        <v>2020</v>
      </c>
      <c r="D814">
        <v>9</v>
      </c>
      <c r="E814" s="4">
        <v>0</v>
      </c>
      <c r="F814" s="9">
        <v>0</v>
      </c>
      <c r="G814" s="6">
        <v>1220</v>
      </c>
      <c r="H814" s="9">
        <f t="shared" si="12"/>
        <v>0</v>
      </c>
      <c r="I814" s="6">
        <v>12500</v>
      </c>
      <c r="J814" s="6">
        <f>VLOOKUP(Table1[[#This Row],[Province]],[1]Sheet1!$A$3:$F$37,4,FALSE)</f>
        <v>1874900</v>
      </c>
      <c r="K814">
        <v>0</v>
      </c>
      <c r="L814" s="4">
        <v>3.5778470000000002</v>
      </c>
      <c r="M814" s="4">
        <v>102.346388</v>
      </c>
      <c r="N814" s="13">
        <v>-0.02</v>
      </c>
      <c r="P814"/>
      <c r="Q814" s="12"/>
      <c r="R814" s="12"/>
    </row>
    <row r="815" spans="1:18" x14ac:dyDescent="0.2">
      <c r="A815">
        <v>7</v>
      </c>
      <c r="B815" t="s">
        <v>5</v>
      </c>
      <c r="C815">
        <v>2020</v>
      </c>
      <c r="D815">
        <v>10</v>
      </c>
      <c r="E815" s="4">
        <v>0</v>
      </c>
      <c r="F815" s="9">
        <v>0</v>
      </c>
      <c r="G815" s="6">
        <v>945</v>
      </c>
      <c r="H815" s="9">
        <f t="shared" si="12"/>
        <v>0</v>
      </c>
      <c r="I815" s="6">
        <v>12500</v>
      </c>
      <c r="J815" s="6">
        <f>VLOOKUP(Table1[[#This Row],[Province]],[1]Sheet1!$A$3:$F$37,4,FALSE)</f>
        <v>1874900</v>
      </c>
      <c r="K815">
        <v>0</v>
      </c>
      <c r="L815" s="4">
        <v>3.5778470000000002</v>
      </c>
      <c r="M815" s="4">
        <v>102.346388</v>
      </c>
      <c r="N815" s="13">
        <v>-0.02</v>
      </c>
      <c r="P815"/>
      <c r="Q815" s="12"/>
      <c r="R815" s="12"/>
    </row>
    <row r="816" spans="1:18" x14ac:dyDescent="0.2">
      <c r="A816">
        <v>7</v>
      </c>
      <c r="B816" t="s">
        <v>5</v>
      </c>
      <c r="C816">
        <v>2020</v>
      </c>
      <c r="D816">
        <v>11</v>
      </c>
      <c r="E816" s="4">
        <v>0</v>
      </c>
      <c r="F816" s="9">
        <v>1E-3</v>
      </c>
      <c r="G816" s="6">
        <v>180</v>
      </c>
      <c r="H816" s="9">
        <f t="shared" si="12"/>
        <v>1E-3</v>
      </c>
      <c r="I816" s="6">
        <v>12482</v>
      </c>
      <c r="J816" s="6">
        <f>VLOOKUP(Table1[[#This Row],[Province]],[1]Sheet1!$A$3:$F$37,4,FALSE)</f>
        <v>1874900</v>
      </c>
      <c r="K816">
        <v>0</v>
      </c>
      <c r="L816" s="4">
        <v>3.5778470000000002</v>
      </c>
      <c r="M816" s="4">
        <v>102.346388</v>
      </c>
      <c r="N816" s="13">
        <v>-0.02</v>
      </c>
      <c r="P816"/>
      <c r="Q816" s="12"/>
      <c r="R816" s="12"/>
    </row>
    <row r="817" spans="1:18" x14ac:dyDescent="0.2">
      <c r="A817">
        <v>7</v>
      </c>
      <c r="B817" t="s">
        <v>5</v>
      </c>
      <c r="C817">
        <v>2020</v>
      </c>
      <c r="D817">
        <v>12</v>
      </c>
      <c r="E817" s="4">
        <v>0</v>
      </c>
      <c r="F817" s="9">
        <v>0</v>
      </c>
      <c r="G817" s="6">
        <v>1146</v>
      </c>
      <c r="H817" s="9">
        <f t="shared" si="12"/>
        <v>0</v>
      </c>
      <c r="I817" s="6">
        <v>12500</v>
      </c>
      <c r="J817" s="6">
        <f>VLOOKUP(Table1[[#This Row],[Province]],[1]Sheet1!$A$3:$F$37,4,FALSE)</f>
        <v>1874900</v>
      </c>
      <c r="K817">
        <v>1</v>
      </c>
      <c r="L817" s="4">
        <v>3.5778470000000002</v>
      </c>
      <c r="M817" s="4">
        <v>102.346388</v>
      </c>
      <c r="N817" s="13">
        <v>-0.02</v>
      </c>
      <c r="P817"/>
      <c r="Q817" s="12"/>
      <c r="R817" s="12"/>
    </row>
    <row r="818" spans="1:18" x14ac:dyDescent="0.2">
      <c r="A818">
        <v>7</v>
      </c>
      <c r="B818" t="s">
        <v>5</v>
      </c>
      <c r="C818">
        <v>2021</v>
      </c>
      <c r="D818">
        <v>1</v>
      </c>
      <c r="E818" s="4">
        <v>0</v>
      </c>
      <c r="F818" s="9">
        <v>0</v>
      </c>
      <c r="G818" s="6">
        <v>1628</v>
      </c>
      <c r="H818" s="9">
        <f t="shared" si="12"/>
        <v>0</v>
      </c>
      <c r="I818" s="6">
        <v>12500</v>
      </c>
      <c r="J818" s="6">
        <f>VLOOKUP(Table1[[#This Row],[Province]],[1]Sheet1!$A$3:$F$37,4,FALSE)</f>
        <v>1874900</v>
      </c>
      <c r="K818">
        <v>0</v>
      </c>
      <c r="L818" s="4">
        <v>3.5778470000000002</v>
      </c>
      <c r="M818" s="4">
        <v>102.346388</v>
      </c>
      <c r="N818" s="13">
        <v>3.27</v>
      </c>
      <c r="P818"/>
      <c r="Q818" s="12"/>
      <c r="R818" s="12"/>
    </row>
    <row r="819" spans="1:18" x14ac:dyDescent="0.2">
      <c r="A819">
        <v>7</v>
      </c>
      <c r="B819" t="s">
        <v>5</v>
      </c>
      <c r="C819">
        <v>2021</v>
      </c>
      <c r="D819">
        <v>2</v>
      </c>
      <c r="E819" s="4">
        <v>0</v>
      </c>
      <c r="F819" s="9">
        <v>0</v>
      </c>
      <c r="G819" s="6">
        <v>2380</v>
      </c>
      <c r="H819" s="9">
        <f t="shared" si="12"/>
        <v>0</v>
      </c>
      <c r="I819" s="6">
        <v>12500</v>
      </c>
      <c r="J819" s="6">
        <f>VLOOKUP(Table1[[#This Row],[Province]],[1]Sheet1!$A$3:$F$37,4,FALSE)</f>
        <v>1874900</v>
      </c>
      <c r="K819">
        <v>0</v>
      </c>
      <c r="L819" s="4">
        <v>3.5778470000000002</v>
      </c>
      <c r="M819" s="4">
        <v>102.346388</v>
      </c>
      <c r="N819" s="13">
        <v>3.27</v>
      </c>
      <c r="P819"/>
      <c r="Q819" s="12"/>
      <c r="R819" s="12"/>
    </row>
    <row r="820" spans="1:18" x14ac:dyDescent="0.2">
      <c r="A820">
        <v>7</v>
      </c>
      <c r="B820" t="s">
        <v>5</v>
      </c>
      <c r="C820">
        <v>2021</v>
      </c>
      <c r="D820">
        <v>3</v>
      </c>
      <c r="E820" s="4">
        <v>0</v>
      </c>
      <c r="F820" s="9">
        <v>0</v>
      </c>
      <c r="G820" s="6">
        <v>1449</v>
      </c>
      <c r="H820" s="9">
        <f t="shared" si="12"/>
        <v>0</v>
      </c>
      <c r="I820" s="6">
        <v>12500</v>
      </c>
      <c r="J820" s="6">
        <f>VLOOKUP(Table1[[#This Row],[Province]],[1]Sheet1!$A$3:$F$37,4,FALSE)</f>
        <v>1874900</v>
      </c>
      <c r="K820">
        <v>0</v>
      </c>
      <c r="L820" s="4">
        <v>3.5778470000000002</v>
      </c>
      <c r="M820" s="4">
        <v>102.346388</v>
      </c>
      <c r="N820" s="13">
        <v>3.27</v>
      </c>
      <c r="P820"/>
      <c r="Q820" s="12"/>
      <c r="R820" s="12"/>
    </row>
    <row r="821" spans="1:18" x14ac:dyDescent="0.2">
      <c r="A821">
        <v>7</v>
      </c>
      <c r="B821" t="s">
        <v>5</v>
      </c>
      <c r="C821">
        <v>2021</v>
      </c>
      <c r="D821">
        <v>4</v>
      </c>
      <c r="E821" s="4">
        <v>0</v>
      </c>
      <c r="F821" s="9">
        <v>0</v>
      </c>
      <c r="G821" s="6">
        <v>1448</v>
      </c>
      <c r="H821" s="9">
        <f t="shared" si="12"/>
        <v>0</v>
      </c>
      <c r="I821" s="6">
        <v>12963</v>
      </c>
      <c r="J821" s="6">
        <f>VLOOKUP(Table1[[#This Row],[Province]],[1]Sheet1!$A$3:$F$37,4,FALSE)</f>
        <v>1874900</v>
      </c>
      <c r="K821">
        <v>1</v>
      </c>
      <c r="L821" s="4">
        <v>3.5778470000000002</v>
      </c>
      <c r="M821" s="4">
        <v>102.346388</v>
      </c>
      <c r="N821" s="13">
        <v>3.27</v>
      </c>
      <c r="P821"/>
      <c r="Q821" s="12"/>
      <c r="R821" s="12"/>
    </row>
    <row r="822" spans="1:18" x14ac:dyDescent="0.2">
      <c r="A822">
        <v>7</v>
      </c>
      <c r="B822" t="s">
        <v>5</v>
      </c>
      <c r="C822">
        <v>2021</v>
      </c>
      <c r="D822">
        <v>5</v>
      </c>
      <c r="E822" s="4">
        <v>0</v>
      </c>
      <c r="F822" s="9">
        <v>0</v>
      </c>
      <c r="G822" s="6">
        <v>1102</v>
      </c>
      <c r="H822" s="9">
        <f t="shared" si="12"/>
        <v>0</v>
      </c>
      <c r="I822" s="6">
        <v>12960</v>
      </c>
      <c r="J822" s="6">
        <f>VLOOKUP(Table1[[#This Row],[Province]],[1]Sheet1!$A$3:$F$37,4,FALSE)</f>
        <v>1874900</v>
      </c>
      <c r="K822">
        <v>0</v>
      </c>
      <c r="L822" s="4">
        <v>3.5778470000000002</v>
      </c>
      <c r="M822" s="4">
        <v>102.346388</v>
      </c>
      <c r="N822" s="13">
        <v>3.27</v>
      </c>
      <c r="P822"/>
      <c r="Q822" s="12"/>
      <c r="R822" s="12"/>
    </row>
    <row r="823" spans="1:18" x14ac:dyDescent="0.2">
      <c r="A823">
        <v>7</v>
      </c>
      <c r="B823" t="s">
        <v>5</v>
      </c>
      <c r="C823">
        <v>2021</v>
      </c>
      <c r="D823">
        <v>6</v>
      </c>
      <c r="E823" s="4">
        <v>0</v>
      </c>
      <c r="F823" s="9">
        <v>0</v>
      </c>
      <c r="G823" s="6">
        <v>1741</v>
      </c>
      <c r="H823" s="9">
        <f t="shared" si="12"/>
        <v>0</v>
      </c>
      <c r="I823" s="6">
        <v>12900</v>
      </c>
      <c r="J823" s="6">
        <f>VLOOKUP(Table1[[#This Row],[Province]],[1]Sheet1!$A$3:$F$37,4,FALSE)</f>
        <v>1874900</v>
      </c>
      <c r="K823">
        <v>0</v>
      </c>
      <c r="L823" s="4">
        <v>3.5778470000000002</v>
      </c>
      <c r="M823" s="4">
        <v>102.346388</v>
      </c>
      <c r="N823" s="13">
        <v>3.27</v>
      </c>
      <c r="P823"/>
      <c r="Q823" s="12"/>
      <c r="R823" s="12"/>
    </row>
    <row r="824" spans="1:18" x14ac:dyDescent="0.2">
      <c r="A824">
        <v>7</v>
      </c>
      <c r="B824" t="s">
        <v>5</v>
      </c>
      <c r="C824">
        <v>2021</v>
      </c>
      <c r="D824">
        <v>7</v>
      </c>
      <c r="E824" s="4">
        <v>0</v>
      </c>
      <c r="F824" s="9">
        <v>0</v>
      </c>
      <c r="G824" s="6">
        <v>986</v>
      </c>
      <c r="H824" s="9">
        <f t="shared" si="12"/>
        <v>0</v>
      </c>
      <c r="I824" s="6">
        <v>12800</v>
      </c>
      <c r="J824" s="6">
        <f>VLOOKUP(Table1[[#This Row],[Province]],[1]Sheet1!$A$3:$F$37,4,FALSE)</f>
        <v>1874900</v>
      </c>
      <c r="K824">
        <v>0</v>
      </c>
      <c r="L824" s="4">
        <v>3.5778470000000002</v>
      </c>
      <c r="M824" s="4">
        <v>102.346388</v>
      </c>
      <c r="N824" s="13">
        <v>3.27</v>
      </c>
      <c r="P824"/>
      <c r="Q824" s="12"/>
      <c r="R824" s="12"/>
    </row>
    <row r="825" spans="1:18" x14ac:dyDescent="0.2">
      <c r="A825">
        <v>7</v>
      </c>
      <c r="B825" t="s">
        <v>5</v>
      </c>
      <c r="C825">
        <v>2021</v>
      </c>
      <c r="D825">
        <v>8</v>
      </c>
      <c r="E825" s="4">
        <v>0</v>
      </c>
      <c r="F825" s="9">
        <v>0</v>
      </c>
      <c r="G825" s="6">
        <v>1205</v>
      </c>
      <c r="H825" s="9">
        <f t="shared" si="12"/>
        <v>0</v>
      </c>
      <c r="I825" s="6">
        <v>12430</v>
      </c>
      <c r="J825" s="6">
        <f>VLOOKUP(Table1[[#This Row],[Province]],[1]Sheet1!$A$3:$F$37,4,FALSE)</f>
        <v>1874900</v>
      </c>
      <c r="K825">
        <v>0</v>
      </c>
      <c r="L825" s="4">
        <v>3.5778470000000002</v>
      </c>
      <c r="M825" s="4">
        <v>102.346388</v>
      </c>
      <c r="N825" s="13">
        <v>3.27</v>
      </c>
      <c r="P825"/>
      <c r="Q825" s="12"/>
      <c r="R825" s="12"/>
    </row>
    <row r="826" spans="1:18" x14ac:dyDescent="0.2">
      <c r="A826">
        <v>7</v>
      </c>
      <c r="B826" t="s">
        <v>5</v>
      </c>
      <c r="C826">
        <v>2021</v>
      </c>
      <c r="D826">
        <v>9</v>
      </c>
      <c r="E826" s="4">
        <v>0</v>
      </c>
      <c r="F826" s="9">
        <v>0</v>
      </c>
      <c r="G826" s="6">
        <v>1968</v>
      </c>
      <c r="H826" s="9">
        <f t="shared" si="12"/>
        <v>0</v>
      </c>
      <c r="I826" s="6">
        <v>12300</v>
      </c>
      <c r="J826" s="6">
        <f>VLOOKUP(Table1[[#This Row],[Province]],[1]Sheet1!$A$3:$F$37,4,FALSE)</f>
        <v>1874900</v>
      </c>
      <c r="K826">
        <v>0</v>
      </c>
      <c r="L826" s="4">
        <v>3.5778470000000002</v>
      </c>
      <c r="M826" s="4">
        <v>102.346388</v>
      </c>
      <c r="N826" s="13">
        <v>3.27</v>
      </c>
      <c r="P826"/>
      <c r="Q826" s="12"/>
      <c r="R826" s="12"/>
    </row>
    <row r="827" spans="1:18" x14ac:dyDescent="0.2">
      <c r="A827">
        <v>7</v>
      </c>
      <c r="B827" t="s">
        <v>5</v>
      </c>
      <c r="C827">
        <v>2021</v>
      </c>
      <c r="D827">
        <v>10</v>
      </c>
      <c r="E827" s="4">
        <v>0</v>
      </c>
      <c r="F827" s="9">
        <v>0</v>
      </c>
      <c r="G827" s="6">
        <v>1101</v>
      </c>
      <c r="H827" s="9">
        <f t="shared" si="12"/>
        <v>0</v>
      </c>
      <c r="I827" s="6">
        <v>12324</v>
      </c>
      <c r="J827" s="6">
        <f>VLOOKUP(Table1[[#This Row],[Province]],[1]Sheet1!$A$3:$F$37,4,FALSE)</f>
        <v>1874900</v>
      </c>
      <c r="K827">
        <v>0</v>
      </c>
      <c r="L827" s="4">
        <v>3.5778470000000002</v>
      </c>
      <c r="M827" s="4">
        <v>102.346388</v>
      </c>
      <c r="N827" s="13">
        <v>3.27</v>
      </c>
      <c r="P827"/>
      <c r="Q827" s="12"/>
      <c r="R827" s="12"/>
    </row>
    <row r="828" spans="1:18" x14ac:dyDescent="0.2">
      <c r="A828">
        <v>7</v>
      </c>
      <c r="B828" t="s">
        <v>5</v>
      </c>
      <c r="C828">
        <v>2021</v>
      </c>
      <c r="D828">
        <v>11</v>
      </c>
      <c r="E828" s="4">
        <v>0</v>
      </c>
      <c r="F828" s="9">
        <v>0</v>
      </c>
      <c r="G828" s="6">
        <v>1378</v>
      </c>
      <c r="H828" s="9">
        <f t="shared" si="12"/>
        <v>0</v>
      </c>
      <c r="I828" s="6">
        <v>12470</v>
      </c>
      <c r="J828" s="6">
        <f>VLOOKUP(Table1[[#This Row],[Province]],[1]Sheet1!$A$3:$F$37,4,FALSE)</f>
        <v>1874900</v>
      </c>
      <c r="K828">
        <v>0</v>
      </c>
      <c r="L828" s="4">
        <v>3.5778470000000002</v>
      </c>
      <c r="M828" s="4">
        <v>102.346388</v>
      </c>
      <c r="N828" s="13">
        <v>3.27</v>
      </c>
      <c r="P828"/>
      <c r="Q828" s="12"/>
      <c r="R828" s="12"/>
    </row>
    <row r="829" spans="1:18" x14ac:dyDescent="0.2">
      <c r="A829">
        <v>7</v>
      </c>
      <c r="B829" t="s">
        <v>5</v>
      </c>
      <c r="C829">
        <v>2021</v>
      </c>
      <c r="D829">
        <v>12</v>
      </c>
      <c r="E829" s="4">
        <v>0</v>
      </c>
      <c r="F829" s="9">
        <v>0</v>
      </c>
      <c r="G829" s="6">
        <v>1810</v>
      </c>
      <c r="H829" s="9">
        <f t="shared" si="12"/>
        <v>0</v>
      </c>
      <c r="I829" s="6">
        <v>12775</v>
      </c>
      <c r="J829" s="6">
        <f>VLOOKUP(Table1[[#This Row],[Province]],[1]Sheet1!$A$3:$F$37,4,FALSE)</f>
        <v>1874900</v>
      </c>
      <c r="K829">
        <v>1</v>
      </c>
      <c r="L829" s="4">
        <v>3.5778470000000002</v>
      </c>
      <c r="M829" s="4">
        <v>102.346388</v>
      </c>
      <c r="N829" s="13">
        <v>3.27</v>
      </c>
      <c r="P829"/>
      <c r="Q829" s="12"/>
      <c r="R829" s="12"/>
    </row>
    <row r="830" spans="1:18" x14ac:dyDescent="0.2">
      <c r="A830">
        <v>7</v>
      </c>
      <c r="B830" t="s">
        <v>5</v>
      </c>
      <c r="C830">
        <v>2022</v>
      </c>
      <c r="D830">
        <v>1</v>
      </c>
      <c r="E830" s="6">
        <v>0</v>
      </c>
      <c r="F830" s="9">
        <v>0</v>
      </c>
      <c r="G830" s="6">
        <v>1183</v>
      </c>
      <c r="H830" s="9">
        <f t="shared" si="12"/>
        <v>0</v>
      </c>
      <c r="I830" s="6">
        <v>13020</v>
      </c>
      <c r="J830" s="6">
        <f>VLOOKUP(Table1[[#This Row],[Province]],[1]Sheet1!$A$3:$F$37,4,FALSE)</f>
        <v>1874900</v>
      </c>
      <c r="K830">
        <v>0</v>
      </c>
      <c r="L830" s="4">
        <v>3.5778470000000002</v>
      </c>
      <c r="M830" s="4">
        <v>102.346388</v>
      </c>
      <c r="N830" s="13">
        <v>4.3099999999999996</v>
      </c>
      <c r="P830"/>
      <c r="Q830" s="12"/>
      <c r="R830" s="12"/>
    </row>
    <row r="831" spans="1:18" x14ac:dyDescent="0.2">
      <c r="A831">
        <v>7</v>
      </c>
      <c r="B831" t="s">
        <v>5</v>
      </c>
      <c r="C831">
        <v>2022</v>
      </c>
      <c r="D831">
        <v>2</v>
      </c>
      <c r="E831" s="6">
        <v>0</v>
      </c>
      <c r="F831" s="9">
        <v>0</v>
      </c>
      <c r="G831" s="6">
        <v>3001</v>
      </c>
      <c r="H831" s="9">
        <f t="shared" si="12"/>
        <v>0</v>
      </c>
      <c r="I831" s="6">
        <v>13831</v>
      </c>
      <c r="J831" s="6">
        <f>VLOOKUP(Table1[[#This Row],[Province]],[1]Sheet1!$A$3:$F$37,4,FALSE)</f>
        <v>1874900</v>
      </c>
      <c r="K831">
        <v>0</v>
      </c>
      <c r="L831" s="4">
        <v>3.5778470000000002</v>
      </c>
      <c r="M831" s="4">
        <v>102.346388</v>
      </c>
      <c r="N831" s="13">
        <v>4.3099999999999996</v>
      </c>
      <c r="P831"/>
      <c r="Q831" s="12"/>
      <c r="R831" s="12"/>
    </row>
    <row r="832" spans="1:18" x14ac:dyDescent="0.2">
      <c r="A832">
        <v>7</v>
      </c>
      <c r="B832" t="s">
        <v>5</v>
      </c>
      <c r="C832">
        <v>2022</v>
      </c>
      <c r="D832">
        <v>3</v>
      </c>
      <c r="E832" s="6">
        <v>0</v>
      </c>
      <c r="F832" s="9">
        <v>0</v>
      </c>
      <c r="G832" s="6">
        <v>1153</v>
      </c>
      <c r="H832" s="9">
        <f t="shared" si="12"/>
        <v>0</v>
      </c>
      <c r="I832" s="6">
        <v>13930</v>
      </c>
      <c r="J832" s="6">
        <f>VLOOKUP(Table1[[#This Row],[Province]],[1]Sheet1!$A$3:$F$37,4,FALSE)</f>
        <v>1874900</v>
      </c>
      <c r="K832">
        <v>0</v>
      </c>
      <c r="L832" s="4">
        <v>3.5778470000000002</v>
      </c>
      <c r="M832" s="4">
        <v>102.346388</v>
      </c>
      <c r="N832" s="13">
        <v>4.3099999999999996</v>
      </c>
      <c r="P832"/>
      <c r="Q832" s="12"/>
      <c r="R832" s="12"/>
    </row>
    <row r="833" spans="1:18" x14ac:dyDescent="0.2">
      <c r="A833">
        <v>7</v>
      </c>
      <c r="B833" t="s">
        <v>5</v>
      </c>
      <c r="C833">
        <v>2022</v>
      </c>
      <c r="D833">
        <v>4</v>
      </c>
      <c r="E833" s="6">
        <v>0</v>
      </c>
      <c r="F833" s="9">
        <v>0</v>
      </c>
      <c r="G833" s="6">
        <v>2488</v>
      </c>
      <c r="H833" s="9">
        <f t="shared" si="12"/>
        <v>0</v>
      </c>
      <c r="I833" s="6">
        <v>14729</v>
      </c>
      <c r="J833" s="6">
        <f>VLOOKUP(Table1[[#This Row],[Province]],[1]Sheet1!$A$3:$F$37,4,FALSE)</f>
        <v>1874900</v>
      </c>
      <c r="K833">
        <v>1</v>
      </c>
      <c r="L833" s="4">
        <v>3.5778470000000002</v>
      </c>
      <c r="M833" s="4">
        <v>102.346388</v>
      </c>
      <c r="N833" s="13">
        <v>4.3099999999999996</v>
      </c>
      <c r="P833"/>
      <c r="Q833" s="12"/>
      <c r="R833" s="12"/>
    </row>
    <row r="834" spans="1:18" x14ac:dyDescent="0.2">
      <c r="A834">
        <v>7</v>
      </c>
      <c r="B834" t="s">
        <v>5</v>
      </c>
      <c r="C834">
        <v>2022</v>
      </c>
      <c r="D834">
        <v>5</v>
      </c>
      <c r="E834" s="6">
        <v>0</v>
      </c>
      <c r="F834" s="9">
        <v>0</v>
      </c>
      <c r="G834" s="6">
        <v>1190</v>
      </c>
      <c r="H834" s="9">
        <f t="shared" ref="H834:H897" si="13">F834+E834</f>
        <v>0</v>
      </c>
      <c r="I834" s="6">
        <v>14983</v>
      </c>
      <c r="J834" s="6">
        <f>VLOOKUP(Table1[[#This Row],[Province]],[1]Sheet1!$A$3:$F$37,4,FALSE)</f>
        <v>1874900</v>
      </c>
      <c r="K834">
        <v>0</v>
      </c>
      <c r="L834" s="4">
        <v>3.5778470000000002</v>
      </c>
      <c r="M834" s="4">
        <v>102.346388</v>
      </c>
      <c r="N834" s="13">
        <v>4.3099999999999996</v>
      </c>
      <c r="P834"/>
      <c r="Q834" s="12"/>
      <c r="R834" s="12"/>
    </row>
    <row r="835" spans="1:18" x14ac:dyDescent="0.2">
      <c r="A835">
        <v>7</v>
      </c>
      <c r="B835" t="s">
        <v>5</v>
      </c>
      <c r="C835">
        <v>2022</v>
      </c>
      <c r="D835">
        <v>6</v>
      </c>
      <c r="E835" s="6">
        <v>0</v>
      </c>
      <c r="F835" s="9">
        <v>0</v>
      </c>
      <c r="G835" s="6">
        <v>2254</v>
      </c>
      <c r="H835" s="9">
        <f t="shared" si="13"/>
        <v>0</v>
      </c>
      <c r="I835" s="6">
        <v>14467</v>
      </c>
      <c r="J835" s="6">
        <f>VLOOKUP(Table1[[#This Row],[Province]],[1]Sheet1!$A$3:$F$37,4,FALSE)</f>
        <v>1874900</v>
      </c>
      <c r="K835">
        <v>0</v>
      </c>
      <c r="L835" s="4">
        <v>3.5778470000000002</v>
      </c>
      <c r="M835" s="4">
        <v>102.346388</v>
      </c>
      <c r="N835" s="13">
        <v>4.3099999999999996</v>
      </c>
      <c r="P835"/>
      <c r="Q835" s="12"/>
      <c r="R835" s="12"/>
    </row>
    <row r="836" spans="1:18" x14ac:dyDescent="0.2">
      <c r="A836">
        <v>7</v>
      </c>
      <c r="B836" t="s">
        <v>5</v>
      </c>
      <c r="C836">
        <v>2022</v>
      </c>
      <c r="D836">
        <v>7</v>
      </c>
      <c r="E836" s="6">
        <v>0</v>
      </c>
      <c r="F836" s="9">
        <v>0</v>
      </c>
      <c r="G836" s="6">
        <v>1627</v>
      </c>
      <c r="H836" s="9">
        <f t="shared" si="13"/>
        <v>0</v>
      </c>
      <c r="I836" s="6">
        <v>14300</v>
      </c>
      <c r="J836" s="6">
        <f>VLOOKUP(Table1[[#This Row],[Province]],[1]Sheet1!$A$3:$F$37,4,FALSE)</f>
        <v>1874900</v>
      </c>
      <c r="K836">
        <v>0</v>
      </c>
      <c r="L836" s="4">
        <v>3.5778470000000002</v>
      </c>
      <c r="M836" s="4">
        <v>102.346388</v>
      </c>
      <c r="N836" s="13">
        <v>4.3099999999999996</v>
      </c>
      <c r="P836"/>
      <c r="Q836" s="12"/>
      <c r="R836" s="12"/>
    </row>
    <row r="837" spans="1:18" x14ac:dyDescent="0.2">
      <c r="A837">
        <v>7</v>
      </c>
      <c r="B837" t="s">
        <v>5</v>
      </c>
      <c r="C837">
        <v>2022</v>
      </c>
      <c r="D837">
        <v>8</v>
      </c>
      <c r="E837" s="6">
        <v>0</v>
      </c>
      <c r="F837" s="9">
        <v>0</v>
      </c>
      <c r="G837" s="6">
        <v>963</v>
      </c>
      <c r="H837" s="9">
        <f t="shared" si="13"/>
        <v>0</v>
      </c>
      <c r="I837" s="6">
        <v>14095</v>
      </c>
      <c r="J837" s="6">
        <f>VLOOKUP(Table1[[#This Row],[Province]],[1]Sheet1!$A$3:$F$37,4,FALSE)</f>
        <v>1874900</v>
      </c>
      <c r="K837">
        <v>0</v>
      </c>
      <c r="L837" s="4">
        <v>3.5778470000000002</v>
      </c>
      <c r="M837" s="4">
        <v>102.346388</v>
      </c>
      <c r="N837" s="13">
        <v>4.3099999999999996</v>
      </c>
      <c r="P837"/>
      <c r="Q837" s="12"/>
      <c r="R837" s="12"/>
    </row>
    <row r="838" spans="1:18" x14ac:dyDescent="0.2">
      <c r="A838">
        <v>7</v>
      </c>
      <c r="B838" t="s">
        <v>5</v>
      </c>
      <c r="C838">
        <v>2022</v>
      </c>
      <c r="D838">
        <v>9</v>
      </c>
      <c r="E838" s="6">
        <v>0</v>
      </c>
      <c r="F838" s="9">
        <v>0</v>
      </c>
      <c r="G838" s="6">
        <v>840</v>
      </c>
      <c r="H838" s="9">
        <f t="shared" si="13"/>
        <v>0</v>
      </c>
      <c r="I838" s="6">
        <v>13239</v>
      </c>
      <c r="J838" s="6">
        <f>VLOOKUP(Table1[[#This Row],[Province]],[1]Sheet1!$A$3:$F$37,4,FALSE)</f>
        <v>1874900</v>
      </c>
      <c r="K838">
        <v>0</v>
      </c>
      <c r="L838" s="4">
        <v>3.5778470000000002</v>
      </c>
      <c r="M838" s="4">
        <v>102.346388</v>
      </c>
      <c r="N838" s="13">
        <v>4.3099999999999996</v>
      </c>
      <c r="P838"/>
      <c r="Q838" s="12"/>
      <c r="R838" s="12"/>
    </row>
    <row r="839" spans="1:18" x14ac:dyDescent="0.2">
      <c r="A839">
        <v>7</v>
      </c>
      <c r="B839" t="s">
        <v>5</v>
      </c>
      <c r="C839">
        <v>2022</v>
      </c>
      <c r="D839">
        <v>10</v>
      </c>
      <c r="E839" s="6">
        <v>0</v>
      </c>
      <c r="F839" s="9">
        <v>0</v>
      </c>
      <c r="G839" s="6">
        <v>532</v>
      </c>
      <c r="H839" s="9">
        <f t="shared" si="13"/>
        <v>0</v>
      </c>
      <c r="I839" s="6">
        <v>13173</v>
      </c>
      <c r="J839" s="6">
        <f>VLOOKUP(Table1[[#This Row],[Province]],[1]Sheet1!$A$3:$F$37,4,FALSE)</f>
        <v>1874900</v>
      </c>
      <c r="K839">
        <v>0</v>
      </c>
      <c r="L839" s="4">
        <v>3.5778470000000002</v>
      </c>
      <c r="M839" s="4">
        <v>102.346388</v>
      </c>
      <c r="N839" s="13">
        <v>4.3099999999999996</v>
      </c>
      <c r="P839"/>
      <c r="Q839" s="12"/>
      <c r="R839" s="12"/>
    </row>
    <row r="840" spans="1:18" x14ac:dyDescent="0.2">
      <c r="A840">
        <v>7</v>
      </c>
      <c r="B840" t="s">
        <v>5</v>
      </c>
      <c r="C840">
        <v>2022</v>
      </c>
      <c r="D840">
        <v>11</v>
      </c>
      <c r="E840" s="6">
        <v>0</v>
      </c>
      <c r="F840" s="9">
        <v>0</v>
      </c>
      <c r="G840" s="6">
        <v>165</v>
      </c>
      <c r="H840" s="9">
        <f t="shared" si="13"/>
        <v>0</v>
      </c>
      <c r="I840" s="6">
        <v>13925</v>
      </c>
      <c r="J840" s="6">
        <f>VLOOKUP(Table1[[#This Row],[Province]],[1]Sheet1!$A$3:$F$37,4,FALSE)</f>
        <v>1874900</v>
      </c>
      <c r="K840">
        <v>0</v>
      </c>
      <c r="L840" s="4">
        <v>3.5778470000000002</v>
      </c>
      <c r="M840" s="4">
        <v>102.346388</v>
      </c>
      <c r="N840" s="13">
        <v>4.3099999999999996</v>
      </c>
      <c r="P840"/>
      <c r="Q840" s="12"/>
      <c r="R840" s="12"/>
    </row>
    <row r="841" spans="1:18" x14ac:dyDescent="0.2">
      <c r="A841">
        <v>7</v>
      </c>
      <c r="B841" t="s">
        <v>5</v>
      </c>
      <c r="C841">
        <v>2022</v>
      </c>
      <c r="D841">
        <v>12</v>
      </c>
      <c r="E841" s="6">
        <v>0</v>
      </c>
      <c r="F841" s="9">
        <v>0</v>
      </c>
      <c r="G841" s="6">
        <v>1109</v>
      </c>
      <c r="H841" s="9">
        <f t="shared" si="13"/>
        <v>0</v>
      </c>
      <c r="I841" s="6">
        <v>13900</v>
      </c>
      <c r="J841" s="6">
        <f>VLOOKUP(Table1[[#This Row],[Province]],[1]Sheet1!$A$3:$F$37,4,FALSE)</f>
        <v>1874900</v>
      </c>
      <c r="K841">
        <v>1</v>
      </c>
      <c r="L841" s="4">
        <v>3.5778470000000002</v>
      </c>
      <c r="M841" s="4">
        <v>102.346388</v>
      </c>
      <c r="N841" s="13">
        <v>4.3099999999999996</v>
      </c>
      <c r="P841"/>
      <c r="Q841" s="12"/>
      <c r="R841" s="12"/>
    </row>
    <row r="842" spans="1:18" x14ac:dyDescent="0.2">
      <c r="A842">
        <v>8</v>
      </c>
      <c r="B842" t="s">
        <v>18</v>
      </c>
      <c r="C842">
        <v>2013</v>
      </c>
      <c r="D842">
        <v>1</v>
      </c>
      <c r="E842" s="4">
        <v>0</v>
      </c>
      <c r="F842" s="9">
        <v>0</v>
      </c>
      <c r="G842" s="6">
        <v>5391</v>
      </c>
      <c r="H842" s="9">
        <f t="shared" si="13"/>
        <v>0</v>
      </c>
      <c r="I842" s="6">
        <v>12000</v>
      </c>
      <c r="J842" s="6">
        <f>VLOOKUP(Table1[[#This Row],[Province]],[1]Sheet1!$A$3:$F$37,4,FALSE)</f>
        <v>8117300</v>
      </c>
      <c r="K842">
        <v>0</v>
      </c>
      <c r="L842" s="4">
        <v>4.5585849999999999</v>
      </c>
      <c r="M842" s="4">
        <v>105.406808</v>
      </c>
      <c r="N842" s="6"/>
      <c r="P842"/>
      <c r="Q842" s="12"/>
      <c r="R842" s="12"/>
    </row>
    <row r="843" spans="1:18" x14ac:dyDescent="0.2">
      <c r="A843">
        <v>8</v>
      </c>
      <c r="B843" t="s">
        <v>18</v>
      </c>
      <c r="C843">
        <v>2013</v>
      </c>
      <c r="D843">
        <v>2</v>
      </c>
      <c r="E843" s="4">
        <v>0</v>
      </c>
      <c r="F843" s="9">
        <v>0</v>
      </c>
      <c r="G843" s="6">
        <v>5168</v>
      </c>
      <c r="H843" s="9">
        <f t="shared" si="13"/>
        <v>0</v>
      </c>
      <c r="I843" s="6">
        <v>12000</v>
      </c>
      <c r="J843" s="6">
        <f>VLOOKUP(Table1[[#This Row],[Province]],[1]Sheet1!$A$3:$F$37,4,FALSE)</f>
        <v>8117300</v>
      </c>
      <c r="K843">
        <v>0</v>
      </c>
      <c r="L843" s="4">
        <v>4.5585849999999999</v>
      </c>
      <c r="M843" s="4">
        <v>105.406808</v>
      </c>
      <c r="N843" s="6"/>
      <c r="P843"/>
      <c r="Q843" s="12"/>
      <c r="R843" s="12"/>
    </row>
    <row r="844" spans="1:18" x14ac:dyDescent="0.2">
      <c r="A844">
        <v>8</v>
      </c>
      <c r="B844" t="s">
        <v>18</v>
      </c>
      <c r="C844">
        <v>2013</v>
      </c>
      <c r="D844">
        <v>3</v>
      </c>
      <c r="E844" s="4">
        <v>0</v>
      </c>
      <c r="F844" s="9">
        <v>0</v>
      </c>
      <c r="G844" s="6">
        <v>5327</v>
      </c>
      <c r="H844" s="9">
        <f t="shared" si="13"/>
        <v>0</v>
      </c>
      <c r="I844" s="6">
        <v>12000</v>
      </c>
      <c r="J844" s="6">
        <f>VLOOKUP(Table1[[#This Row],[Province]],[1]Sheet1!$A$3:$F$37,4,FALSE)</f>
        <v>8117300</v>
      </c>
      <c r="K844">
        <v>0</v>
      </c>
      <c r="L844" s="4">
        <v>4.5585849999999999</v>
      </c>
      <c r="M844" s="4">
        <v>105.406808</v>
      </c>
      <c r="N844" s="6"/>
      <c r="P844"/>
      <c r="Q844" s="12"/>
      <c r="R844" s="12"/>
    </row>
    <row r="845" spans="1:18" x14ac:dyDescent="0.2">
      <c r="A845">
        <v>8</v>
      </c>
      <c r="B845" t="s">
        <v>18</v>
      </c>
      <c r="C845">
        <v>2013</v>
      </c>
      <c r="D845">
        <v>4</v>
      </c>
      <c r="E845" s="4">
        <v>43274</v>
      </c>
      <c r="F845" s="9">
        <v>0</v>
      </c>
      <c r="G845" s="6">
        <v>6922</v>
      </c>
      <c r="H845" s="9">
        <f t="shared" si="13"/>
        <v>43274</v>
      </c>
      <c r="I845" s="6">
        <v>12000</v>
      </c>
      <c r="J845" s="6">
        <f>VLOOKUP(Table1[[#This Row],[Province]],[1]Sheet1!$A$3:$F$37,4,FALSE)</f>
        <v>8117300</v>
      </c>
      <c r="K845">
        <v>0</v>
      </c>
      <c r="L845" s="4">
        <v>4.5585849999999999</v>
      </c>
      <c r="M845" s="4">
        <v>105.406808</v>
      </c>
      <c r="N845" s="6"/>
      <c r="P845"/>
      <c r="Q845" s="12"/>
      <c r="R845" s="12"/>
    </row>
    <row r="846" spans="1:18" x14ac:dyDescent="0.2">
      <c r="A846">
        <v>8</v>
      </c>
      <c r="B846" t="s">
        <v>18</v>
      </c>
      <c r="C846">
        <v>2013</v>
      </c>
      <c r="D846">
        <v>5</v>
      </c>
      <c r="E846" s="4">
        <v>124711</v>
      </c>
      <c r="F846" s="9">
        <v>0</v>
      </c>
      <c r="G846" s="6">
        <v>8390</v>
      </c>
      <c r="H846" s="9">
        <f t="shared" si="13"/>
        <v>124711</v>
      </c>
      <c r="I846" s="6">
        <v>12000</v>
      </c>
      <c r="J846" s="6">
        <f>VLOOKUP(Table1[[#This Row],[Province]],[1]Sheet1!$A$3:$F$37,4,FALSE)</f>
        <v>8117300</v>
      </c>
      <c r="K846">
        <v>0</v>
      </c>
      <c r="L846" s="4">
        <v>4.5585849999999999</v>
      </c>
      <c r="M846" s="4">
        <v>105.406808</v>
      </c>
      <c r="N846" s="6"/>
      <c r="P846"/>
      <c r="Q846" s="12"/>
      <c r="R846" s="12"/>
    </row>
    <row r="847" spans="1:18" x14ac:dyDescent="0.2">
      <c r="A847">
        <v>8</v>
      </c>
      <c r="B847" t="s">
        <v>18</v>
      </c>
      <c r="C847">
        <v>2013</v>
      </c>
      <c r="D847">
        <v>6</v>
      </c>
      <c r="E847" s="4">
        <v>125702</v>
      </c>
      <c r="F847" s="9">
        <v>0</v>
      </c>
      <c r="G847" s="6">
        <v>6986</v>
      </c>
      <c r="H847" s="9">
        <f t="shared" si="13"/>
        <v>125702</v>
      </c>
      <c r="I847" s="6">
        <v>12000</v>
      </c>
      <c r="J847" s="6">
        <f>VLOOKUP(Table1[[#This Row],[Province]],[1]Sheet1!$A$3:$F$37,4,FALSE)</f>
        <v>8117300</v>
      </c>
      <c r="K847">
        <v>0</v>
      </c>
      <c r="L847" s="4">
        <v>4.5585849999999999</v>
      </c>
      <c r="M847" s="4">
        <v>105.406808</v>
      </c>
      <c r="N847" s="6"/>
      <c r="P847"/>
      <c r="Q847" s="12"/>
      <c r="R847" s="12"/>
    </row>
    <row r="848" spans="1:18" x14ac:dyDescent="0.2">
      <c r="A848">
        <v>8</v>
      </c>
      <c r="B848" t="s">
        <v>18</v>
      </c>
      <c r="C848">
        <v>2013</v>
      </c>
      <c r="D848">
        <v>7</v>
      </c>
      <c r="E848" s="4">
        <v>138275</v>
      </c>
      <c r="F848" s="9">
        <v>0</v>
      </c>
      <c r="G848" s="6">
        <v>12122</v>
      </c>
      <c r="H848" s="9">
        <f t="shared" si="13"/>
        <v>138275</v>
      </c>
      <c r="I848" s="6">
        <v>13091</v>
      </c>
      <c r="J848" s="6">
        <f>VLOOKUP(Table1[[#This Row],[Province]],[1]Sheet1!$A$3:$F$37,4,FALSE)</f>
        <v>8117300</v>
      </c>
      <c r="K848">
        <v>1</v>
      </c>
      <c r="L848" s="4">
        <v>4.5585849999999999</v>
      </c>
      <c r="M848" s="4">
        <v>105.406808</v>
      </c>
      <c r="N848" s="6"/>
      <c r="P848"/>
      <c r="Q848" s="12"/>
      <c r="R848" s="12"/>
    </row>
    <row r="849" spans="1:18" x14ac:dyDescent="0.2">
      <c r="A849">
        <v>8</v>
      </c>
      <c r="B849" t="s">
        <v>18</v>
      </c>
      <c r="C849">
        <v>2013</v>
      </c>
      <c r="D849">
        <v>8</v>
      </c>
      <c r="E849" s="4">
        <v>155956</v>
      </c>
      <c r="F849" s="9">
        <v>0</v>
      </c>
      <c r="G849" s="6">
        <v>4434</v>
      </c>
      <c r="H849" s="9">
        <f t="shared" si="13"/>
        <v>155956</v>
      </c>
      <c r="I849" s="6">
        <v>12000</v>
      </c>
      <c r="J849" s="6">
        <f>VLOOKUP(Table1[[#This Row],[Province]],[1]Sheet1!$A$3:$F$37,4,FALSE)</f>
        <v>8117300</v>
      </c>
      <c r="K849">
        <v>0</v>
      </c>
      <c r="L849" s="4">
        <v>4.5585849999999999</v>
      </c>
      <c r="M849" s="4">
        <v>105.406808</v>
      </c>
      <c r="N849" s="6"/>
      <c r="P849"/>
      <c r="Q849" s="12"/>
      <c r="R849" s="12"/>
    </row>
    <row r="850" spans="1:18" x14ac:dyDescent="0.2">
      <c r="A850">
        <v>8</v>
      </c>
      <c r="B850" t="s">
        <v>18</v>
      </c>
      <c r="C850">
        <v>2013</v>
      </c>
      <c r="D850">
        <v>9</v>
      </c>
      <c r="E850" s="4">
        <v>114075</v>
      </c>
      <c r="F850" s="9">
        <v>0</v>
      </c>
      <c r="G850" s="6">
        <v>9474</v>
      </c>
      <c r="H850" s="9">
        <f t="shared" si="13"/>
        <v>114075</v>
      </c>
      <c r="I850" s="6">
        <v>11833</v>
      </c>
      <c r="J850" s="6">
        <f>VLOOKUP(Table1[[#This Row],[Province]],[1]Sheet1!$A$3:$F$37,4,FALSE)</f>
        <v>8117300</v>
      </c>
      <c r="K850">
        <v>0</v>
      </c>
      <c r="L850" s="4">
        <v>4.5585849999999999</v>
      </c>
      <c r="M850" s="4">
        <v>105.406808</v>
      </c>
      <c r="N850" s="6"/>
      <c r="P850"/>
      <c r="Q850" s="12"/>
      <c r="R850" s="12"/>
    </row>
    <row r="851" spans="1:18" x14ac:dyDescent="0.2">
      <c r="A851">
        <v>8</v>
      </c>
      <c r="B851" t="s">
        <v>18</v>
      </c>
      <c r="C851">
        <v>2013</v>
      </c>
      <c r="D851">
        <v>10</v>
      </c>
      <c r="E851" s="4">
        <v>34601</v>
      </c>
      <c r="F851" s="9">
        <v>0</v>
      </c>
      <c r="G851" s="6">
        <v>7752</v>
      </c>
      <c r="H851" s="9">
        <f t="shared" si="13"/>
        <v>34601</v>
      </c>
      <c r="I851" s="6">
        <v>11929</v>
      </c>
      <c r="J851" s="6">
        <f>VLOOKUP(Table1[[#This Row],[Province]],[1]Sheet1!$A$3:$F$37,4,FALSE)</f>
        <v>8117300</v>
      </c>
      <c r="K851">
        <v>0</v>
      </c>
      <c r="L851" s="4">
        <v>4.5585849999999999</v>
      </c>
      <c r="M851" s="4">
        <v>105.406808</v>
      </c>
      <c r="N851" s="6"/>
      <c r="P851"/>
      <c r="Q851" s="12"/>
      <c r="R851" s="12"/>
    </row>
    <row r="852" spans="1:18" x14ac:dyDescent="0.2">
      <c r="A852">
        <v>8</v>
      </c>
      <c r="B852" t="s">
        <v>18</v>
      </c>
      <c r="C852">
        <v>2013</v>
      </c>
      <c r="D852">
        <v>11</v>
      </c>
      <c r="E852" s="4">
        <v>6309</v>
      </c>
      <c r="F852" s="9">
        <v>0</v>
      </c>
      <c r="G852" s="6">
        <v>5710</v>
      </c>
      <c r="H852" s="9">
        <f t="shared" si="13"/>
        <v>6309</v>
      </c>
      <c r="I852" s="6">
        <v>12000</v>
      </c>
      <c r="J852" s="6">
        <f>VLOOKUP(Table1[[#This Row],[Province]],[1]Sheet1!$A$3:$F$37,4,FALSE)</f>
        <v>8117300</v>
      </c>
      <c r="K852">
        <v>0</v>
      </c>
      <c r="L852" s="4">
        <v>4.5585849999999999</v>
      </c>
      <c r="M852" s="4">
        <v>105.406808</v>
      </c>
      <c r="N852" s="6"/>
      <c r="P852"/>
      <c r="Q852" s="12"/>
      <c r="R852" s="12"/>
    </row>
    <row r="853" spans="1:18" x14ac:dyDescent="0.2">
      <c r="A853">
        <v>8</v>
      </c>
      <c r="B853" t="s">
        <v>18</v>
      </c>
      <c r="C853">
        <v>2013</v>
      </c>
      <c r="D853">
        <v>12</v>
      </c>
      <c r="E853" s="4">
        <v>1739</v>
      </c>
      <c r="F853" s="9">
        <v>0</v>
      </c>
      <c r="G853" s="6">
        <v>7943</v>
      </c>
      <c r="H853" s="9">
        <f t="shared" si="13"/>
        <v>1739</v>
      </c>
      <c r="I853" s="6">
        <v>11883</v>
      </c>
      <c r="J853" s="6">
        <f>VLOOKUP(Table1[[#This Row],[Province]],[1]Sheet1!$A$3:$F$37,4,FALSE)</f>
        <v>8117300</v>
      </c>
      <c r="K853">
        <v>1</v>
      </c>
      <c r="L853" s="4">
        <v>4.5585849999999999</v>
      </c>
      <c r="M853" s="4">
        <v>105.406808</v>
      </c>
      <c r="N853" s="6"/>
      <c r="P853"/>
      <c r="Q853" s="12"/>
      <c r="R853" s="12"/>
    </row>
    <row r="854" spans="1:18" x14ac:dyDescent="0.2">
      <c r="A854">
        <v>8</v>
      </c>
      <c r="B854" t="s">
        <v>18</v>
      </c>
      <c r="C854">
        <v>2014</v>
      </c>
      <c r="D854">
        <v>1</v>
      </c>
      <c r="E854" s="4">
        <v>0</v>
      </c>
      <c r="F854" s="9">
        <v>0</v>
      </c>
      <c r="G854" s="6">
        <v>5543</v>
      </c>
      <c r="H854" s="9">
        <f t="shared" si="13"/>
        <v>0</v>
      </c>
      <c r="I854" s="6">
        <v>11804</v>
      </c>
      <c r="J854" s="6">
        <f>VLOOKUP(Table1[[#This Row],[Province]],[1]Sheet1!$A$3:$F$37,4,FALSE)</f>
        <v>8117300</v>
      </c>
      <c r="K854">
        <v>0</v>
      </c>
      <c r="L854" s="4">
        <v>4.5585849999999999</v>
      </c>
      <c r="M854" s="4">
        <v>105.406808</v>
      </c>
      <c r="N854" s="6"/>
      <c r="P854"/>
      <c r="Q854" s="12"/>
      <c r="R854" s="12"/>
    </row>
    <row r="855" spans="1:18" x14ac:dyDescent="0.2">
      <c r="A855">
        <v>8</v>
      </c>
      <c r="B855" t="s">
        <v>18</v>
      </c>
      <c r="C855">
        <v>2014</v>
      </c>
      <c r="D855">
        <v>2</v>
      </c>
      <c r="E855" s="4">
        <v>0</v>
      </c>
      <c r="F855" s="9">
        <v>0</v>
      </c>
      <c r="G855" s="6">
        <v>4945</v>
      </c>
      <c r="H855" s="9">
        <f t="shared" si="13"/>
        <v>0</v>
      </c>
      <c r="I855" s="6">
        <v>11383</v>
      </c>
      <c r="J855" s="6">
        <f>VLOOKUP(Table1[[#This Row],[Province]],[1]Sheet1!$A$3:$F$37,4,FALSE)</f>
        <v>8117300</v>
      </c>
      <c r="K855">
        <v>0</v>
      </c>
      <c r="L855" s="4">
        <v>4.5585849999999999</v>
      </c>
      <c r="M855" s="4">
        <v>105.406808</v>
      </c>
      <c r="N855" s="6"/>
      <c r="P855"/>
      <c r="Q855" s="12"/>
      <c r="R855" s="12"/>
    </row>
    <row r="856" spans="1:18" x14ac:dyDescent="0.2">
      <c r="A856">
        <v>8</v>
      </c>
      <c r="B856" t="s">
        <v>18</v>
      </c>
      <c r="C856">
        <v>2014</v>
      </c>
      <c r="D856">
        <v>3</v>
      </c>
      <c r="E856" s="4">
        <v>0</v>
      </c>
      <c r="F856" s="9">
        <v>0</v>
      </c>
      <c r="G856" s="6">
        <v>5552</v>
      </c>
      <c r="H856" s="9">
        <f t="shared" si="13"/>
        <v>0</v>
      </c>
      <c r="I856" s="6">
        <v>11133</v>
      </c>
      <c r="J856" s="6">
        <f>VLOOKUP(Table1[[#This Row],[Province]],[1]Sheet1!$A$3:$F$37,4,FALSE)</f>
        <v>8117300</v>
      </c>
      <c r="K856">
        <v>0</v>
      </c>
      <c r="L856" s="4">
        <v>4.5585849999999999</v>
      </c>
      <c r="M856" s="4">
        <v>105.406808</v>
      </c>
      <c r="N856" s="6"/>
      <c r="P856"/>
      <c r="Q856" s="12"/>
      <c r="R856" s="12"/>
    </row>
    <row r="857" spans="1:18" x14ac:dyDescent="0.2">
      <c r="A857">
        <v>8</v>
      </c>
      <c r="B857" t="s">
        <v>18</v>
      </c>
      <c r="C857">
        <v>2014</v>
      </c>
      <c r="D857">
        <v>4</v>
      </c>
      <c r="E857" s="4">
        <v>40742</v>
      </c>
      <c r="F857" s="9">
        <v>0</v>
      </c>
      <c r="G857" s="6">
        <v>7152</v>
      </c>
      <c r="H857" s="9">
        <f t="shared" si="13"/>
        <v>40742</v>
      </c>
      <c r="I857" s="6">
        <v>10967</v>
      </c>
      <c r="J857" s="6">
        <f>VLOOKUP(Table1[[#This Row],[Province]],[1]Sheet1!$A$3:$F$37,4,FALSE)</f>
        <v>8117300</v>
      </c>
      <c r="K857">
        <v>0</v>
      </c>
      <c r="L857" s="4">
        <v>4.5585849999999999</v>
      </c>
      <c r="M857" s="4">
        <v>105.406808</v>
      </c>
      <c r="N857" s="6"/>
      <c r="P857"/>
      <c r="Q857" s="12"/>
      <c r="R857" s="12"/>
    </row>
    <row r="858" spans="1:18" x14ac:dyDescent="0.2">
      <c r="A858">
        <v>8</v>
      </c>
      <c r="B858" t="s">
        <v>18</v>
      </c>
      <c r="C858">
        <v>2014</v>
      </c>
      <c r="D858">
        <v>5</v>
      </c>
      <c r="E858" s="4">
        <v>128038</v>
      </c>
      <c r="F858" s="9">
        <v>0</v>
      </c>
      <c r="G858" s="6">
        <v>8010</v>
      </c>
      <c r="H858" s="9">
        <f t="shared" si="13"/>
        <v>128038</v>
      </c>
      <c r="I858" s="6">
        <v>10611</v>
      </c>
      <c r="J858" s="6">
        <f>VLOOKUP(Table1[[#This Row],[Province]],[1]Sheet1!$A$3:$F$37,4,FALSE)</f>
        <v>8117300</v>
      </c>
      <c r="K858">
        <v>0</v>
      </c>
      <c r="L858" s="4">
        <v>4.5585849999999999</v>
      </c>
      <c r="M858" s="4">
        <v>105.406808</v>
      </c>
      <c r="N858" s="6"/>
      <c r="P858"/>
      <c r="Q858" s="12"/>
      <c r="R858" s="12"/>
    </row>
    <row r="859" spans="1:18" x14ac:dyDescent="0.2">
      <c r="A859">
        <v>8</v>
      </c>
      <c r="B859" t="s">
        <v>18</v>
      </c>
      <c r="C859">
        <v>2014</v>
      </c>
      <c r="D859">
        <v>6</v>
      </c>
      <c r="E859" s="4">
        <v>130172</v>
      </c>
      <c r="F859" s="9">
        <v>0</v>
      </c>
      <c r="G859" s="6">
        <v>11400</v>
      </c>
      <c r="H859" s="9">
        <f t="shared" si="13"/>
        <v>130172</v>
      </c>
      <c r="I859" s="6">
        <v>10444</v>
      </c>
      <c r="J859" s="6">
        <f>VLOOKUP(Table1[[#This Row],[Province]],[1]Sheet1!$A$3:$F$37,4,FALSE)</f>
        <v>8117300</v>
      </c>
      <c r="K859">
        <v>1</v>
      </c>
      <c r="L859" s="4">
        <v>4.5585849999999999</v>
      </c>
      <c r="M859" s="4">
        <v>105.406808</v>
      </c>
      <c r="N859" s="6"/>
      <c r="P859"/>
      <c r="Q859" s="12"/>
      <c r="R859" s="12"/>
    </row>
    <row r="860" spans="1:18" x14ac:dyDescent="0.2">
      <c r="A860">
        <v>8</v>
      </c>
      <c r="B860" t="s">
        <v>18</v>
      </c>
      <c r="C860">
        <v>2014</v>
      </c>
      <c r="D860">
        <v>7</v>
      </c>
      <c r="E860" s="4">
        <v>143945</v>
      </c>
      <c r="F860" s="9">
        <v>0</v>
      </c>
      <c r="G860" s="6">
        <v>7152</v>
      </c>
      <c r="H860" s="9">
        <f t="shared" si="13"/>
        <v>143945</v>
      </c>
      <c r="I860" s="6">
        <v>10222</v>
      </c>
      <c r="J860" s="6">
        <f>VLOOKUP(Table1[[#This Row],[Province]],[1]Sheet1!$A$3:$F$37,4,FALSE)</f>
        <v>8117300</v>
      </c>
      <c r="K860">
        <v>0</v>
      </c>
      <c r="L860" s="4">
        <v>4.5585849999999999</v>
      </c>
      <c r="M860" s="4">
        <v>105.406808</v>
      </c>
      <c r="N860" s="6"/>
      <c r="P860"/>
      <c r="Q860" s="12"/>
      <c r="R860" s="12"/>
    </row>
    <row r="861" spans="1:18" x14ac:dyDescent="0.2">
      <c r="A861">
        <v>8</v>
      </c>
      <c r="B861" t="s">
        <v>18</v>
      </c>
      <c r="C861">
        <v>2014</v>
      </c>
      <c r="D861">
        <v>8</v>
      </c>
      <c r="E861" s="4">
        <v>154759</v>
      </c>
      <c r="F861" s="9">
        <v>0</v>
      </c>
      <c r="G861" s="6">
        <v>6894</v>
      </c>
      <c r="H861" s="9">
        <f t="shared" si="13"/>
        <v>154759</v>
      </c>
      <c r="I861" s="6">
        <v>10042</v>
      </c>
      <c r="J861" s="6">
        <f>VLOOKUP(Table1[[#This Row],[Province]],[1]Sheet1!$A$3:$F$37,4,FALSE)</f>
        <v>8117300</v>
      </c>
      <c r="K861">
        <v>0</v>
      </c>
      <c r="L861" s="4">
        <v>4.5585849999999999</v>
      </c>
      <c r="M861" s="4">
        <v>105.406808</v>
      </c>
      <c r="N861" s="6"/>
      <c r="P861"/>
      <c r="Q861" s="12"/>
      <c r="R861" s="12"/>
    </row>
    <row r="862" spans="1:18" x14ac:dyDescent="0.2">
      <c r="A862">
        <v>8</v>
      </c>
      <c r="B862" t="s">
        <v>18</v>
      </c>
      <c r="C862">
        <v>2014</v>
      </c>
      <c r="D862">
        <v>9</v>
      </c>
      <c r="E862" s="4">
        <v>122611</v>
      </c>
      <c r="F862" s="9">
        <v>0</v>
      </c>
      <c r="G862" s="6">
        <v>6939</v>
      </c>
      <c r="H862" s="9">
        <f t="shared" si="13"/>
        <v>122611</v>
      </c>
      <c r="I862" s="6">
        <v>10000</v>
      </c>
      <c r="J862" s="6">
        <f>VLOOKUP(Table1[[#This Row],[Province]],[1]Sheet1!$A$3:$F$37,4,FALSE)</f>
        <v>8117300</v>
      </c>
      <c r="K862">
        <v>0</v>
      </c>
      <c r="L862" s="4">
        <v>4.5585849999999999</v>
      </c>
      <c r="M862" s="4">
        <v>105.406808</v>
      </c>
      <c r="N862" s="6"/>
      <c r="P862"/>
      <c r="Q862" s="12"/>
      <c r="R862" s="12"/>
    </row>
    <row r="863" spans="1:18" x14ac:dyDescent="0.2">
      <c r="A863">
        <v>8</v>
      </c>
      <c r="B863" t="s">
        <v>18</v>
      </c>
      <c r="C863">
        <v>2014</v>
      </c>
      <c r="D863">
        <v>10</v>
      </c>
      <c r="E863" s="4">
        <v>28978</v>
      </c>
      <c r="F863" s="9">
        <v>0</v>
      </c>
      <c r="G863" s="6">
        <v>10294</v>
      </c>
      <c r="H863" s="9">
        <f t="shared" si="13"/>
        <v>28978</v>
      </c>
      <c r="I863" s="6">
        <v>10000</v>
      </c>
      <c r="J863" s="6">
        <f>VLOOKUP(Table1[[#This Row],[Province]],[1]Sheet1!$A$3:$F$37,4,FALSE)</f>
        <v>8117300</v>
      </c>
      <c r="K863">
        <v>0</v>
      </c>
      <c r="L863" s="4">
        <v>4.5585849999999999</v>
      </c>
      <c r="M863" s="4">
        <v>105.406808</v>
      </c>
      <c r="N863" s="6"/>
      <c r="P863"/>
      <c r="Q863" s="12"/>
      <c r="R863" s="12"/>
    </row>
    <row r="864" spans="1:18" x14ac:dyDescent="0.2">
      <c r="A864">
        <v>8</v>
      </c>
      <c r="B864" t="s">
        <v>18</v>
      </c>
      <c r="C864">
        <v>2014</v>
      </c>
      <c r="D864">
        <v>11</v>
      </c>
      <c r="E864" s="4">
        <v>0</v>
      </c>
      <c r="F864" s="9">
        <v>0</v>
      </c>
      <c r="G864" s="6">
        <v>8214</v>
      </c>
      <c r="H864" s="9">
        <f t="shared" si="13"/>
        <v>0</v>
      </c>
      <c r="I864" s="6">
        <v>10216</v>
      </c>
      <c r="J864" s="6">
        <f>VLOOKUP(Table1[[#This Row],[Province]],[1]Sheet1!$A$3:$F$37,4,FALSE)</f>
        <v>8117300</v>
      </c>
      <c r="K864">
        <v>0</v>
      </c>
      <c r="L864" s="4">
        <v>4.5585849999999999</v>
      </c>
      <c r="M864" s="4">
        <v>105.406808</v>
      </c>
      <c r="N864" s="6"/>
      <c r="P864"/>
      <c r="Q864" s="12"/>
      <c r="R864" s="12"/>
    </row>
    <row r="865" spans="1:18" x14ac:dyDescent="0.2">
      <c r="A865">
        <v>8</v>
      </c>
      <c r="B865" t="s">
        <v>18</v>
      </c>
      <c r="C865">
        <v>2014</v>
      </c>
      <c r="D865">
        <v>12</v>
      </c>
      <c r="E865" s="4">
        <v>0</v>
      </c>
      <c r="F865" s="9">
        <v>0</v>
      </c>
      <c r="G865" s="6">
        <v>9578</v>
      </c>
      <c r="H865" s="9">
        <f t="shared" si="13"/>
        <v>0</v>
      </c>
      <c r="I865" s="6">
        <v>10285</v>
      </c>
      <c r="J865" s="6">
        <f>VLOOKUP(Table1[[#This Row],[Province]],[1]Sheet1!$A$3:$F$37,4,FALSE)</f>
        <v>8117300</v>
      </c>
      <c r="K865">
        <v>1</v>
      </c>
      <c r="L865" s="4">
        <v>4.5585849999999999</v>
      </c>
      <c r="M865" s="4">
        <v>105.406808</v>
      </c>
      <c r="N865" s="6"/>
      <c r="P865"/>
      <c r="Q865" s="12"/>
      <c r="R865" s="12"/>
    </row>
    <row r="866" spans="1:18" x14ac:dyDescent="0.2">
      <c r="A866">
        <v>8</v>
      </c>
      <c r="B866" t="s">
        <v>18</v>
      </c>
      <c r="C866">
        <v>2015</v>
      </c>
      <c r="D866">
        <v>1</v>
      </c>
      <c r="E866" s="4">
        <v>0</v>
      </c>
      <c r="F866" s="9">
        <v>0</v>
      </c>
      <c r="G866" s="6">
        <v>4708</v>
      </c>
      <c r="H866" s="9">
        <f t="shared" si="13"/>
        <v>0</v>
      </c>
      <c r="I866" s="6">
        <v>10111</v>
      </c>
      <c r="J866" s="6">
        <f>VLOOKUP(Table1[[#This Row],[Province]],[1]Sheet1!$A$3:$F$37,4,FALSE)</f>
        <v>8117300</v>
      </c>
      <c r="K866">
        <v>0</v>
      </c>
      <c r="L866" s="4">
        <v>4.5585849999999999</v>
      </c>
      <c r="M866" s="4">
        <v>105.406808</v>
      </c>
      <c r="N866" s="6"/>
      <c r="P866"/>
      <c r="Q866" s="12"/>
      <c r="R866" s="12"/>
    </row>
    <row r="867" spans="1:18" x14ac:dyDescent="0.2">
      <c r="A867">
        <v>8</v>
      </c>
      <c r="B867" t="s">
        <v>18</v>
      </c>
      <c r="C867">
        <v>2015</v>
      </c>
      <c r="D867">
        <v>2</v>
      </c>
      <c r="E867" s="4">
        <v>0</v>
      </c>
      <c r="F867" s="9">
        <v>0</v>
      </c>
      <c r="G867" s="6">
        <v>11874</v>
      </c>
      <c r="H867" s="9">
        <f t="shared" si="13"/>
        <v>0</v>
      </c>
      <c r="I867" s="6">
        <v>10070</v>
      </c>
      <c r="J867" s="6">
        <f>VLOOKUP(Table1[[#This Row],[Province]],[1]Sheet1!$A$3:$F$37,4,FALSE)</f>
        <v>8117300</v>
      </c>
      <c r="K867">
        <v>0</v>
      </c>
      <c r="L867" s="4">
        <v>4.5585849999999999</v>
      </c>
      <c r="M867" s="4">
        <v>105.406808</v>
      </c>
      <c r="N867" s="6"/>
      <c r="P867"/>
      <c r="Q867" s="12"/>
      <c r="R867" s="12"/>
    </row>
    <row r="868" spans="1:18" x14ac:dyDescent="0.2">
      <c r="A868">
        <v>8</v>
      </c>
      <c r="B868" t="s">
        <v>18</v>
      </c>
      <c r="C868">
        <v>2015</v>
      </c>
      <c r="D868">
        <v>3</v>
      </c>
      <c r="E868" s="4">
        <v>0</v>
      </c>
      <c r="F868" s="9">
        <v>0</v>
      </c>
      <c r="G868" s="6">
        <v>5388</v>
      </c>
      <c r="H868" s="9">
        <f t="shared" si="13"/>
        <v>0</v>
      </c>
      <c r="I868" s="6">
        <v>10212</v>
      </c>
      <c r="J868" s="6">
        <f>VLOOKUP(Table1[[#This Row],[Province]],[1]Sheet1!$A$3:$F$37,4,FALSE)</f>
        <v>8117300</v>
      </c>
      <c r="K868">
        <v>0</v>
      </c>
      <c r="L868" s="4">
        <v>4.5585849999999999</v>
      </c>
      <c r="M868" s="4">
        <v>105.406808</v>
      </c>
      <c r="N868" s="6"/>
      <c r="P868"/>
      <c r="Q868" s="12"/>
      <c r="R868" s="12"/>
    </row>
    <row r="869" spans="1:18" x14ac:dyDescent="0.2">
      <c r="A869">
        <v>8</v>
      </c>
      <c r="B869" t="s">
        <v>18</v>
      </c>
      <c r="C869">
        <v>2015</v>
      </c>
      <c r="D869">
        <v>4</v>
      </c>
      <c r="E869" s="4">
        <v>24998</v>
      </c>
      <c r="F869" s="9">
        <v>0</v>
      </c>
      <c r="G869" s="6">
        <v>8925</v>
      </c>
      <c r="H869" s="9">
        <f t="shared" si="13"/>
        <v>24998</v>
      </c>
      <c r="I869" s="6">
        <v>11270</v>
      </c>
      <c r="J869" s="6">
        <f>VLOOKUP(Table1[[#This Row],[Province]],[1]Sheet1!$A$3:$F$37,4,FALSE)</f>
        <v>8117300</v>
      </c>
      <c r="K869">
        <v>0</v>
      </c>
      <c r="L869" s="4">
        <v>4.5585849999999999</v>
      </c>
      <c r="M869" s="4">
        <v>105.406808</v>
      </c>
      <c r="N869" s="6"/>
      <c r="P869"/>
      <c r="Q869" s="12"/>
      <c r="R869" s="12"/>
    </row>
    <row r="870" spans="1:18" x14ac:dyDescent="0.2">
      <c r="A870">
        <v>8</v>
      </c>
      <c r="B870" t="s">
        <v>18</v>
      </c>
      <c r="C870">
        <v>2015</v>
      </c>
      <c r="D870">
        <v>5</v>
      </c>
      <c r="E870" s="4">
        <v>103203</v>
      </c>
      <c r="F870" s="9">
        <v>0</v>
      </c>
      <c r="G870" s="6">
        <v>8552</v>
      </c>
      <c r="H870" s="9">
        <f t="shared" si="13"/>
        <v>103203</v>
      </c>
      <c r="I870" s="6">
        <v>11868</v>
      </c>
      <c r="J870" s="6">
        <f>VLOOKUP(Table1[[#This Row],[Province]],[1]Sheet1!$A$3:$F$37,4,FALSE)</f>
        <v>8117300</v>
      </c>
      <c r="K870">
        <v>0</v>
      </c>
      <c r="L870" s="4">
        <v>4.5585849999999999</v>
      </c>
      <c r="M870" s="4">
        <v>105.406808</v>
      </c>
      <c r="N870" s="6"/>
      <c r="P870"/>
      <c r="Q870" s="12"/>
      <c r="R870" s="12"/>
    </row>
    <row r="871" spans="1:18" x14ac:dyDescent="0.2">
      <c r="A871">
        <v>8</v>
      </c>
      <c r="B871" t="s">
        <v>18</v>
      </c>
      <c r="C871">
        <v>2015</v>
      </c>
      <c r="D871">
        <v>6</v>
      </c>
      <c r="E871" s="4">
        <v>117576</v>
      </c>
      <c r="F871" s="9">
        <v>0</v>
      </c>
      <c r="G871" s="6">
        <v>9719</v>
      </c>
      <c r="H871" s="9">
        <f t="shared" si="13"/>
        <v>117576</v>
      </c>
      <c r="I871" s="6">
        <v>12119</v>
      </c>
      <c r="J871" s="6">
        <f>VLOOKUP(Table1[[#This Row],[Province]],[1]Sheet1!$A$3:$F$37,4,FALSE)</f>
        <v>8117300</v>
      </c>
      <c r="K871">
        <v>1</v>
      </c>
      <c r="L871" s="4">
        <v>4.5585849999999999</v>
      </c>
      <c r="M871" s="4">
        <v>105.406808</v>
      </c>
      <c r="N871" s="6"/>
      <c r="P871"/>
      <c r="Q871" s="12"/>
      <c r="R871" s="12"/>
    </row>
    <row r="872" spans="1:18" x14ac:dyDescent="0.2">
      <c r="A872">
        <v>8</v>
      </c>
      <c r="B872" t="s">
        <v>18</v>
      </c>
      <c r="C872">
        <v>2015</v>
      </c>
      <c r="D872">
        <v>7</v>
      </c>
      <c r="E872" s="4">
        <v>138564</v>
      </c>
      <c r="F872" s="9">
        <v>0</v>
      </c>
      <c r="G872" s="6">
        <v>6634</v>
      </c>
      <c r="H872" s="9">
        <f t="shared" si="13"/>
        <v>138564</v>
      </c>
      <c r="I872" s="6">
        <v>11465</v>
      </c>
      <c r="J872" s="6">
        <f>VLOOKUP(Table1[[#This Row],[Province]],[1]Sheet1!$A$3:$F$37,4,FALSE)</f>
        <v>8117300</v>
      </c>
      <c r="K872">
        <v>0</v>
      </c>
      <c r="L872" s="4">
        <v>4.5585849999999999</v>
      </c>
      <c r="M872" s="4">
        <v>105.406808</v>
      </c>
      <c r="N872" s="6"/>
      <c r="P872"/>
      <c r="Q872" s="12"/>
      <c r="R872" s="12"/>
    </row>
    <row r="873" spans="1:18" x14ac:dyDescent="0.2">
      <c r="A873">
        <v>8</v>
      </c>
      <c r="B873" t="s">
        <v>18</v>
      </c>
      <c r="C873">
        <v>2015</v>
      </c>
      <c r="D873">
        <v>8</v>
      </c>
      <c r="E873" s="4">
        <v>182957</v>
      </c>
      <c r="F873" s="9">
        <v>0</v>
      </c>
      <c r="G873" s="6">
        <v>6566</v>
      </c>
      <c r="H873" s="9">
        <f t="shared" si="13"/>
        <v>182957</v>
      </c>
      <c r="I873" s="6">
        <v>11817</v>
      </c>
      <c r="J873" s="6">
        <f>VLOOKUP(Table1[[#This Row],[Province]],[1]Sheet1!$A$3:$F$37,4,FALSE)</f>
        <v>8117300</v>
      </c>
      <c r="K873">
        <v>0</v>
      </c>
      <c r="L873" s="4">
        <v>4.5585849999999999</v>
      </c>
      <c r="M873" s="4">
        <v>105.406808</v>
      </c>
      <c r="N873" s="6"/>
      <c r="P873"/>
      <c r="Q873" s="12"/>
      <c r="R873" s="12"/>
    </row>
    <row r="874" spans="1:18" x14ac:dyDescent="0.2">
      <c r="A874">
        <v>8</v>
      </c>
      <c r="B874" t="s">
        <v>18</v>
      </c>
      <c r="C874">
        <v>2015</v>
      </c>
      <c r="D874">
        <v>9</v>
      </c>
      <c r="E874" s="4">
        <v>138786</v>
      </c>
      <c r="F874" s="9">
        <v>0</v>
      </c>
      <c r="G874" s="6">
        <v>8812</v>
      </c>
      <c r="H874" s="9">
        <f t="shared" si="13"/>
        <v>138786</v>
      </c>
      <c r="I874" s="6">
        <v>11452</v>
      </c>
      <c r="J874" s="6">
        <f>VLOOKUP(Table1[[#This Row],[Province]],[1]Sheet1!$A$3:$F$37,4,FALSE)</f>
        <v>8117300</v>
      </c>
      <c r="K874">
        <v>0</v>
      </c>
      <c r="L874" s="4">
        <v>4.5585849999999999</v>
      </c>
      <c r="M874" s="4">
        <v>105.406808</v>
      </c>
      <c r="N874" s="6"/>
      <c r="P874"/>
      <c r="Q874" s="12"/>
      <c r="R874" s="12"/>
    </row>
    <row r="875" spans="1:18" x14ac:dyDescent="0.2">
      <c r="A875">
        <v>8</v>
      </c>
      <c r="B875" t="s">
        <v>18</v>
      </c>
      <c r="C875">
        <v>2015</v>
      </c>
      <c r="D875">
        <v>10</v>
      </c>
      <c r="E875" s="4">
        <v>45161</v>
      </c>
      <c r="F875" s="9">
        <v>0</v>
      </c>
      <c r="G875" s="6">
        <v>5873</v>
      </c>
      <c r="H875" s="9">
        <f t="shared" si="13"/>
        <v>45161</v>
      </c>
      <c r="I875" s="6">
        <v>11563</v>
      </c>
      <c r="J875" s="6">
        <f>VLOOKUP(Table1[[#This Row],[Province]],[1]Sheet1!$A$3:$F$37,4,FALSE)</f>
        <v>8117300</v>
      </c>
      <c r="K875">
        <v>0</v>
      </c>
      <c r="L875" s="4">
        <v>4.5585849999999999</v>
      </c>
      <c r="M875" s="4">
        <v>105.406808</v>
      </c>
      <c r="N875" s="6"/>
      <c r="P875"/>
      <c r="Q875" s="12"/>
      <c r="R875" s="12"/>
    </row>
    <row r="876" spans="1:18" x14ac:dyDescent="0.2">
      <c r="A876">
        <v>8</v>
      </c>
      <c r="B876" t="s">
        <v>18</v>
      </c>
      <c r="C876">
        <v>2015</v>
      </c>
      <c r="D876">
        <v>11</v>
      </c>
      <c r="E876" s="4">
        <v>5301</v>
      </c>
      <c r="F876" s="9">
        <v>0</v>
      </c>
      <c r="G876" s="6">
        <v>7745</v>
      </c>
      <c r="H876" s="9">
        <f t="shared" si="13"/>
        <v>5301</v>
      </c>
      <c r="I876" s="6">
        <v>11452</v>
      </c>
      <c r="J876" s="6">
        <f>VLOOKUP(Table1[[#This Row],[Province]],[1]Sheet1!$A$3:$F$37,4,FALSE)</f>
        <v>8117300</v>
      </c>
      <c r="K876">
        <v>0</v>
      </c>
      <c r="L876" s="4">
        <v>4.5585849999999999</v>
      </c>
      <c r="M876" s="4">
        <v>105.406808</v>
      </c>
      <c r="N876" s="6"/>
      <c r="P876"/>
      <c r="Q876" s="12"/>
      <c r="R876" s="12"/>
    </row>
    <row r="877" spans="1:18" x14ac:dyDescent="0.2">
      <c r="A877">
        <v>8</v>
      </c>
      <c r="B877" t="s">
        <v>18</v>
      </c>
      <c r="C877">
        <v>2015</v>
      </c>
      <c r="D877">
        <v>12</v>
      </c>
      <c r="E877" s="4">
        <v>0</v>
      </c>
      <c r="F877" s="9">
        <v>0</v>
      </c>
      <c r="G877" s="6">
        <v>8302</v>
      </c>
      <c r="H877" s="9">
        <f t="shared" si="13"/>
        <v>0</v>
      </c>
      <c r="I877" s="6">
        <v>11942</v>
      </c>
      <c r="J877" s="6">
        <f>VLOOKUP(Table1[[#This Row],[Province]],[1]Sheet1!$A$3:$F$37,4,FALSE)</f>
        <v>8117300</v>
      </c>
      <c r="K877">
        <v>1</v>
      </c>
      <c r="L877" s="4">
        <v>4.5585849999999999</v>
      </c>
      <c r="M877" s="4">
        <v>105.406808</v>
      </c>
      <c r="N877" s="6"/>
      <c r="P877"/>
      <c r="Q877" s="12"/>
      <c r="R877" s="12"/>
    </row>
    <row r="878" spans="1:18" x14ac:dyDescent="0.2">
      <c r="A878">
        <v>8</v>
      </c>
      <c r="B878" t="s">
        <v>18</v>
      </c>
      <c r="C878">
        <v>2016</v>
      </c>
      <c r="D878">
        <v>1</v>
      </c>
      <c r="E878" s="4">
        <v>0</v>
      </c>
      <c r="F878" s="9">
        <v>0</v>
      </c>
      <c r="G878" s="6">
        <v>6415</v>
      </c>
      <c r="H878" s="9">
        <f t="shared" si="13"/>
        <v>0</v>
      </c>
      <c r="I878" s="6">
        <v>12413</v>
      </c>
      <c r="J878" s="6">
        <f>VLOOKUP(Table1[[#This Row],[Province]],[1]Sheet1!$A$3:$F$37,4,FALSE)</f>
        <v>8117300</v>
      </c>
      <c r="K878">
        <v>0</v>
      </c>
      <c r="L878" s="4">
        <v>4.5585849999999999</v>
      </c>
      <c r="M878" s="4">
        <v>105.406808</v>
      </c>
      <c r="N878" s="13">
        <v>5.14</v>
      </c>
      <c r="P878"/>
      <c r="Q878" s="12"/>
      <c r="R878" s="12"/>
    </row>
    <row r="879" spans="1:18" x14ac:dyDescent="0.2">
      <c r="A879">
        <v>8</v>
      </c>
      <c r="B879" t="s">
        <v>18</v>
      </c>
      <c r="C879">
        <v>2016</v>
      </c>
      <c r="D879">
        <v>2</v>
      </c>
      <c r="E879" s="4">
        <v>0</v>
      </c>
      <c r="F879" s="9">
        <v>0</v>
      </c>
      <c r="G879" s="6">
        <v>4346</v>
      </c>
      <c r="H879" s="9">
        <f t="shared" si="13"/>
        <v>0</v>
      </c>
      <c r="I879" s="6">
        <v>12485</v>
      </c>
      <c r="J879" s="6">
        <f>VLOOKUP(Table1[[#This Row],[Province]],[1]Sheet1!$A$3:$F$37,4,FALSE)</f>
        <v>8117300</v>
      </c>
      <c r="K879">
        <v>0</v>
      </c>
      <c r="L879" s="4">
        <v>4.5585849999999999</v>
      </c>
      <c r="M879" s="4">
        <v>105.406808</v>
      </c>
      <c r="N879" s="13">
        <v>5.14</v>
      </c>
      <c r="P879"/>
      <c r="Q879" s="12"/>
      <c r="R879" s="12"/>
    </row>
    <row r="880" spans="1:18" x14ac:dyDescent="0.2">
      <c r="A880">
        <v>8</v>
      </c>
      <c r="B880" t="s">
        <v>18</v>
      </c>
      <c r="C880">
        <v>2016</v>
      </c>
      <c r="D880">
        <v>3</v>
      </c>
      <c r="E880" s="4">
        <v>0</v>
      </c>
      <c r="F880" s="9">
        <v>0</v>
      </c>
      <c r="G880" s="6">
        <v>6223</v>
      </c>
      <c r="H880" s="9">
        <f t="shared" si="13"/>
        <v>0</v>
      </c>
      <c r="I880" s="6">
        <v>12381</v>
      </c>
      <c r="J880" s="6">
        <f>VLOOKUP(Table1[[#This Row],[Province]],[1]Sheet1!$A$3:$F$37,4,FALSE)</f>
        <v>8117300</v>
      </c>
      <c r="K880">
        <v>0</v>
      </c>
      <c r="L880" s="4">
        <v>4.5585849999999999</v>
      </c>
      <c r="M880" s="4">
        <v>105.406808</v>
      </c>
      <c r="N880" s="13">
        <v>5.14</v>
      </c>
      <c r="P880"/>
      <c r="Q880" s="12"/>
      <c r="R880" s="12"/>
    </row>
    <row r="881" spans="1:18" x14ac:dyDescent="0.2">
      <c r="A881">
        <v>8</v>
      </c>
      <c r="B881" t="s">
        <v>18</v>
      </c>
      <c r="C881">
        <v>2016</v>
      </c>
      <c r="D881">
        <v>4</v>
      </c>
      <c r="E881" s="4">
        <v>27560</v>
      </c>
      <c r="F881" s="9">
        <v>0</v>
      </c>
      <c r="G881" s="6">
        <v>772</v>
      </c>
      <c r="H881" s="9">
        <f t="shared" si="13"/>
        <v>27560</v>
      </c>
      <c r="I881" s="6">
        <v>12516</v>
      </c>
      <c r="J881" s="6">
        <f>VLOOKUP(Table1[[#This Row],[Province]],[1]Sheet1!$A$3:$F$37,4,FALSE)</f>
        <v>8117300</v>
      </c>
      <c r="K881">
        <v>0</v>
      </c>
      <c r="L881" s="4">
        <v>4.5585849999999999</v>
      </c>
      <c r="M881" s="4">
        <v>105.406808</v>
      </c>
      <c r="N881" s="13">
        <v>5.14</v>
      </c>
      <c r="P881"/>
      <c r="Q881" s="12"/>
      <c r="R881" s="12"/>
    </row>
    <row r="882" spans="1:18" x14ac:dyDescent="0.2">
      <c r="A882">
        <v>8</v>
      </c>
      <c r="B882" t="s">
        <v>18</v>
      </c>
      <c r="C882">
        <v>2016</v>
      </c>
      <c r="D882">
        <v>5</v>
      </c>
      <c r="E882" s="4">
        <v>88085</v>
      </c>
      <c r="F882" s="9">
        <v>0</v>
      </c>
      <c r="G882" s="6">
        <v>9183</v>
      </c>
      <c r="H882" s="9">
        <f t="shared" si="13"/>
        <v>88085</v>
      </c>
      <c r="I882" s="6">
        <v>13783</v>
      </c>
      <c r="J882" s="6">
        <f>VLOOKUP(Table1[[#This Row],[Province]],[1]Sheet1!$A$3:$F$37,4,FALSE)</f>
        <v>8117300</v>
      </c>
      <c r="K882">
        <v>0</v>
      </c>
      <c r="L882" s="4">
        <v>4.5585849999999999</v>
      </c>
      <c r="M882" s="4">
        <v>105.406808</v>
      </c>
      <c r="N882" s="13">
        <v>5.14</v>
      </c>
      <c r="P882"/>
      <c r="Q882" s="12"/>
      <c r="R882" s="12"/>
    </row>
    <row r="883" spans="1:18" x14ac:dyDescent="0.2">
      <c r="A883">
        <v>8</v>
      </c>
      <c r="B883" t="s">
        <v>18</v>
      </c>
      <c r="C883">
        <v>2016</v>
      </c>
      <c r="D883">
        <v>6</v>
      </c>
      <c r="E883" s="4">
        <v>107758</v>
      </c>
      <c r="F883" s="9">
        <v>0</v>
      </c>
      <c r="G883" s="6">
        <v>8427</v>
      </c>
      <c r="H883" s="9">
        <f t="shared" si="13"/>
        <v>107758</v>
      </c>
      <c r="I883" s="6">
        <v>14508</v>
      </c>
      <c r="J883" s="6">
        <f>VLOOKUP(Table1[[#This Row],[Province]],[1]Sheet1!$A$3:$F$37,4,FALSE)</f>
        <v>8117300</v>
      </c>
      <c r="K883">
        <v>1</v>
      </c>
      <c r="L883" s="4">
        <v>4.5585849999999999</v>
      </c>
      <c r="M883" s="4">
        <v>105.406808</v>
      </c>
      <c r="N883" s="13">
        <v>5.14</v>
      </c>
      <c r="P883"/>
      <c r="Q883" s="12"/>
      <c r="R883" s="12"/>
    </row>
    <row r="884" spans="1:18" x14ac:dyDescent="0.2">
      <c r="A884">
        <v>8</v>
      </c>
      <c r="B884" t="s">
        <v>18</v>
      </c>
      <c r="C884">
        <v>2016</v>
      </c>
      <c r="D884">
        <v>7</v>
      </c>
      <c r="E884" s="4">
        <v>117615</v>
      </c>
      <c r="F884" s="9">
        <v>0</v>
      </c>
      <c r="G884" s="6">
        <v>8041</v>
      </c>
      <c r="H884" s="9">
        <f t="shared" si="13"/>
        <v>117615</v>
      </c>
      <c r="I884" s="6">
        <v>14708</v>
      </c>
      <c r="J884" s="6">
        <f>VLOOKUP(Table1[[#This Row],[Province]],[1]Sheet1!$A$3:$F$37,4,FALSE)</f>
        <v>8117300</v>
      </c>
      <c r="K884">
        <v>0</v>
      </c>
      <c r="L884" s="4">
        <v>4.5585849999999999</v>
      </c>
      <c r="M884" s="4">
        <v>105.406808</v>
      </c>
      <c r="N884" s="13">
        <v>5.14</v>
      </c>
      <c r="P884"/>
      <c r="Q884" s="12"/>
      <c r="R884" s="12"/>
    </row>
    <row r="885" spans="1:18" x14ac:dyDescent="0.2">
      <c r="A885">
        <v>8</v>
      </c>
      <c r="B885" t="s">
        <v>18</v>
      </c>
      <c r="C885">
        <v>2016</v>
      </c>
      <c r="D885">
        <v>8</v>
      </c>
      <c r="E885" s="4">
        <v>166213</v>
      </c>
      <c r="F885" s="9">
        <v>0</v>
      </c>
      <c r="G885" s="6">
        <v>7946</v>
      </c>
      <c r="H885" s="9">
        <f t="shared" si="13"/>
        <v>166213</v>
      </c>
      <c r="I885" s="6">
        <v>14386</v>
      </c>
      <c r="J885" s="6">
        <f>VLOOKUP(Table1[[#This Row],[Province]],[1]Sheet1!$A$3:$F$37,4,FALSE)</f>
        <v>8117300</v>
      </c>
      <c r="K885">
        <v>0</v>
      </c>
      <c r="L885" s="4">
        <v>4.5585849999999999</v>
      </c>
      <c r="M885" s="4">
        <v>105.406808</v>
      </c>
      <c r="N885" s="13">
        <v>5.14</v>
      </c>
      <c r="P885"/>
      <c r="Q885" s="12"/>
      <c r="R885" s="12"/>
    </row>
    <row r="886" spans="1:18" x14ac:dyDescent="0.2">
      <c r="A886">
        <v>8</v>
      </c>
      <c r="B886" t="s">
        <v>18</v>
      </c>
      <c r="C886">
        <v>2016</v>
      </c>
      <c r="D886">
        <v>9</v>
      </c>
      <c r="E886" s="4">
        <v>118209</v>
      </c>
      <c r="F886" s="9">
        <v>0</v>
      </c>
      <c r="G886" s="6">
        <v>3071</v>
      </c>
      <c r="H886" s="9">
        <f t="shared" si="13"/>
        <v>118209</v>
      </c>
      <c r="I886" s="6">
        <v>14174</v>
      </c>
      <c r="J886" s="6">
        <f>VLOOKUP(Table1[[#This Row],[Province]],[1]Sheet1!$A$3:$F$37,4,FALSE)</f>
        <v>8117300</v>
      </c>
      <c r="K886">
        <v>0</v>
      </c>
      <c r="L886" s="4">
        <v>4.5585849999999999</v>
      </c>
      <c r="M886" s="4">
        <v>105.406808</v>
      </c>
      <c r="N886" s="13">
        <v>5.14</v>
      </c>
      <c r="P886"/>
      <c r="Q886" s="12"/>
      <c r="R886" s="12"/>
    </row>
    <row r="887" spans="1:18" x14ac:dyDescent="0.2">
      <c r="A887">
        <v>8</v>
      </c>
      <c r="B887" t="s">
        <v>18</v>
      </c>
      <c r="C887">
        <v>2016</v>
      </c>
      <c r="D887">
        <v>10</v>
      </c>
      <c r="E887" s="4">
        <v>37264</v>
      </c>
      <c r="F887" s="9">
        <v>0</v>
      </c>
      <c r="G887" s="6">
        <v>13415</v>
      </c>
      <c r="H887" s="9">
        <f t="shared" si="13"/>
        <v>37264</v>
      </c>
      <c r="I887" s="6">
        <v>14063</v>
      </c>
      <c r="J887" s="6">
        <f>VLOOKUP(Table1[[#This Row],[Province]],[1]Sheet1!$A$3:$F$37,4,FALSE)</f>
        <v>8117300</v>
      </c>
      <c r="K887">
        <v>0</v>
      </c>
      <c r="L887" s="4">
        <v>4.5585849999999999</v>
      </c>
      <c r="M887" s="4">
        <v>105.406808</v>
      </c>
      <c r="N887" s="13">
        <v>5.14</v>
      </c>
      <c r="P887"/>
      <c r="Q887" s="12"/>
      <c r="R887" s="12"/>
    </row>
    <row r="888" spans="1:18" x14ac:dyDescent="0.2">
      <c r="A888">
        <v>8</v>
      </c>
      <c r="B888" t="s">
        <v>18</v>
      </c>
      <c r="C888">
        <v>2016</v>
      </c>
      <c r="D888">
        <v>11</v>
      </c>
      <c r="E888" s="4">
        <v>18598</v>
      </c>
      <c r="F888" s="9">
        <v>0</v>
      </c>
      <c r="G888" s="6">
        <v>3798</v>
      </c>
      <c r="H888" s="9">
        <f t="shared" si="13"/>
        <v>18598</v>
      </c>
      <c r="I888" s="6">
        <v>13167</v>
      </c>
      <c r="J888" s="6">
        <f>VLOOKUP(Table1[[#This Row],[Province]],[1]Sheet1!$A$3:$F$37,4,FALSE)</f>
        <v>8117300</v>
      </c>
      <c r="K888">
        <v>0</v>
      </c>
      <c r="L888" s="4">
        <v>4.5585849999999999</v>
      </c>
      <c r="M888" s="4">
        <v>105.406808</v>
      </c>
      <c r="N888" s="13">
        <v>5.14</v>
      </c>
      <c r="P888"/>
      <c r="Q888" s="12"/>
      <c r="R888" s="12"/>
    </row>
    <row r="889" spans="1:18" x14ac:dyDescent="0.2">
      <c r="A889">
        <v>8</v>
      </c>
      <c r="B889" t="s">
        <v>18</v>
      </c>
      <c r="C889">
        <v>2016</v>
      </c>
      <c r="D889">
        <v>12</v>
      </c>
      <c r="E889" s="4">
        <v>13496</v>
      </c>
      <c r="F889" s="9">
        <v>0</v>
      </c>
      <c r="G889" s="6">
        <v>3801</v>
      </c>
      <c r="H889" s="9">
        <f t="shared" si="13"/>
        <v>13496</v>
      </c>
      <c r="I889" s="6">
        <v>13208</v>
      </c>
      <c r="J889" s="6">
        <f>VLOOKUP(Table1[[#This Row],[Province]],[1]Sheet1!$A$3:$F$37,4,FALSE)</f>
        <v>8117300</v>
      </c>
      <c r="K889">
        <v>1</v>
      </c>
      <c r="L889" s="4">
        <v>4.5585849999999999</v>
      </c>
      <c r="M889" s="4">
        <v>105.406808</v>
      </c>
      <c r="N889" s="13">
        <v>5.14</v>
      </c>
      <c r="P889"/>
      <c r="Q889" s="12"/>
      <c r="R889" s="12"/>
    </row>
    <row r="890" spans="1:18" x14ac:dyDescent="0.2">
      <c r="A890">
        <v>8</v>
      </c>
      <c r="B890" t="s">
        <v>18</v>
      </c>
      <c r="C890">
        <v>2017</v>
      </c>
      <c r="D890">
        <v>1</v>
      </c>
      <c r="E890" s="4">
        <v>0</v>
      </c>
      <c r="F890" s="9">
        <v>0</v>
      </c>
      <c r="G890" s="6">
        <v>7534</v>
      </c>
      <c r="H890" s="9">
        <f t="shared" si="13"/>
        <v>0</v>
      </c>
      <c r="I890" s="6">
        <v>13127</v>
      </c>
      <c r="J890" s="6">
        <f>VLOOKUP(Table1[[#This Row],[Province]],[1]Sheet1!$A$3:$F$37,4,FALSE)</f>
        <v>8117300</v>
      </c>
      <c r="K890">
        <v>0</v>
      </c>
      <c r="L890" s="4">
        <v>4.5585849999999999</v>
      </c>
      <c r="M890" s="4">
        <v>105.406808</v>
      </c>
      <c r="N890" s="13">
        <v>5.16</v>
      </c>
      <c r="P890"/>
      <c r="Q890" s="12"/>
      <c r="R890" s="12"/>
    </row>
    <row r="891" spans="1:18" x14ac:dyDescent="0.2">
      <c r="A891">
        <v>8</v>
      </c>
      <c r="B891" t="s">
        <v>18</v>
      </c>
      <c r="C891">
        <v>2017</v>
      </c>
      <c r="D891">
        <v>2</v>
      </c>
      <c r="E891" s="4">
        <v>0</v>
      </c>
      <c r="F891" s="9">
        <v>0</v>
      </c>
      <c r="G891" s="6">
        <v>4328</v>
      </c>
      <c r="H891" s="9">
        <f t="shared" si="13"/>
        <v>0</v>
      </c>
      <c r="I891" s="6">
        <v>13228</v>
      </c>
      <c r="J891" s="6">
        <f>VLOOKUP(Table1[[#This Row],[Province]],[1]Sheet1!$A$3:$F$37,4,FALSE)</f>
        <v>8117300</v>
      </c>
      <c r="K891">
        <v>0</v>
      </c>
      <c r="L891" s="4">
        <v>4.5585849999999999</v>
      </c>
      <c r="M891" s="4">
        <v>105.406808</v>
      </c>
      <c r="N891" s="13">
        <v>5.16</v>
      </c>
      <c r="P891"/>
      <c r="Q891" s="12"/>
      <c r="R891" s="12"/>
    </row>
    <row r="892" spans="1:18" x14ac:dyDescent="0.2">
      <c r="A892">
        <v>8</v>
      </c>
      <c r="B892" t="s">
        <v>18</v>
      </c>
      <c r="C892">
        <v>2017</v>
      </c>
      <c r="D892">
        <v>3</v>
      </c>
      <c r="E892" s="4">
        <v>195</v>
      </c>
      <c r="F892" s="9">
        <v>0</v>
      </c>
      <c r="G892" s="6">
        <v>3382</v>
      </c>
      <c r="H892" s="9">
        <f t="shared" si="13"/>
        <v>195</v>
      </c>
      <c r="I892" s="6">
        <v>13075</v>
      </c>
      <c r="J892" s="6">
        <f>VLOOKUP(Table1[[#This Row],[Province]],[1]Sheet1!$A$3:$F$37,4,FALSE)</f>
        <v>8117300</v>
      </c>
      <c r="K892">
        <v>0</v>
      </c>
      <c r="L892" s="4">
        <v>4.5585849999999999</v>
      </c>
      <c r="M892" s="4">
        <v>105.406808</v>
      </c>
      <c r="N892" s="13">
        <v>5.16</v>
      </c>
      <c r="P892"/>
      <c r="Q892" s="12"/>
      <c r="R892" s="12"/>
    </row>
    <row r="893" spans="1:18" x14ac:dyDescent="0.2">
      <c r="A893">
        <v>8</v>
      </c>
      <c r="B893" t="s">
        <v>18</v>
      </c>
      <c r="C893">
        <v>2017</v>
      </c>
      <c r="D893">
        <v>4</v>
      </c>
      <c r="E893" s="4">
        <v>34714</v>
      </c>
      <c r="F893" s="9">
        <v>0</v>
      </c>
      <c r="G893" s="6">
        <v>2416</v>
      </c>
      <c r="H893" s="9">
        <f t="shared" si="13"/>
        <v>34714</v>
      </c>
      <c r="I893" s="6">
        <v>12814</v>
      </c>
      <c r="J893" s="6">
        <f>VLOOKUP(Table1[[#This Row],[Province]],[1]Sheet1!$A$3:$F$37,4,FALSE)</f>
        <v>8117300</v>
      </c>
      <c r="K893">
        <v>0</v>
      </c>
      <c r="L893" s="4">
        <v>4.5585849999999999</v>
      </c>
      <c r="M893" s="4">
        <v>105.406808</v>
      </c>
      <c r="N893" s="13">
        <v>5.16</v>
      </c>
      <c r="P893"/>
      <c r="Q893" s="12"/>
      <c r="R893" s="12"/>
    </row>
    <row r="894" spans="1:18" x14ac:dyDescent="0.2">
      <c r="A894">
        <v>8</v>
      </c>
      <c r="B894" t="s">
        <v>18</v>
      </c>
      <c r="C894">
        <v>2017</v>
      </c>
      <c r="D894">
        <v>5</v>
      </c>
      <c r="E894" s="4">
        <v>52201</v>
      </c>
      <c r="F894" s="9">
        <v>0</v>
      </c>
      <c r="G894" s="6">
        <v>2327</v>
      </c>
      <c r="H894" s="9">
        <f t="shared" si="13"/>
        <v>52201</v>
      </c>
      <c r="I894" s="6">
        <v>12358</v>
      </c>
      <c r="J894" s="6">
        <f>VLOOKUP(Table1[[#This Row],[Province]],[1]Sheet1!$A$3:$F$37,4,FALSE)</f>
        <v>8117300</v>
      </c>
      <c r="K894">
        <v>1</v>
      </c>
      <c r="L894" s="4">
        <v>4.5585849999999999</v>
      </c>
      <c r="M894" s="4">
        <v>105.406808</v>
      </c>
      <c r="N894" s="13">
        <v>5.16</v>
      </c>
      <c r="P894"/>
      <c r="Q894" s="12"/>
      <c r="R894" s="12"/>
    </row>
    <row r="895" spans="1:18" x14ac:dyDescent="0.2">
      <c r="A895">
        <v>8</v>
      </c>
      <c r="B895" t="s">
        <v>18</v>
      </c>
      <c r="C895">
        <v>2017</v>
      </c>
      <c r="D895">
        <v>6</v>
      </c>
      <c r="E895" s="4">
        <v>45389</v>
      </c>
      <c r="F895" s="9">
        <v>0</v>
      </c>
      <c r="G895" s="6">
        <v>4305</v>
      </c>
      <c r="H895" s="9">
        <f t="shared" si="13"/>
        <v>45389</v>
      </c>
      <c r="I895" s="6">
        <v>12911</v>
      </c>
      <c r="J895" s="6">
        <f>VLOOKUP(Table1[[#This Row],[Province]],[1]Sheet1!$A$3:$F$37,4,FALSE)</f>
        <v>8117300</v>
      </c>
      <c r="K895">
        <v>0</v>
      </c>
      <c r="L895" s="4">
        <v>4.5585849999999999</v>
      </c>
      <c r="M895" s="4">
        <v>105.406808</v>
      </c>
      <c r="N895" s="13">
        <v>5.16</v>
      </c>
      <c r="P895"/>
      <c r="Q895" s="12"/>
      <c r="R895" s="12"/>
    </row>
    <row r="896" spans="1:18" x14ac:dyDescent="0.2">
      <c r="A896">
        <v>8</v>
      </c>
      <c r="B896" t="s">
        <v>18</v>
      </c>
      <c r="C896">
        <v>2017</v>
      </c>
      <c r="D896">
        <v>7</v>
      </c>
      <c r="E896" s="4">
        <v>132627</v>
      </c>
      <c r="F896" s="9">
        <v>0</v>
      </c>
      <c r="G896" s="6">
        <v>4792</v>
      </c>
      <c r="H896" s="9">
        <f t="shared" si="13"/>
        <v>132627</v>
      </c>
      <c r="I896" s="6">
        <v>12913</v>
      </c>
      <c r="J896" s="6">
        <f>VLOOKUP(Table1[[#This Row],[Province]],[1]Sheet1!$A$3:$F$37,4,FALSE)</f>
        <v>8117300</v>
      </c>
      <c r="K896">
        <v>0</v>
      </c>
      <c r="L896" s="4">
        <v>4.5585849999999999</v>
      </c>
      <c r="M896" s="4">
        <v>105.406808</v>
      </c>
      <c r="N896" s="13">
        <v>5.16</v>
      </c>
      <c r="P896"/>
      <c r="Q896" s="12"/>
      <c r="R896" s="12"/>
    </row>
    <row r="897" spans="1:18" x14ac:dyDescent="0.2">
      <c r="A897">
        <v>8</v>
      </c>
      <c r="B897" t="s">
        <v>18</v>
      </c>
      <c r="C897">
        <v>2017</v>
      </c>
      <c r="D897">
        <v>8</v>
      </c>
      <c r="E897" s="4">
        <v>139549</v>
      </c>
      <c r="F897" s="9">
        <v>0</v>
      </c>
      <c r="G897" s="6">
        <v>9185</v>
      </c>
      <c r="H897" s="9">
        <f t="shared" si="13"/>
        <v>139549</v>
      </c>
      <c r="I897" s="6">
        <v>12690</v>
      </c>
      <c r="J897" s="6">
        <f>VLOOKUP(Table1[[#This Row],[Province]],[1]Sheet1!$A$3:$F$37,4,FALSE)</f>
        <v>8117300</v>
      </c>
      <c r="K897">
        <v>0</v>
      </c>
      <c r="L897" s="4">
        <v>4.5585849999999999</v>
      </c>
      <c r="M897" s="4">
        <v>105.406808</v>
      </c>
      <c r="N897" s="13">
        <v>5.16</v>
      </c>
      <c r="P897"/>
      <c r="Q897" s="12"/>
      <c r="R897" s="12"/>
    </row>
    <row r="898" spans="1:18" x14ac:dyDescent="0.2">
      <c r="A898">
        <v>8</v>
      </c>
      <c r="B898" t="s">
        <v>18</v>
      </c>
      <c r="C898">
        <v>2017</v>
      </c>
      <c r="D898">
        <v>9</v>
      </c>
      <c r="E898" s="4">
        <v>129400</v>
      </c>
      <c r="F898" s="9">
        <v>0</v>
      </c>
      <c r="G898" s="6">
        <v>8901</v>
      </c>
      <c r="H898" s="9">
        <f t="shared" ref="H898:H961" si="14">F898+E898</f>
        <v>129400</v>
      </c>
      <c r="I898" s="6">
        <v>12333</v>
      </c>
      <c r="J898" s="6">
        <f>VLOOKUP(Table1[[#This Row],[Province]],[1]Sheet1!$A$3:$F$37,4,FALSE)</f>
        <v>8117300</v>
      </c>
      <c r="K898">
        <v>0</v>
      </c>
      <c r="L898" s="4">
        <v>4.5585849999999999</v>
      </c>
      <c r="M898" s="4">
        <v>105.406808</v>
      </c>
      <c r="N898" s="13">
        <v>5.16</v>
      </c>
      <c r="P898"/>
      <c r="Q898" s="12"/>
      <c r="R898" s="12"/>
    </row>
    <row r="899" spans="1:18" x14ac:dyDescent="0.2">
      <c r="A899">
        <v>8</v>
      </c>
      <c r="B899" t="s">
        <v>18</v>
      </c>
      <c r="C899">
        <v>2017</v>
      </c>
      <c r="D899">
        <v>10</v>
      </c>
      <c r="E899" s="4">
        <v>36735</v>
      </c>
      <c r="F899" s="9">
        <v>0</v>
      </c>
      <c r="G899" s="6">
        <v>11554</v>
      </c>
      <c r="H899" s="9">
        <f t="shared" si="14"/>
        <v>36735</v>
      </c>
      <c r="I899" s="6">
        <v>12697</v>
      </c>
      <c r="J899" s="6">
        <f>VLOOKUP(Table1[[#This Row],[Province]],[1]Sheet1!$A$3:$F$37,4,FALSE)</f>
        <v>8117300</v>
      </c>
      <c r="K899">
        <v>0</v>
      </c>
      <c r="L899" s="4">
        <v>4.5585849999999999</v>
      </c>
      <c r="M899" s="4">
        <v>105.406808</v>
      </c>
      <c r="N899" s="13">
        <v>5.16</v>
      </c>
      <c r="P899"/>
      <c r="Q899" s="12"/>
      <c r="R899" s="12"/>
    </row>
    <row r="900" spans="1:18" x14ac:dyDescent="0.2">
      <c r="A900">
        <v>8</v>
      </c>
      <c r="B900" t="s">
        <v>18</v>
      </c>
      <c r="C900">
        <v>2017</v>
      </c>
      <c r="D900">
        <v>11</v>
      </c>
      <c r="E900" s="4">
        <v>21660</v>
      </c>
      <c r="F900" s="9">
        <v>0</v>
      </c>
      <c r="G900" s="6">
        <v>3019</v>
      </c>
      <c r="H900" s="9">
        <f t="shared" si="14"/>
        <v>21660</v>
      </c>
      <c r="I900" s="6">
        <v>12030</v>
      </c>
      <c r="J900" s="6">
        <f>VLOOKUP(Table1[[#This Row],[Province]],[1]Sheet1!$A$3:$F$37,4,FALSE)</f>
        <v>8117300</v>
      </c>
      <c r="K900">
        <v>0</v>
      </c>
      <c r="L900" s="4">
        <v>4.5585849999999999</v>
      </c>
      <c r="M900" s="4">
        <v>105.406808</v>
      </c>
      <c r="N900" s="13">
        <v>5.16</v>
      </c>
      <c r="P900"/>
      <c r="Q900" s="12"/>
      <c r="R900" s="12"/>
    </row>
    <row r="901" spans="1:18" x14ac:dyDescent="0.2">
      <c r="A901">
        <v>8</v>
      </c>
      <c r="B901" t="s">
        <v>18</v>
      </c>
      <c r="C901">
        <v>2017</v>
      </c>
      <c r="D901">
        <v>12</v>
      </c>
      <c r="E901" s="4">
        <v>7182</v>
      </c>
      <c r="F901" s="9">
        <v>0</v>
      </c>
      <c r="G901" s="6">
        <v>5625</v>
      </c>
      <c r="H901" s="9">
        <f t="shared" si="14"/>
        <v>7182</v>
      </c>
      <c r="I901" s="6">
        <v>11944</v>
      </c>
      <c r="J901" s="6">
        <f>VLOOKUP(Table1[[#This Row],[Province]],[1]Sheet1!$A$3:$F$37,4,FALSE)</f>
        <v>8117300</v>
      </c>
      <c r="K901">
        <v>1</v>
      </c>
      <c r="L901" s="4">
        <v>4.5585849999999999</v>
      </c>
      <c r="M901" s="4">
        <v>105.406808</v>
      </c>
      <c r="N901" s="13">
        <v>5.16</v>
      </c>
      <c r="P901"/>
      <c r="Q901" s="12"/>
      <c r="R901" s="12"/>
    </row>
    <row r="902" spans="1:18" x14ac:dyDescent="0.2">
      <c r="A902">
        <v>8</v>
      </c>
      <c r="B902" t="s">
        <v>18</v>
      </c>
      <c r="C902">
        <v>2018</v>
      </c>
      <c r="D902">
        <v>1</v>
      </c>
      <c r="E902" s="4">
        <v>0</v>
      </c>
      <c r="F902" s="9">
        <v>0</v>
      </c>
      <c r="G902" s="6">
        <v>1036</v>
      </c>
      <c r="H902" s="9">
        <f t="shared" si="14"/>
        <v>0</v>
      </c>
      <c r="I902" s="6">
        <v>11830</v>
      </c>
      <c r="J902" s="6">
        <f>VLOOKUP(Table1[[#This Row],[Province]],[1]Sheet1!$A$3:$F$37,4,FALSE)</f>
        <v>8117300</v>
      </c>
      <c r="K902">
        <v>0</v>
      </c>
      <c r="L902" s="4">
        <v>4.5585849999999999</v>
      </c>
      <c r="M902" s="4">
        <v>105.406808</v>
      </c>
      <c r="N902" s="13">
        <v>5.23</v>
      </c>
      <c r="P902"/>
      <c r="Q902" s="12"/>
      <c r="R902" s="12"/>
    </row>
    <row r="903" spans="1:18" x14ac:dyDescent="0.2">
      <c r="A903">
        <v>8</v>
      </c>
      <c r="B903" t="s">
        <v>18</v>
      </c>
      <c r="C903">
        <v>2018</v>
      </c>
      <c r="D903">
        <v>2</v>
      </c>
      <c r="E903" s="4">
        <v>0</v>
      </c>
      <c r="F903" s="9">
        <v>0</v>
      </c>
      <c r="G903" s="6">
        <v>2067</v>
      </c>
      <c r="H903" s="9">
        <f t="shared" si="14"/>
        <v>0</v>
      </c>
      <c r="I903" s="6">
        <v>11961</v>
      </c>
      <c r="J903" s="6">
        <f>VLOOKUP(Table1[[#This Row],[Province]],[1]Sheet1!$A$3:$F$37,4,FALSE)</f>
        <v>8117300</v>
      </c>
      <c r="K903">
        <v>0</v>
      </c>
      <c r="L903" s="4">
        <v>4.5585849999999999</v>
      </c>
      <c r="M903" s="4">
        <v>105.406808</v>
      </c>
      <c r="N903" s="13">
        <v>5.23</v>
      </c>
      <c r="P903"/>
      <c r="Q903" s="12"/>
      <c r="R903" s="12"/>
    </row>
    <row r="904" spans="1:18" x14ac:dyDescent="0.2">
      <c r="A904">
        <v>8</v>
      </c>
      <c r="B904" t="s">
        <v>18</v>
      </c>
      <c r="C904">
        <v>2018</v>
      </c>
      <c r="D904">
        <v>3</v>
      </c>
      <c r="E904" s="4">
        <v>0</v>
      </c>
      <c r="F904" s="9">
        <v>0</v>
      </c>
      <c r="G904" s="6">
        <v>6395</v>
      </c>
      <c r="H904" s="9">
        <f t="shared" si="14"/>
        <v>0</v>
      </c>
      <c r="I904" s="6">
        <v>12000</v>
      </c>
      <c r="J904" s="6">
        <f>VLOOKUP(Table1[[#This Row],[Province]],[1]Sheet1!$A$3:$F$37,4,FALSE)</f>
        <v>8117300</v>
      </c>
      <c r="K904">
        <v>0</v>
      </c>
      <c r="L904" s="4">
        <v>4.5585849999999999</v>
      </c>
      <c r="M904" s="4">
        <v>105.406808</v>
      </c>
      <c r="N904" s="13">
        <v>5.23</v>
      </c>
      <c r="P904"/>
      <c r="Q904" s="12"/>
      <c r="R904" s="12"/>
    </row>
    <row r="905" spans="1:18" x14ac:dyDescent="0.2">
      <c r="A905">
        <v>8</v>
      </c>
      <c r="B905" t="s">
        <v>18</v>
      </c>
      <c r="C905">
        <v>2018</v>
      </c>
      <c r="D905">
        <v>4</v>
      </c>
      <c r="E905" s="4">
        <v>67013</v>
      </c>
      <c r="F905" s="9">
        <v>0</v>
      </c>
      <c r="G905" s="6">
        <v>3358</v>
      </c>
      <c r="H905" s="9">
        <f t="shared" si="14"/>
        <v>67013</v>
      </c>
      <c r="I905" s="6">
        <v>12000</v>
      </c>
      <c r="J905" s="6">
        <f>VLOOKUP(Table1[[#This Row],[Province]],[1]Sheet1!$A$3:$F$37,4,FALSE)</f>
        <v>8117300</v>
      </c>
      <c r="K905">
        <v>0</v>
      </c>
      <c r="L905" s="4">
        <v>4.5585849999999999</v>
      </c>
      <c r="M905" s="4">
        <v>105.406808</v>
      </c>
      <c r="N905" s="13">
        <v>5.23</v>
      </c>
      <c r="P905"/>
      <c r="Q905" s="12"/>
      <c r="R905" s="12"/>
    </row>
    <row r="906" spans="1:18" x14ac:dyDescent="0.2">
      <c r="A906">
        <v>8</v>
      </c>
      <c r="B906" t="s">
        <v>18</v>
      </c>
      <c r="C906">
        <v>2018</v>
      </c>
      <c r="D906">
        <v>5</v>
      </c>
      <c r="E906" s="4">
        <v>82144</v>
      </c>
      <c r="F906" s="9">
        <v>0</v>
      </c>
      <c r="G906" s="6">
        <v>11154</v>
      </c>
      <c r="H906" s="9">
        <f t="shared" si="14"/>
        <v>82144</v>
      </c>
      <c r="I906" s="6">
        <v>11982</v>
      </c>
      <c r="J906" s="6">
        <f>VLOOKUP(Table1[[#This Row],[Province]],[1]Sheet1!$A$3:$F$37,4,FALSE)</f>
        <v>8117300</v>
      </c>
      <c r="K906">
        <v>1</v>
      </c>
      <c r="L906" s="4">
        <v>4.5585849999999999</v>
      </c>
      <c r="M906" s="4">
        <v>105.406808</v>
      </c>
      <c r="N906" s="13">
        <v>5.23</v>
      </c>
      <c r="P906"/>
      <c r="Q906" s="12"/>
      <c r="R906" s="12"/>
    </row>
    <row r="907" spans="1:18" x14ac:dyDescent="0.2">
      <c r="A907">
        <v>8</v>
      </c>
      <c r="B907" t="s">
        <v>18</v>
      </c>
      <c r="C907">
        <v>2018</v>
      </c>
      <c r="D907">
        <v>6</v>
      </c>
      <c r="E907" s="4">
        <v>75955</v>
      </c>
      <c r="F907" s="9">
        <v>0</v>
      </c>
      <c r="G907" s="6">
        <v>6203</v>
      </c>
      <c r="H907" s="9">
        <f t="shared" si="14"/>
        <v>75955</v>
      </c>
      <c r="I907" s="6">
        <v>12250</v>
      </c>
      <c r="J907" s="6">
        <f>VLOOKUP(Table1[[#This Row],[Province]],[1]Sheet1!$A$3:$F$37,4,FALSE)</f>
        <v>8117300</v>
      </c>
      <c r="K907">
        <v>0</v>
      </c>
      <c r="L907" s="4">
        <v>4.5585849999999999</v>
      </c>
      <c r="M907" s="4">
        <v>105.406808</v>
      </c>
      <c r="N907" s="13">
        <v>5.23</v>
      </c>
      <c r="P907"/>
      <c r="Q907" s="12"/>
      <c r="R907" s="12"/>
    </row>
    <row r="908" spans="1:18" x14ac:dyDescent="0.2">
      <c r="A908">
        <v>8</v>
      </c>
      <c r="B908" t="s">
        <v>18</v>
      </c>
      <c r="C908">
        <v>2018</v>
      </c>
      <c r="D908">
        <v>7</v>
      </c>
      <c r="E908" s="4">
        <v>119074</v>
      </c>
      <c r="F908" s="9">
        <v>0</v>
      </c>
      <c r="G908" s="6">
        <v>8586</v>
      </c>
      <c r="H908" s="9">
        <f t="shared" si="14"/>
        <v>119074</v>
      </c>
      <c r="I908" s="6">
        <v>12000</v>
      </c>
      <c r="J908" s="6">
        <f>VLOOKUP(Table1[[#This Row],[Province]],[1]Sheet1!$A$3:$F$37,4,FALSE)</f>
        <v>8117300</v>
      </c>
      <c r="K908">
        <v>0</v>
      </c>
      <c r="L908" s="4">
        <v>4.5585849999999999</v>
      </c>
      <c r="M908" s="4">
        <v>105.406808</v>
      </c>
      <c r="N908" s="13">
        <v>5.23</v>
      </c>
      <c r="P908"/>
      <c r="Q908" s="12"/>
      <c r="R908" s="12"/>
    </row>
    <row r="909" spans="1:18" x14ac:dyDescent="0.2">
      <c r="A909">
        <v>8</v>
      </c>
      <c r="B909" t="s">
        <v>18</v>
      </c>
      <c r="C909">
        <v>2018</v>
      </c>
      <c r="D909">
        <v>8</v>
      </c>
      <c r="E909" s="4">
        <v>117577</v>
      </c>
      <c r="F909" s="9">
        <v>0</v>
      </c>
      <c r="G909" s="6">
        <v>11152</v>
      </c>
      <c r="H909" s="9">
        <f t="shared" si="14"/>
        <v>117577</v>
      </c>
      <c r="I909" s="6">
        <v>11800</v>
      </c>
      <c r="J909" s="6">
        <f>VLOOKUP(Table1[[#This Row],[Province]],[1]Sheet1!$A$3:$F$37,4,FALSE)</f>
        <v>8117300</v>
      </c>
      <c r="K909">
        <v>0</v>
      </c>
      <c r="L909" s="4">
        <v>4.5585849999999999</v>
      </c>
      <c r="M909" s="4">
        <v>105.406808</v>
      </c>
      <c r="N909" s="13">
        <v>5.23</v>
      </c>
      <c r="P909"/>
      <c r="Q909" s="12"/>
      <c r="R909" s="12"/>
    </row>
    <row r="910" spans="1:18" x14ac:dyDescent="0.2">
      <c r="A910">
        <v>8</v>
      </c>
      <c r="B910" t="s">
        <v>18</v>
      </c>
      <c r="C910">
        <v>2018</v>
      </c>
      <c r="D910">
        <v>9</v>
      </c>
      <c r="E910" s="4">
        <v>92679</v>
      </c>
      <c r="F910" s="9">
        <v>0</v>
      </c>
      <c r="G910" s="6">
        <v>9154</v>
      </c>
      <c r="H910" s="9">
        <f t="shared" si="14"/>
        <v>92679</v>
      </c>
      <c r="I910" s="6">
        <v>11268</v>
      </c>
      <c r="J910" s="6">
        <f>VLOOKUP(Table1[[#This Row],[Province]],[1]Sheet1!$A$3:$F$37,4,FALSE)</f>
        <v>8117300</v>
      </c>
      <c r="K910">
        <v>0</v>
      </c>
      <c r="L910" s="4">
        <v>4.5585849999999999</v>
      </c>
      <c r="M910" s="4">
        <v>105.406808</v>
      </c>
      <c r="N910" s="13">
        <v>5.23</v>
      </c>
      <c r="P910"/>
      <c r="Q910" s="12"/>
      <c r="R910" s="12"/>
    </row>
    <row r="911" spans="1:18" x14ac:dyDescent="0.2">
      <c r="A911">
        <v>8</v>
      </c>
      <c r="B911" t="s">
        <v>18</v>
      </c>
      <c r="C911">
        <v>2018</v>
      </c>
      <c r="D911">
        <v>10</v>
      </c>
      <c r="E911" s="4">
        <v>32235</v>
      </c>
      <c r="F911" s="9">
        <v>0</v>
      </c>
      <c r="G911" s="6">
        <v>10097</v>
      </c>
      <c r="H911" s="9">
        <f t="shared" si="14"/>
        <v>32235</v>
      </c>
      <c r="I911" s="6">
        <v>11000</v>
      </c>
      <c r="J911" s="6">
        <f>VLOOKUP(Table1[[#This Row],[Province]],[1]Sheet1!$A$3:$F$37,4,FALSE)</f>
        <v>8117300</v>
      </c>
      <c r="K911">
        <v>0</v>
      </c>
      <c r="L911" s="4">
        <v>4.5585849999999999</v>
      </c>
      <c r="M911" s="4">
        <v>105.406808</v>
      </c>
      <c r="N911" s="13">
        <v>5.23</v>
      </c>
      <c r="P911"/>
      <c r="Q911" s="12"/>
      <c r="R911" s="12"/>
    </row>
    <row r="912" spans="1:18" x14ac:dyDescent="0.2">
      <c r="A912">
        <v>8</v>
      </c>
      <c r="B912" t="s">
        <v>18</v>
      </c>
      <c r="C912">
        <v>2018</v>
      </c>
      <c r="D912">
        <v>11</v>
      </c>
      <c r="E912" s="4">
        <v>7191</v>
      </c>
      <c r="F912" s="9">
        <v>0</v>
      </c>
      <c r="G912" s="6">
        <v>9411</v>
      </c>
      <c r="H912" s="9">
        <f t="shared" si="14"/>
        <v>7191</v>
      </c>
      <c r="I912" s="6">
        <v>11000</v>
      </c>
      <c r="J912" s="6">
        <f>VLOOKUP(Table1[[#This Row],[Province]],[1]Sheet1!$A$3:$F$37,4,FALSE)</f>
        <v>8117300</v>
      </c>
      <c r="K912">
        <v>0</v>
      </c>
      <c r="L912" s="4">
        <v>4.5585849999999999</v>
      </c>
      <c r="M912" s="4">
        <v>105.406808</v>
      </c>
      <c r="N912" s="13">
        <v>5.23</v>
      </c>
      <c r="P912"/>
      <c r="Q912" s="12"/>
      <c r="R912" s="12"/>
    </row>
    <row r="913" spans="1:18" x14ac:dyDescent="0.2">
      <c r="A913">
        <v>8</v>
      </c>
      <c r="B913" t="s">
        <v>18</v>
      </c>
      <c r="C913">
        <v>2018</v>
      </c>
      <c r="D913">
        <v>12</v>
      </c>
      <c r="E913" s="4">
        <v>2305</v>
      </c>
      <c r="F913" s="9">
        <v>0</v>
      </c>
      <c r="G913" s="6">
        <v>10412</v>
      </c>
      <c r="H913" s="9">
        <f t="shared" si="14"/>
        <v>2305</v>
      </c>
      <c r="I913" s="6">
        <v>11314</v>
      </c>
      <c r="J913" s="6">
        <f>VLOOKUP(Table1[[#This Row],[Province]],[1]Sheet1!$A$3:$F$37,4,FALSE)</f>
        <v>8117300</v>
      </c>
      <c r="K913">
        <v>1</v>
      </c>
      <c r="L913" s="4">
        <v>4.5585849999999999</v>
      </c>
      <c r="M913" s="4">
        <v>105.406808</v>
      </c>
      <c r="N913" s="13">
        <v>5.23</v>
      </c>
      <c r="P913"/>
      <c r="Q913" s="12"/>
      <c r="R913" s="12"/>
    </row>
    <row r="914" spans="1:18" x14ac:dyDescent="0.2">
      <c r="A914">
        <v>8</v>
      </c>
      <c r="B914" t="s">
        <v>18</v>
      </c>
      <c r="C914">
        <v>2019</v>
      </c>
      <c r="D914">
        <v>1</v>
      </c>
      <c r="E914" s="4">
        <v>0</v>
      </c>
      <c r="F914" s="9">
        <v>0</v>
      </c>
      <c r="G914" s="6">
        <v>6763</v>
      </c>
      <c r="H914" s="9">
        <f t="shared" si="14"/>
        <v>0</v>
      </c>
      <c r="I914" s="6">
        <v>11347</v>
      </c>
      <c r="J914" s="6">
        <f>VLOOKUP(Table1[[#This Row],[Province]],[1]Sheet1!$A$3:$F$37,4,FALSE)</f>
        <v>8117300</v>
      </c>
      <c r="K914">
        <v>0</v>
      </c>
      <c r="L914" s="4">
        <v>4.5585849999999999</v>
      </c>
      <c r="M914" s="4">
        <v>105.406808</v>
      </c>
      <c r="N914" s="13">
        <v>5.26</v>
      </c>
      <c r="P914"/>
      <c r="Q914" s="12"/>
      <c r="R914" s="12"/>
    </row>
    <row r="915" spans="1:18" x14ac:dyDescent="0.2">
      <c r="A915">
        <v>8</v>
      </c>
      <c r="B915" t="s">
        <v>18</v>
      </c>
      <c r="C915">
        <v>2019</v>
      </c>
      <c r="D915">
        <v>2</v>
      </c>
      <c r="E915" s="4">
        <v>0</v>
      </c>
      <c r="F915" s="9">
        <v>0</v>
      </c>
      <c r="G915" s="6">
        <v>9404</v>
      </c>
      <c r="H915" s="9">
        <f t="shared" si="14"/>
        <v>0</v>
      </c>
      <c r="I915" s="6">
        <v>11203</v>
      </c>
      <c r="J915" s="6">
        <f>VLOOKUP(Table1[[#This Row],[Province]],[1]Sheet1!$A$3:$F$37,4,FALSE)</f>
        <v>8117300</v>
      </c>
      <c r="K915">
        <v>0</v>
      </c>
      <c r="L915" s="4">
        <v>4.5585849999999999</v>
      </c>
      <c r="M915" s="4">
        <v>105.406808</v>
      </c>
      <c r="N915" s="13">
        <v>5.26</v>
      </c>
      <c r="P915"/>
      <c r="Q915" s="12"/>
      <c r="R915" s="12"/>
    </row>
    <row r="916" spans="1:18" x14ac:dyDescent="0.2">
      <c r="A916">
        <v>8</v>
      </c>
      <c r="B916" t="s">
        <v>18</v>
      </c>
      <c r="C916">
        <v>2019</v>
      </c>
      <c r="D916">
        <v>3</v>
      </c>
      <c r="E916" s="4">
        <v>0</v>
      </c>
      <c r="F916" s="9">
        <v>0</v>
      </c>
      <c r="G916" s="6">
        <v>7556</v>
      </c>
      <c r="H916" s="9">
        <f t="shared" si="14"/>
        <v>0</v>
      </c>
      <c r="I916" s="6">
        <v>11657</v>
      </c>
      <c r="J916" s="6">
        <f>VLOOKUP(Table1[[#This Row],[Province]],[1]Sheet1!$A$3:$F$37,4,FALSE)</f>
        <v>8117300</v>
      </c>
      <c r="K916">
        <v>0</v>
      </c>
      <c r="L916" s="4">
        <v>4.5585849999999999</v>
      </c>
      <c r="M916" s="4">
        <v>105.406808</v>
      </c>
      <c r="N916" s="13">
        <v>5.26</v>
      </c>
      <c r="P916"/>
      <c r="Q916" s="12"/>
      <c r="R916" s="12"/>
    </row>
    <row r="917" spans="1:18" x14ac:dyDescent="0.2">
      <c r="A917">
        <v>8</v>
      </c>
      <c r="B917" t="s">
        <v>18</v>
      </c>
      <c r="C917">
        <v>2019</v>
      </c>
      <c r="D917">
        <v>4</v>
      </c>
      <c r="E917" s="4">
        <v>17111</v>
      </c>
      <c r="F917" s="9">
        <v>0</v>
      </c>
      <c r="G917" s="6">
        <v>8869</v>
      </c>
      <c r="H917" s="9">
        <f t="shared" si="14"/>
        <v>17111</v>
      </c>
      <c r="I917" s="6">
        <v>11906</v>
      </c>
      <c r="J917" s="6">
        <f>VLOOKUP(Table1[[#This Row],[Province]],[1]Sheet1!$A$3:$F$37,4,FALSE)</f>
        <v>8117300</v>
      </c>
      <c r="K917">
        <v>0</v>
      </c>
      <c r="L917" s="4">
        <v>4.5585849999999999</v>
      </c>
      <c r="M917" s="4">
        <v>105.406808</v>
      </c>
      <c r="N917" s="13">
        <v>5.26</v>
      </c>
      <c r="P917"/>
      <c r="Q917" s="12"/>
      <c r="R917" s="12"/>
    </row>
    <row r="918" spans="1:18" x14ac:dyDescent="0.2">
      <c r="A918">
        <v>8</v>
      </c>
      <c r="B918" t="s">
        <v>18</v>
      </c>
      <c r="C918">
        <v>2019</v>
      </c>
      <c r="D918">
        <v>5</v>
      </c>
      <c r="E918" s="4">
        <v>39916</v>
      </c>
      <c r="F918" s="9">
        <v>0</v>
      </c>
      <c r="G918" s="6">
        <v>7219</v>
      </c>
      <c r="H918" s="9">
        <f t="shared" si="14"/>
        <v>39916</v>
      </c>
      <c r="I918" s="6">
        <v>12067</v>
      </c>
      <c r="J918" s="6">
        <f>VLOOKUP(Table1[[#This Row],[Province]],[1]Sheet1!$A$3:$F$37,4,FALSE)</f>
        <v>8117300</v>
      </c>
      <c r="K918">
        <v>1</v>
      </c>
      <c r="L918" s="4">
        <v>4.5585849999999999</v>
      </c>
      <c r="M918" s="4">
        <v>105.406808</v>
      </c>
      <c r="N918" s="13">
        <v>5.26</v>
      </c>
      <c r="P918"/>
      <c r="Q918" s="12"/>
      <c r="R918" s="12"/>
    </row>
    <row r="919" spans="1:18" x14ac:dyDescent="0.2">
      <c r="A919">
        <v>8</v>
      </c>
      <c r="B919" t="s">
        <v>18</v>
      </c>
      <c r="C919">
        <v>2019</v>
      </c>
      <c r="D919">
        <v>6</v>
      </c>
      <c r="E919" s="4">
        <v>36590</v>
      </c>
      <c r="F919" s="9">
        <v>0</v>
      </c>
      <c r="G919" s="6">
        <v>7366</v>
      </c>
      <c r="H919" s="9">
        <f t="shared" si="14"/>
        <v>36590</v>
      </c>
      <c r="I919" s="6">
        <v>12177</v>
      </c>
      <c r="J919" s="6">
        <f>VLOOKUP(Table1[[#This Row],[Province]],[1]Sheet1!$A$3:$F$37,4,FALSE)</f>
        <v>8117300</v>
      </c>
      <c r="K919">
        <v>0</v>
      </c>
      <c r="L919" s="4">
        <v>4.5585849999999999</v>
      </c>
      <c r="M919" s="4">
        <v>105.406808</v>
      </c>
      <c r="N919" s="13">
        <v>5.26</v>
      </c>
      <c r="P919"/>
      <c r="Q919" s="12"/>
      <c r="R919" s="12"/>
    </row>
    <row r="920" spans="1:18" x14ac:dyDescent="0.2">
      <c r="A920">
        <v>8</v>
      </c>
      <c r="B920" t="s">
        <v>18</v>
      </c>
      <c r="C920">
        <v>2019</v>
      </c>
      <c r="D920">
        <v>7</v>
      </c>
      <c r="E920" s="4">
        <v>179318</v>
      </c>
      <c r="F920" s="9">
        <v>0</v>
      </c>
      <c r="G920" s="6">
        <v>8524</v>
      </c>
      <c r="H920" s="9">
        <f t="shared" si="14"/>
        <v>179318</v>
      </c>
      <c r="I920" s="6">
        <v>12165</v>
      </c>
      <c r="J920" s="6">
        <f>VLOOKUP(Table1[[#This Row],[Province]],[1]Sheet1!$A$3:$F$37,4,FALSE)</f>
        <v>8117300</v>
      </c>
      <c r="K920">
        <v>0</v>
      </c>
      <c r="L920" s="4">
        <v>4.5585849999999999</v>
      </c>
      <c r="M920" s="4">
        <v>105.406808</v>
      </c>
      <c r="N920" s="13">
        <v>5.26</v>
      </c>
      <c r="P920"/>
      <c r="Q920" s="12"/>
      <c r="R920" s="12"/>
    </row>
    <row r="921" spans="1:18" x14ac:dyDescent="0.2">
      <c r="A921">
        <v>8</v>
      </c>
      <c r="B921" t="s">
        <v>18</v>
      </c>
      <c r="C921">
        <v>2019</v>
      </c>
      <c r="D921">
        <v>8</v>
      </c>
      <c r="E921" s="4">
        <v>190973</v>
      </c>
      <c r="F921" s="9">
        <v>0</v>
      </c>
      <c r="G921" s="6">
        <v>8089</v>
      </c>
      <c r="H921" s="9">
        <f t="shared" si="14"/>
        <v>190973</v>
      </c>
      <c r="I921" s="6">
        <v>12219</v>
      </c>
      <c r="J921" s="6">
        <f>VLOOKUP(Table1[[#This Row],[Province]],[1]Sheet1!$A$3:$F$37,4,FALSE)</f>
        <v>8117300</v>
      </c>
      <c r="K921">
        <v>0</v>
      </c>
      <c r="L921" s="4">
        <v>4.5585849999999999</v>
      </c>
      <c r="M921" s="4">
        <v>105.406808</v>
      </c>
      <c r="N921" s="13">
        <v>5.26</v>
      </c>
      <c r="P921"/>
      <c r="Q921" s="12"/>
      <c r="R921" s="12"/>
    </row>
    <row r="922" spans="1:18" x14ac:dyDescent="0.2">
      <c r="A922">
        <v>8</v>
      </c>
      <c r="B922" t="s">
        <v>18</v>
      </c>
      <c r="C922">
        <v>2019</v>
      </c>
      <c r="D922">
        <v>9</v>
      </c>
      <c r="E922" s="4">
        <v>206372</v>
      </c>
      <c r="F922" s="9">
        <v>0</v>
      </c>
      <c r="G922" s="6">
        <v>12795</v>
      </c>
      <c r="H922" s="9">
        <f t="shared" si="14"/>
        <v>206372</v>
      </c>
      <c r="I922" s="6">
        <v>12000</v>
      </c>
      <c r="J922" s="6">
        <f>VLOOKUP(Table1[[#This Row],[Province]],[1]Sheet1!$A$3:$F$37,4,FALSE)</f>
        <v>8117300</v>
      </c>
      <c r="K922">
        <v>0</v>
      </c>
      <c r="L922" s="4">
        <v>4.5585849999999999</v>
      </c>
      <c r="M922" s="4">
        <v>105.406808</v>
      </c>
      <c r="N922" s="13">
        <v>5.26</v>
      </c>
      <c r="P922"/>
      <c r="Q922" s="12"/>
      <c r="R922" s="12"/>
    </row>
    <row r="923" spans="1:18" x14ac:dyDescent="0.2">
      <c r="A923">
        <v>8</v>
      </c>
      <c r="B923" t="s">
        <v>18</v>
      </c>
      <c r="C923">
        <v>2019</v>
      </c>
      <c r="D923">
        <v>10</v>
      </c>
      <c r="E923" s="4">
        <v>71843</v>
      </c>
      <c r="F923" s="9">
        <v>0</v>
      </c>
      <c r="G923" s="6">
        <v>5175</v>
      </c>
      <c r="H923" s="9">
        <f t="shared" si="14"/>
        <v>71843</v>
      </c>
      <c r="I923" s="6">
        <v>12006</v>
      </c>
      <c r="J923" s="6">
        <f>VLOOKUP(Table1[[#This Row],[Province]],[1]Sheet1!$A$3:$F$37,4,FALSE)</f>
        <v>8117300</v>
      </c>
      <c r="K923">
        <v>0</v>
      </c>
      <c r="L923" s="4">
        <v>4.5585849999999999</v>
      </c>
      <c r="M923" s="4">
        <v>105.406808</v>
      </c>
      <c r="N923" s="13">
        <v>5.26</v>
      </c>
      <c r="P923"/>
      <c r="Q923" s="12"/>
      <c r="R923" s="12"/>
    </row>
    <row r="924" spans="1:18" x14ac:dyDescent="0.2">
      <c r="A924">
        <v>8</v>
      </c>
      <c r="B924" t="s">
        <v>18</v>
      </c>
      <c r="C924">
        <v>2019</v>
      </c>
      <c r="D924">
        <v>11</v>
      </c>
      <c r="E924" s="4">
        <v>0</v>
      </c>
      <c r="F924" s="9">
        <v>0</v>
      </c>
      <c r="G924" s="6">
        <v>7749</v>
      </c>
      <c r="H924" s="9">
        <f t="shared" si="14"/>
        <v>0</v>
      </c>
      <c r="I924" s="6">
        <v>12000</v>
      </c>
      <c r="J924" s="6">
        <f>VLOOKUP(Table1[[#This Row],[Province]],[1]Sheet1!$A$3:$F$37,4,FALSE)</f>
        <v>8117300</v>
      </c>
      <c r="K924">
        <v>0</v>
      </c>
      <c r="L924" s="4">
        <v>4.5585849999999999</v>
      </c>
      <c r="M924" s="4">
        <v>105.406808</v>
      </c>
      <c r="N924" s="13">
        <v>5.26</v>
      </c>
      <c r="P924"/>
      <c r="Q924" s="12"/>
      <c r="R924" s="12"/>
    </row>
    <row r="925" spans="1:18" x14ac:dyDescent="0.2">
      <c r="A925">
        <v>8</v>
      </c>
      <c r="B925" t="s">
        <v>18</v>
      </c>
      <c r="C925">
        <v>2019</v>
      </c>
      <c r="D925">
        <v>12</v>
      </c>
      <c r="E925" s="4">
        <v>0</v>
      </c>
      <c r="F925" s="9">
        <v>1E-3</v>
      </c>
      <c r="G925" s="6">
        <v>9025</v>
      </c>
      <c r="H925" s="9">
        <f t="shared" si="14"/>
        <v>1E-3</v>
      </c>
      <c r="I925" s="6">
        <v>12008</v>
      </c>
      <c r="J925" s="6">
        <f>VLOOKUP(Table1[[#This Row],[Province]],[1]Sheet1!$A$3:$F$37,4,FALSE)</f>
        <v>8117300</v>
      </c>
      <c r="K925">
        <v>1</v>
      </c>
      <c r="L925" s="4">
        <v>4.5585849999999999</v>
      </c>
      <c r="M925" s="4">
        <v>105.406808</v>
      </c>
      <c r="N925" s="13">
        <v>5.26</v>
      </c>
      <c r="P925"/>
      <c r="Q925" s="12"/>
      <c r="R925" s="12"/>
    </row>
    <row r="926" spans="1:18" x14ac:dyDescent="0.2">
      <c r="A926">
        <v>8</v>
      </c>
      <c r="B926" t="s">
        <v>18</v>
      </c>
      <c r="C926">
        <v>2020</v>
      </c>
      <c r="D926">
        <v>1</v>
      </c>
      <c r="E926" s="4">
        <v>0</v>
      </c>
      <c r="F926" s="9">
        <v>0</v>
      </c>
      <c r="G926" s="6">
        <v>8352</v>
      </c>
      <c r="H926" s="9">
        <f t="shared" si="14"/>
        <v>0</v>
      </c>
      <c r="I926" s="6">
        <v>12219</v>
      </c>
      <c r="J926" s="6">
        <f>VLOOKUP(Table1[[#This Row],[Province]],[1]Sheet1!$A$3:$F$37,4,FALSE)</f>
        <v>8117300</v>
      </c>
      <c r="K926">
        <v>0</v>
      </c>
      <c r="L926" s="4">
        <v>4.5585849999999999</v>
      </c>
      <c r="M926" s="4">
        <v>105.406808</v>
      </c>
      <c r="N926" s="13">
        <v>-1.66</v>
      </c>
      <c r="P926"/>
      <c r="Q926" s="12"/>
      <c r="R926" s="12"/>
    </row>
    <row r="927" spans="1:18" x14ac:dyDescent="0.2">
      <c r="A927">
        <v>8</v>
      </c>
      <c r="B927" t="s">
        <v>18</v>
      </c>
      <c r="C927">
        <v>2020</v>
      </c>
      <c r="D927">
        <v>2</v>
      </c>
      <c r="E927" s="4">
        <v>0</v>
      </c>
      <c r="F927" s="9">
        <v>5.0000000000000001E-3</v>
      </c>
      <c r="G927" s="6">
        <v>10849</v>
      </c>
      <c r="H927" s="9">
        <f t="shared" si="14"/>
        <v>5.0000000000000001E-3</v>
      </c>
      <c r="I927" s="6">
        <v>12360</v>
      </c>
      <c r="J927" s="6">
        <f>VLOOKUP(Table1[[#This Row],[Province]],[1]Sheet1!$A$3:$F$37,4,FALSE)</f>
        <v>8117300</v>
      </c>
      <c r="K927">
        <v>0</v>
      </c>
      <c r="L927" s="4">
        <v>4.5585849999999999</v>
      </c>
      <c r="M927" s="4">
        <v>105.406808</v>
      </c>
      <c r="N927" s="13">
        <v>-1.66</v>
      </c>
      <c r="P927"/>
      <c r="Q927" s="12"/>
      <c r="R927" s="12"/>
    </row>
    <row r="928" spans="1:18" x14ac:dyDescent="0.2">
      <c r="A928">
        <v>8</v>
      </c>
      <c r="B928" t="s">
        <v>18</v>
      </c>
      <c r="C928">
        <v>2020</v>
      </c>
      <c r="D928">
        <v>3</v>
      </c>
      <c r="E928" s="4">
        <v>0</v>
      </c>
      <c r="F928" s="9">
        <v>0</v>
      </c>
      <c r="G928" s="6">
        <v>11452</v>
      </c>
      <c r="H928" s="9">
        <f t="shared" si="14"/>
        <v>0</v>
      </c>
      <c r="I928" s="6">
        <v>16106</v>
      </c>
      <c r="J928" s="6">
        <f>VLOOKUP(Table1[[#This Row],[Province]],[1]Sheet1!$A$3:$F$37,4,FALSE)</f>
        <v>8117300</v>
      </c>
      <c r="K928">
        <v>0</v>
      </c>
      <c r="L928" s="4">
        <v>4.5585849999999999</v>
      </c>
      <c r="M928" s="4">
        <v>105.406808</v>
      </c>
      <c r="N928" s="13">
        <v>-1.66</v>
      </c>
      <c r="P928"/>
      <c r="Q928" s="12"/>
      <c r="R928" s="12"/>
    </row>
    <row r="929" spans="1:18" x14ac:dyDescent="0.2">
      <c r="A929">
        <v>8</v>
      </c>
      <c r="B929" t="s">
        <v>18</v>
      </c>
      <c r="C929">
        <v>2020</v>
      </c>
      <c r="D929">
        <v>4</v>
      </c>
      <c r="E929" s="4">
        <v>2665</v>
      </c>
      <c r="F929" s="9">
        <v>0</v>
      </c>
      <c r="G929" s="6">
        <v>5544</v>
      </c>
      <c r="H929" s="9">
        <f t="shared" si="14"/>
        <v>2665</v>
      </c>
      <c r="I929" s="6">
        <v>17667</v>
      </c>
      <c r="J929" s="6">
        <f>VLOOKUP(Table1[[#This Row],[Province]],[1]Sheet1!$A$3:$F$37,4,FALSE)</f>
        <v>8117300</v>
      </c>
      <c r="K929">
        <v>1</v>
      </c>
      <c r="L929" s="4">
        <v>4.5585849999999999</v>
      </c>
      <c r="M929" s="4">
        <v>105.406808</v>
      </c>
      <c r="N929" s="13">
        <v>-1.66</v>
      </c>
      <c r="P929"/>
      <c r="Q929" s="12"/>
      <c r="R929" s="12"/>
    </row>
    <row r="930" spans="1:18" x14ac:dyDescent="0.2">
      <c r="A930">
        <v>8</v>
      </c>
      <c r="B930" t="s">
        <v>18</v>
      </c>
      <c r="C930">
        <v>2020</v>
      </c>
      <c r="D930">
        <v>5</v>
      </c>
      <c r="E930" s="4">
        <v>0</v>
      </c>
      <c r="F930" s="9">
        <v>0</v>
      </c>
      <c r="G930" s="6">
        <v>7387</v>
      </c>
      <c r="H930" s="9">
        <f t="shared" si="14"/>
        <v>0</v>
      </c>
      <c r="I930" s="6">
        <v>14550</v>
      </c>
      <c r="J930" s="6">
        <f>VLOOKUP(Table1[[#This Row],[Province]],[1]Sheet1!$A$3:$F$37,4,FALSE)</f>
        <v>8117300</v>
      </c>
      <c r="K930">
        <v>0</v>
      </c>
      <c r="L930" s="4">
        <v>4.5585849999999999</v>
      </c>
      <c r="M930" s="4">
        <v>105.406808</v>
      </c>
      <c r="N930" s="13">
        <v>-1.66</v>
      </c>
      <c r="P930"/>
      <c r="Q930" s="12"/>
      <c r="R930" s="12"/>
    </row>
    <row r="931" spans="1:18" x14ac:dyDescent="0.2">
      <c r="A931">
        <v>8</v>
      </c>
      <c r="B931" t="s">
        <v>18</v>
      </c>
      <c r="C931">
        <v>2020</v>
      </c>
      <c r="D931">
        <v>5</v>
      </c>
      <c r="E931" s="4">
        <v>46968</v>
      </c>
      <c r="F931" s="9">
        <v>0</v>
      </c>
      <c r="G931" s="6">
        <v>6520</v>
      </c>
      <c r="H931" s="9">
        <f t="shared" si="14"/>
        <v>46968</v>
      </c>
      <c r="I931" s="6">
        <v>16083</v>
      </c>
      <c r="J931" s="6">
        <f>VLOOKUP(Table1[[#This Row],[Province]],[1]Sheet1!$A$3:$F$37,4,FALSE)</f>
        <v>8117300</v>
      </c>
      <c r="K931">
        <v>0</v>
      </c>
      <c r="L931" s="4">
        <v>4.5585849999999999</v>
      </c>
      <c r="M931" s="4">
        <v>105.406808</v>
      </c>
      <c r="N931" s="13">
        <v>-1.66</v>
      </c>
      <c r="P931"/>
      <c r="Q931" s="12"/>
      <c r="R931" s="12"/>
    </row>
    <row r="932" spans="1:18" x14ac:dyDescent="0.2">
      <c r="A932">
        <v>8</v>
      </c>
      <c r="B932" t="s">
        <v>18</v>
      </c>
      <c r="C932">
        <v>2020</v>
      </c>
      <c r="D932">
        <v>6</v>
      </c>
      <c r="E932" s="4">
        <v>111458</v>
      </c>
      <c r="F932" s="9">
        <v>0</v>
      </c>
      <c r="G932" s="6">
        <v>9118</v>
      </c>
      <c r="H932" s="9">
        <f t="shared" si="14"/>
        <v>111458</v>
      </c>
      <c r="I932" s="6">
        <v>14991</v>
      </c>
      <c r="J932" s="6">
        <f>VLOOKUP(Table1[[#This Row],[Province]],[1]Sheet1!$A$3:$F$37,4,FALSE)</f>
        <v>8117300</v>
      </c>
      <c r="K932">
        <v>0</v>
      </c>
      <c r="L932" s="4">
        <v>4.5585849999999999</v>
      </c>
      <c r="M932" s="4">
        <v>105.406808</v>
      </c>
      <c r="N932" s="13">
        <v>-1.66</v>
      </c>
      <c r="P932"/>
      <c r="Q932" s="12"/>
      <c r="R932" s="12"/>
    </row>
    <row r="933" spans="1:18" x14ac:dyDescent="0.2">
      <c r="A933">
        <v>8</v>
      </c>
      <c r="B933" t="s">
        <v>18</v>
      </c>
      <c r="C933">
        <v>2020</v>
      </c>
      <c r="D933">
        <v>7</v>
      </c>
      <c r="E933" s="4">
        <v>111383</v>
      </c>
      <c r="F933" s="9">
        <v>0</v>
      </c>
      <c r="G933" s="6">
        <v>8063</v>
      </c>
      <c r="H933" s="9">
        <f t="shared" si="14"/>
        <v>111383</v>
      </c>
      <c r="I933" s="6">
        <v>13050</v>
      </c>
      <c r="J933" s="6">
        <f>VLOOKUP(Table1[[#This Row],[Province]],[1]Sheet1!$A$3:$F$37,4,FALSE)</f>
        <v>8117300</v>
      </c>
      <c r="K933">
        <v>0</v>
      </c>
      <c r="L933" s="4">
        <v>4.5585849999999999</v>
      </c>
      <c r="M933" s="4">
        <v>105.406808</v>
      </c>
      <c r="N933" s="13">
        <v>-1.66</v>
      </c>
      <c r="P933"/>
      <c r="Q933" s="12"/>
      <c r="R933" s="12"/>
    </row>
    <row r="934" spans="1:18" x14ac:dyDescent="0.2">
      <c r="A934">
        <v>8</v>
      </c>
      <c r="B934" t="s">
        <v>18</v>
      </c>
      <c r="C934">
        <v>2020</v>
      </c>
      <c r="D934">
        <v>8</v>
      </c>
      <c r="E934" s="4">
        <v>149875</v>
      </c>
      <c r="F934" s="9">
        <v>3.0000000000000001E-3</v>
      </c>
      <c r="G934" s="6">
        <v>5034</v>
      </c>
      <c r="H934" s="9">
        <f t="shared" si="14"/>
        <v>149875.003</v>
      </c>
      <c r="I934" s="6">
        <v>13100</v>
      </c>
      <c r="J934" s="6">
        <f>VLOOKUP(Table1[[#This Row],[Province]],[1]Sheet1!$A$3:$F$37,4,FALSE)</f>
        <v>8117300</v>
      </c>
      <c r="K934">
        <v>0</v>
      </c>
      <c r="L934" s="4">
        <v>4.5585849999999999</v>
      </c>
      <c r="M934" s="4">
        <v>105.406808</v>
      </c>
      <c r="N934" s="13">
        <v>-1.66</v>
      </c>
      <c r="P934"/>
      <c r="Q934" s="12"/>
      <c r="R934" s="12"/>
    </row>
    <row r="935" spans="1:18" x14ac:dyDescent="0.2">
      <c r="A935">
        <v>8</v>
      </c>
      <c r="B935" t="s">
        <v>18</v>
      </c>
      <c r="C935">
        <v>2020</v>
      </c>
      <c r="D935">
        <v>9</v>
      </c>
      <c r="E935" s="4">
        <v>112952</v>
      </c>
      <c r="F935" s="9">
        <v>0</v>
      </c>
      <c r="G935" s="6">
        <v>5834</v>
      </c>
      <c r="H935" s="9">
        <f t="shared" si="14"/>
        <v>112952</v>
      </c>
      <c r="I935" s="6">
        <v>13000</v>
      </c>
      <c r="J935" s="6">
        <f>VLOOKUP(Table1[[#This Row],[Province]],[1]Sheet1!$A$3:$F$37,4,FALSE)</f>
        <v>8117300</v>
      </c>
      <c r="K935">
        <v>0</v>
      </c>
      <c r="L935" s="4">
        <v>4.5585849999999999</v>
      </c>
      <c r="M935" s="4">
        <v>105.406808</v>
      </c>
      <c r="N935" s="13">
        <v>-1.66</v>
      </c>
      <c r="P935"/>
      <c r="Q935" s="12"/>
      <c r="R935" s="12"/>
    </row>
    <row r="936" spans="1:18" x14ac:dyDescent="0.2">
      <c r="A936">
        <v>8</v>
      </c>
      <c r="B936" t="s">
        <v>18</v>
      </c>
      <c r="C936">
        <v>2020</v>
      </c>
      <c r="D936">
        <v>10</v>
      </c>
      <c r="E936" s="4">
        <v>83440</v>
      </c>
      <c r="F936" s="9">
        <v>0</v>
      </c>
      <c r="G936" s="6">
        <v>4750</v>
      </c>
      <c r="H936" s="9">
        <f t="shared" si="14"/>
        <v>83440</v>
      </c>
      <c r="I936" s="6">
        <v>12958</v>
      </c>
      <c r="J936" s="6">
        <f>VLOOKUP(Table1[[#This Row],[Province]],[1]Sheet1!$A$3:$F$37,4,FALSE)</f>
        <v>8117300</v>
      </c>
      <c r="K936">
        <v>0</v>
      </c>
      <c r="L936" s="4">
        <v>4.5585849999999999</v>
      </c>
      <c r="M936" s="4">
        <v>105.406808</v>
      </c>
      <c r="N936" s="13">
        <v>-1.66</v>
      </c>
      <c r="P936"/>
      <c r="Q936" s="12"/>
      <c r="R936" s="12"/>
    </row>
    <row r="937" spans="1:18" x14ac:dyDescent="0.2">
      <c r="A937">
        <v>8</v>
      </c>
      <c r="B937" t="s">
        <v>18</v>
      </c>
      <c r="C937">
        <v>2020</v>
      </c>
      <c r="D937">
        <v>12</v>
      </c>
      <c r="E937" s="4">
        <v>69955</v>
      </c>
      <c r="F937" s="9">
        <v>0</v>
      </c>
      <c r="G937" s="6">
        <v>6189</v>
      </c>
      <c r="H937" s="9">
        <f t="shared" si="14"/>
        <v>69955</v>
      </c>
      <c r="I937" s="6">
        <v>13000</v>
      </c>
      <c r="J937" s="6">
        <f>VLOOKUP(Table1[[#This Row],[Province]],[1]Sheet1!$A$3:$F$37,4,FALSE)</f>
        <v>8117300</v>
      </c>
      <c r="K937">
        <v>1</v>
      </c>
      <c r="L937" s="4">
        <v>4.5585849999999999</v>
      </c>
      <c r="M937" s="4">
        <v>105.406808</v>
      </c>
      <c r="N937" s="13">
        <v>-1.66</v>
      </c>
      <c r="P937"/>
      <c r="Q937" s="12"/>
      <c r="R937" s="12"/>
    </row>
    <row r="938" spans="1:18" x14ac:dyDescent="0.2">
      <c r="A938">
        <v>8</v>
      </c>
      <c r="B938" t="s">
        <v>18</v>
      </c>
      <c r="C938">
        <v>2021</v>
      </c>
      <c r="D938">
        <v>1</v>
      </c>
      <c r="E938" s="4">
        <v>0</v>
      </c>
      <c r="F938" s="9">
        <v>0</v>
      </c>
      <c r="G938" s="6">
        <v>4565</v>
      </c>
      <c r="H938" s="9">
        <f t="shared" si="14"/>
        <v>0</v>
      </c>
      <c r="I938" s="6">
        <v>13000</v>
      </c>
      <c r="J938" s="6">
        <f>VLOOKUP(Table1[[#This Row],[Province]],[1]Sheet1!$A$3:$F$37,4,FALSE)</f>
        <v>8117300</v>
      </c>
      <c r="K938">
        <v>0</v>
      </c>
      <c r="L938" s="4">
        <v>4.5585849999999999</v>
      </c>
      <c r="M938" s="4">
        <v>105.406808</v>
      </c>
      <c r="N938" s="13">
        <v>2.77</v>
      </c>
      <c r="P938"/>
      <c r="Q938" s="12"/>
      <c r="R938" s="12"/>
    </row>
    <row r="939" spans="1:18" x14ac:dyDescent="0.2">
      <c r="A939">
        <v>8</v>
      </c>
      <c r="B939" t="s">
        <v>18</v>
      </c>
      <c r="C939">
        <v>2021</v>
      </c>
      <c r="D939">
        <v>2</v>
      </c>
      <c r="E939" s="4">
        <v>0</v>
      </c>
      <c r="F939" s="9">
        <v>0</v>
      </c>
      <c r="G939" s="6">
        <v>5489</v>
      </c>
      <c r="H939" s="9">
        <f t="shared" si="14"/>
        <v>0</v>
      </c>
      <c r="I939" s="6">
        <v>13000</v>
      </c>
      <c r="J939" s="6">
        <f>VLOOKUP(Table1[[#This Row],[Province]],[1]Sheet1!$A$3:$F$37,4,FALSE)</f>
        <v>8117300</v>
      </c>
      <c r="K939">
        <v>0</v>
      </c>
      <c r="L939" s="4">
        <v>4.5585849999999999</v>
      </c>
      <c r="M939" s="4">
        <v>105.406808</v>
      </c>
      <c r="N939" s="13">
        <v>2.77</v>
      </c>
      <c r="P939"/>
      <c r="Q939" s="12"/>
      <c r="R939" s="12"/>
    </row>
    <row r="940" spans="1:18" x14ac:dyDescent="0.2">
      <c r="A940">
        <v>8</v>
      </c>
      <c r="B940" t="s">
        <v>18</v>
      </c>
      <c r="C940">
        <v>2021</v>
      </c>
      <c r="D940">
        <v>3</v>
      </c>
      <c r="E940" s="4">
        <v>67454</v>
      </c>
      <c r="F940" s="9">
        <v>0</v>
      </c>
      <c r="G940" s="6">
        <v>4254</v>
      </c>
      <c r="H940" s="9">
        <f t="shared" si="14"/>
        <v>67454</v>
      </c>
      <c r="I940" s="6">
        <v>13000</v>
      </c>
      <c r="J940" s="6">
        <f>VLOOKUP(Table1[[#This Row],[Province]],[1]Sheet1!$A$3:$F$37,4,FALSE)</f>
        <v>8117300</v>
      </c>
      <c r="K940">
        <v>0</v>
      </c>
      <c r="L940" s="4">
        <v>4.5585849999999999</v>
      </c>
      <c r="M940" s="4">
        <v>105.406808</v>
      </c>
      <c r="N940" s="13">
        <v>2.77</v>
      </c>
      <c r="P940"/>
      <c r="Q940" s="12"/>
      <c r="R940" s="12"/>
    </row>
    <row r="941" spans="1:18" x14ac:dyDescent="0.2">
      <c r="A941">
        <v>8</v>
      </c>
      <c r="B941" t="s">
        <v>18</v>
      </c>
      <c r="C941">
        <v>2021</v>
      </c>
      <c r="D941">
        <v>4</v>
      </c>
      <c r="E941" s="4">
        <v>101018</v>
      </c>
      <c r="F941" s="9">
        <v>0</v>
      </c>
      <c r="G941" s="6">
        <v>811</v>
      </c>
      <c r="H941" s="9">
        <f t="shared" si="14"/>
        <v>101018</v>
      </c>
      <c r="I941" s="6">
        <v>12788</v>
      </c>
      <c r="J941" s="6">
        <f>VLOOKUP(Table1[[#This Row],[Province]],[1]Sheet1!$A$3:$F$37,4,FALSE)</f>
        <v>8117300</v>
      </c>
      <c r="K941">
        <v>1</v>
      </c>
      <c r="L941" s="4">
        <v>4.5585849999999999</v>
      </c>
      <c r="M941" s="4">
        <v>105.406808</v>
      </c>
      <c r="N941" s="13">
        <v>2.77</v>
      </c>
      <c r="P941"/>
      <c r="Q941" s="12"/>
      <c r="R941" s="12"/>
    </row>
    <row r="942" spans="1:18" x14ac:dyDescent="0.2">
      <c r="A942">
        <v>8</v>
      </c>
      <c r="B942" t="s">
        <v>18</v>
      </c>
      <c r="C942">
        <v>2021</v>
      </c>
      <c r="D942">
        <v>5</v>
      </c>
      <c r="E942" s="4">
        <v>136221</v>
      </c>
      <c r="F942" s="9">
        <v>0</v>
      </c>
      <c r="G942" s="6">
        <v>5159</v>
      </c>
      <c r="H942" s="9">
        <f t="shared" si="14"/>
        <v>136221</v>
      </c>
      <c r="I942" s="6">
        <v>12780</v>
      </c>
      <c r="J942" s="6">
        <f>VLOOKUP(Table1[[#This Row],[Province]],[1]Sheet1!$A$3:$F$37,4,FALSE)</f>
        <v>8117300</v>
      </c>
      <c r="K942">
        <v>0</v>
      </c>
      <c r="L942" s="4">
        <v>4.5585849999999999</v>
      </c>
      <c r="M942" s="4">
        <v>105.406808</v>
      </c>
      <c r="N942" s="13">
        <v>2.77</v>
      </c>
      <c r="P942"/>
      <c r="Q942" s="12"/>
      <c r="R942" s="12"/>
    </row>
    <row r="943" spans="1:18" x14ac:dyDescent="0.2">
      <c r="A943">
        <v>8</v>
      </c>
      <c r="B943" t="s">
        <v>18</v>
      </c>
      <c r="C943">
        <v>2021</v>
      </c>
      <c r="D943">
        <v>6</v>
      </c>
      <c r="E943" s="4">
        <v>147631</v>
      </c>
      <c r="F943" s="9">
        <v>0</v>
      </c>
      <c r="G943" s="6">
        <v>7226</v>
      </c>
      <c r="H943" s="9">
        <f t="shared" si="14"/>
        <v>147631</v>
      </c>
      <c r="I943" s="6">
        <v>12663</v>
      </c>
      <c r="J943" s="6">
        <f>VLOOKUP(Table1[[#This Row],[Province]],[1]Sheet1!$A$3:$F$37,4,FALSE)</f>
        <v>8117300</v>
      </c>
      <c r="K943">
        <v>0</v>
      </c>
      <c r="L943" s="4">
        <v>4.5585849999999999</v>
      </c>
      <c r="M943" s="4">
        <v>105.406808</v>
      </c>
      <c r="N943" s="13">
        <v>2.77</v>
      </c>
      <c r="P943"/>
      <c r="Q943" s="12"/>
      <c r="R943" s="12"/>
    </row>
    <row r="944" spans="1:18" x14ac:dyDescent="0.2">
      <c r="A944">
        <v>8</v>
      </c>
      <c r="B944" t="s">
        <v>18</v>
      </c>
      <c r="C944">
        <v>2021</v>
      </c>
      <c r="D944">
        <v>7</v>
      </c>
      <c r="E944" s="4">
        <v>128264</v>
      </c>
      <c r="F944" s="9">
        <v>0</v>
      </c>
      <c r="G944" s="6">
        <v>10565</v>
      </c>
      <c r="H944" s="9">
        <f t="shared" si="14"/>
        <v>128264</v>
      </c>
      <c r="I944" s="6">
        <v>12525</v>
      </c>
      <c r="J944" s="6">
        <f>VLOOKUP(Table1[[#This Row],[Province]],[1]Sheet1!$A$3:$F$37,4,FALSE)</f>
        <v>8117300</v>
      </c>
      <c r="K944">
        <v>0</v>
      </c>
      <c r="L944" s="4">
        <v>4.5585849999999999</v>
      </c>
      <c r="M944" s="4">
        <v>105.406808</v>
      </c>
      <c r="N944" s="13">
        <v>2.77</v>
      </c>
      <c r="P944"/>
      <c r="Q944" s="12"/>
      <c r="R944" s="12"/>
    </row>
    <row r="945" spans="1:18" x14ac:dyDescent="0.2">
      <c r="A945">
        <v>8</v>
      </c>
      <c r="B945" t="s">
        <v>18</v>
      </c>
      <c r="C945">
        <v>2021</v>
      </c>
      <c r="D945">
        <v>8</v>
      </c>
      <c r="E945" s="4">
        <v>102374</v>
      </c>
      <c r="F945" s="9">
        <v>0</v>
      </c>
      <c r="G945" s="6">
        <v>6432</v>
      </c>
      <c r="H945" s="9">
        <f t="shared" si="14"/>
        <v>102374</v>
      </c>
      <c r="I945" s="6">
        <v>12420</v>
      </c>
      <c r="J945" s="6">
        <f>VLOOKUP(Table1[[#This Row],[Province]],[1]Sheet1!$A$3:$F$37,4,FALSE)</f>
        <v>8117300</v>
      </c>
      <c r="K945">
        <v>0</v>
      </c>
      <c r="L945" s="4">
        <v>4.5585849999999999</v>
      </c>
      <c r="M945" s="4">
        <v>105.406808</v>
      </c>
      <c r="N945" s="13">
        <v>2.77</v>
      </c>
      <c r="P945"/>
      <c r="Q945" s="12"/>
      <c r="R945" s="12"/>
    </row>
    <row r="946" spans="1:18" x14ac:dyDescent="0.2">
      <c r="A946">
        <v>8</v>
      </c>
      <c r="B946" t="s">
        <v>18</v>
      </c>
      <c r="C946">
        <v>2021</v>
      </c>
      <c r="D946">
        <v>9</v>
      </c>
      <c r="E946" s="4">
        <v>69923</v>
      </c>
      <c r="F946" s="9">
        <v>0</v>
      </c>
      <c r="G946" s="6">
        <v>6429</v>
      </c>
      <c r="H946" s="9">
        <f t="shared" si="14"/>
        <v>69923</v>
      </c>
      <c r="I946" s="6">
        <v>12464</v>
      </c>
      <c r="J946" s="6">
        <f>VLOOKUP(Table1[[#This Row],[Province]],[1]Sheet1!$A$3:$F$37,4,FALSE)</f>
        <v>8117300</v>
      </c>
      <c r="K946">
        <v>0</v>
      </c>
      <c r="L946" s="4">
        <v>4.5585849999999999</v>
      </c>
      <c r="M946" s="4">
        <v>105.406808</v>
      </c>
      <c r="N946" s="13">
        <v>2.77</v>
      </c>
      <c r="P946"/>
      <c r="Q946" s="12"/>
      <c r="R946" s="12"/>
    </row>
    <row r="947" spans="1:18" x14ac:dyDescent="0.2">
      <c r="A947">
        <v>8</v>
      </c>
      <c r="B947" t="s">
        <v>18</v>
      </c>
      <c r="C947">
        <v>2021</v>
      </c>
      <c r="D947">
        <v>10</v>
      </c>
      <c r="E947" s="4">
        <v>27509</v>
      </c>
      <c r="F947" s="9">
        <v>0</v>
      </c>
      <c r="G947" s="6">
        <v>4895</v>
      </c>
      <c r="H947" s="9">
        <f t="shared" si="14"/>
        <v>27509</v>
      </c>
      <c r="I947" s="6">
        <v>12375</v>
      </c>
      <c r="J947" s="6">
        <f>VLOOKUP(Table1[[#This Row],[Province]],[1]Sheet1!$A$3:$F$37,4,FALSE)</f>
        <v>8117300</v>
      </c>
      <c r="K947">
        <v>0</v>
      </c>
      <c r="L947" s="4">
        <v>4.5585849999999999</v>
      </c>
      <c r="M947" s="4">
        <v>105.406808</v>
      </c>
      <c r="N947" s="13">
        <v>2.77</v>
      </c>
      <c r="P947"/>
      <c r="Q947" s="12"/>
      <c r="R947" s="12"/>
    </row>
    <row r="948" spans="1:18" x14ac:dyDescent="0.2">
      <c r="A948">
        <v>8</v>
      </c>
      <c r="B948" t="s">
        <v>18</v>
      </c>
      <c r="C948">
        <v>2021</v>
      </c>
      <c r="D948">
        <v>11</v>
      </c>
      <c r="E948" s="4">
        <v>691</v>
      </c>
      <c r="F948" s="9">
        <v>0</v>
      </c>
      <c r="G948" s="6">
        <v>7732</v>
      </c>
      <c r="H948" s="9">
        <f t="shared" si="14"/>
        <v>691</v>
      </c>
      <c r="I948" s="6">
        <v>12330</v>
      </c>
      <c r="J948" s="6">
        <f>VLOOKUP(Table1[[#This Row],[Province]],[1]Sheet1!$A$3:$F$37,4,FALSE)</f>
        <v>8117300</v>
      </c>
      <c r="K948">
        <v>0</v>
      </c>
      <c r="L948" s="4">
        <v>4.5585849999999999</v>
      </c>
      <c r="M948" s="4">
        <v>105.406808</v>
      </c>
      <c r="N948" s="13">
        <v>2.77</v>
      </c>
      <c r="P948"/>
      <c r="Q948" s="12"/>
      <c r="R948" s="12"/>
    </row>
    <row r="949" spans="1:18" x14ac:dyDescent="0.2">
      <c r="A949">
        <v>8</v>
      </c>
      <c r="B949" t="s">
        <v>18</v>
      </c>
      <c r="C949">
        <v>2021</v>
      </c>
      <c r="D949">
        <v>12</v>
      </c>
      <c r="E949" s="4">
        <v>0</v>
      </c>
      <c r="F949" s="9">
        <v>0</v>
      </c>
      <c r="G949" s="6">
        <v>4376</v>
      </c>
      <c r="H949" s="9">
        <f t="shared" si="14"/>
        <v>0</v>
      </c>
      <c r="I949" s="6">
        <v>12425</v>
      </c>
      <c r="J949" s="6">
        <f>VLOOKUP(Table1[[#This Row],[Province]],[1]Sheet1!$A$3:$F$37,4,FALSE)</f>
        <v>8117300</v>
      </c>
      <c r="K949">
        <v>1</v>
      </c>
      <c r="L949" s="4">
        <v>4.5585849999999999</v>
      </c>
      <c r="M949" s="4">
        <v>105.406808</v>
      </c>
      <c r="N949" s="13">
        <v>2.77</v>
      </c>
      <c r="P949"/>
      <c r="Q949" s="12"/>
      <c r="R949" s="12"/>
    </row>
    <row r="950" spans="1:18" x14ac:dyDescent="0.2">
      <c r="A950">
        <v>8</v>
      </c>
      <c r="B950" t="s">
        <v>18</v>
      </c>
      <c r="C950">
        <v>2022</v>
      </c>
      <c r="D950">
        <v>1</v>
      </c>
      <c r="E950" s="6">
        <v>0</v>
      </c>
      <c r="F950" s="9">
        <v>0</v>
      </c>
      <c r="G950" s="6">
        <v>5349</v>
      </c>
      <c r="H950" s="9">
        <f t="shared" si="14"/>
        <v>0</v>
      </c>
      <c r="I950" s="6">
        <v>13400</v>
      </c>
      <c r="J950" s="6">
        <f>VLOOKUP(Table1[[#This Row],[Province]],[1]Sheet1!$A$3:$F$37,4,FALSE)</f>
        <v>8117300</v>
      </c>
      <c r="K950">
        <v>0</v>
      </c>
      <c r="L950" s="4">
        <v>4.5585849999999999</v>
      </c>
      <c r="M950" s="4">
        <v>105.406808</v>
      </c>
      <c r="N950" s="13">
        <v>4.28</v>
      </c>
      <c r="P950"/>
      <c r="Q950" s="12"/>
      <c r="R950" s="12"/>
    </row>
    <row r="951" spans="1:18" x14ac:dyDescent="0.2">
      <c r="A951">
        <v>8</v>
      </c>
      <c r="B951" t="s">
        <v>18</v>
      </c>
      <c r="C951">
        <v>2022</v>
      </c>
      <c r="D951">
        <v>2</v>
      </c>
      <c r="E951" s="6">
        <v>0</v>
      </c>
      <c r="F951" s="9">
        <v>0</v>
      </c>
      <c r="G951" s="6">
        <v>8739</v>
      </c>
      <c r="H951" s="9">
        <f t="shared" si="14"/>
        <v>0</v>
      </c>
      <c r="I951" s="6">
        <v>13714</v>
      </c>
      <c r="J951" s="6">
        <f>VLOOKUP(Table1[[#This Row],[Province]],[1]Sheet1!$A$3:$F$37,4,FALSE)</f>
        <v>8117300</v>
      </c>
      <c r="K951">
        <v>0</v>
      </c>
      <c r="L951" s="4">
        <v>4.5585849999999999</v>
      </c>
      <c r="M951" s="4">
        <v>105.406808</v>
      </c>
      <c r="N951" s="13">
        <v>4.28</v>
      </c>
      <c r="P951"/>
      <c r="Q951" s="12"/>
      <c r="R951" s="12"/>
    </row>
    <row r="952" spans="1:18" x14ac:dyDescent="0.2">
      <c r="A952">
        <v>8</v>
      </c>
      <c r="B952" t="s">
        <v>18</v>
      </c>
      <c r="C952">
        <v>2022</v>
      </c>
      <c r="D952">
        <v>3</v>
      </c>
      <c r="E952" s="6">
        <v>4032</v>
      </c>
      <c r="F952" s="9">
        <v>0</v>
      </c>
      <c r="G952" s="6">
        <v>4886</v>
      </c>
      <c r="H952" s="9">
        <f t="shared" si="14"/>
        <v>4032</v>
      </c>
      <c r="I952" s="6">
        <v>13870</v>
      </c>
      <c r="J952" s="6">
        <f>VLOOKUP(Table1[[#This Row],[Province]],[1]Sheet1!$A$3:$F$37,4,FALSE)</f>
        <v>8117300</v>
      </c>
      <c r="K952">
        <v>0</v>
      </c>
      <c r="L952" s="4">
        <v>4.5585849999999999</v>
      </c>
      <c r="M952" s="4">
        <v>105.406808</v>
      </c>
      <c r="N952" s="13">
        <v>4.28</v>
      </c>
      <c r="P952"/>
      <c r="Q952" s="12"/>
      <c r="R952" s="12"/>
    </row>
    <row r="953" spans="1:18" x14ac:dyDescent="0.2">
      <c r="A953">
        <v>8</v>
      </c>
      <c r="B953" t="s">
        <v>18</v>
      </c>
      <c r="C953">
        <v>2022</v>
      </c>
      <c r="D953">
        <v>4</v>
      </c>
      <c r="E953" s="6">
        <v>85937</v>
      </c>
      <c r="F953" s="9">
        <v>0</v>
      </c>
      <c r="G953" s="6">
        <v>6117</v>
      </c>
      <c r="H953" s="9">
        <f t="shared" si="14"/>
        <v>85937</v>
      </c>
      <c r="I953" s="6">
        <v>14063</v>
      </c>
      <c r="J953" s="6">
        <f>VLOOKUP(Table1[[#This Row],[Province]],[1]Sheet1!$A$3:$F$37,4,FALSE)</f>
        <v>8117300</v>
      </c>
      <c r="K953">
        <v>1</v>
      </c>
      <c r="L953" s="4">
        <v>4.5585849999999999</v>
      </c>
      <c r="M953" s="4">
        <v>105.406808</v>
      </c>
      <c r="N953" s="13">
        <v>4.28</v>
      </c>
      <c r="P953"/>
      <c r="Q953" s="12"/>
      <c r="R953" s="12"/>
    </row>
    <row r="954" spans="1:18" x14ac:dyDescent="0.2">
      <c r="A954">
        <v>8</v>
      </c>
      <c r="B954" t="s">
        <v>18</v>
      </c>
      <c r="C954">
        <v>2022</v>
      </c>
      <c r="D954">
        <v>5</v>
      </c>
      <c r="E954" s="6">
        <v>73397</v>
      </c>
      <c r="F954" s="9">
        <v>0</v>
      </c>
      <c r="G954" s="6">
        <v>8036</v>
      </c>
      <c r="H954" s="9">
        <f t="shared" si="14"/>
        <v>73397</v>
      </c>
      <c r="I954" s="6">
        <v>14093</v>
      </c>
      <c r="J954" s="6">
        <f>VLOOKUP(Table1[[#This Row],[Province]],[1]Sheet1!$A$3:$F$37,4,FALSE)</f>
        <v>8117300</v>
      </c>
      <c r="K954">
        <v>0</v>
      </c>
      <c r="L954" s="4">
        <v>4.5585849999999999</v>
      </c>
      <c r="M954" s="4">
        <v>105.406808</v>
      </c>
      <c r="N954" s="13">
        <v>4.28</v>
      </c>
      <c r="P954"/>
      <c r="Q954" s="12"/>
      <c r="R954" s="12"/>
    </row>
    <row r="955" spans="1:18" x14ac:dyDescent="0.2">
      <c r="A955">
        <v>8</v>
      </c>
      <c r="B955" t="s">
        <v>18</v>
      </c>
      <c r="C955">
        <v>2022</v>
      </c>
      <c r="D955">
        <v>6</v>
      </c>
      <c r="E955" s="6">
        <v>108560</v>
      </c>
      <c r="F955" s="9">
        <v>0</v>
      </c>
      <c r="G955" s="6">
        <v>5252</v>
      </c>
      <c r="H955" s="9">
        <f t="shared" si="14"/>
        <v>108560</v>
      </c>
      <c r="I955" s="6">
        <v>13964</v>
      </c>
      <c r="J955" s="6">
        <f>VLOOKUP(Table1[[#This Row],[Province]],[1]Sheet1!$A$3:$F$37,4,FALSE)</f>
        <v>8117300</v>
      </c>
      <c r="K955">
        <v>0</v>
      </c>
      <c r="L955" s="4">
        <v>4.5585849999999999</v>
      </c>
      <c r="M955" s="4">
        <v>105.406808</v>
      </c>
      <c r="N955" s="13">
        <v>4.28</v>
      </c>
      <c r="P955"/>
      <c r="Q955" s="12"/>
      <c r="R955" s="12"/>
    </row>
    <row r="956" spans="1:18" x14ac:dyDescent="0.2">
      <c r="A956">
        <v>8</v>
      </c>
      <c r="B956" t="s">
        <v>18</v>
      </c>
      <c r="C956">
        <v>2022</v>
      </c>
      <c r="D956">
        <v>7</v>
      </c>
      <c r="E956" s="6">
        <v>102451</v>
      </c>
      <c r="F956" s="9">
        <v>0</v>
      </c>
      <c r="G956" s="6">
        <v>13323</v>
      </c>
      <c r="H956" s="9">
        <f t="shared" si="14"/>
        <v>102451</v>
      </c>
      <c r="I956" s="6">
        <v>13900</v>
      </c>
      <c r="J956" s="6">
        <f>VLOOKUP(Table1[[#This Row],[Province]],[1]Sheet1!$A$3:$F$37,4,FALSE)</f>
        <v>8117300</v>
      </c>
      <c r="K956">
        <v>0</v>
      </c>
      <c r="L956" s="4">
        <v>4.5585849999999999</v>
      </c>
      <c r="M956" s="4">
        <v>105.406808</v>
      </c>
      <c r="N956" s="13">
        <v>4.28</v>
      </c>
      <c r="P956"/>
      <c r="Q956" s="12"/>
      <c r="R956" s="12"/>
    </row>
    <row r="957" spans="1:18" x14ac:dyDescent="0.2">
      <c r="A957">
        <v>8</v>
      </c>
      <c r="B957" t="s">
        <v>18</v>
      </c>
      <c r="C957">
        <v>2022</v>
      </c>
      <c r="D957">
        <v>8</v>
      </c>
      <c r="E957" s="6">
        <v>100877</v>
      </c>
      <c r="F957" s="9">
        <v>0</v>
      </c>
      <c r="G957" s="6">
        <v>5119</v>
      </c>
      <c r="H957" s="9">
        <f t="shared" si="14"/>
        <v>100877</v>
      </c>
      <c r="I957" s="6">
        <v>13886</v>
      </c>
      <c r="J957" s="6">
        <f>VLOOKUP(Table1[[#This Row],[Province]],[1]Sheet1!$A$3:$F$37,4,FALSE)</f>
        <v>8117300</v>
      </c>
      <c r="K957">
        <v>0</v>
      </c>
      <c r="L957" s="4">
        <v>4.5585849999999999</v>
      </c>
      <c r="M957" s="4">
        <v>105.406808</v>
      </c>
      <c r="N957" s="13">
        <v>4.28</v>
      </c>
      <c r="P957"/>
      <c r="Q957" s="12"/>
      <c r="R957" s="12"/>
    </row>
    <row r="958" spans="1:18" x14ac:dyDescent="0.2">
      <c r="A958">
        <v>8</v>
      </c>
      <c r="B958" t="s">
        <v>18</v>
      </c>
      <c r="C958">
        <v>2022</v>
      </c>
      <c r="D958">
        <v>9</v>
      </c>
      <c r="E958" s="6">
        <v>95619</v>
      </c>
      <c r="F958" s="9">
        <v>0</v>
      </c>
      <c r="G958" s="6">
        <v>11048</v>
      </c>
      <c r="H958" s="9">
        <f t="shared" si="14"/>
        <v>95619</v>
      </c>
      <c r="I958" s="6">
        <v>13002</v>
      </c>
      <c r="J958" s="6">
        <f>VLOOKUP(Table1[[#This Row],[Province]],[1]Sheet1!$A$3:$F$37,4,FALSE)</f>
        <v>8117300</v>
      </c>
      <c r="K958">
        <v>0</v>
      </c>
      <c r="L958" s="4">
        <v>4.5585849999999999</v>
      </c>
      <c r="M958" s="4">
        <v>105.406808</v>
      </c>
      <c r="N958" s="13">
        <v>4.28</v>
      </c>
      <c r="P958"/>
      <c r="Q958" s="12"/>
      <c r="R958" s="12"/>
    </row>
    <row r="959" spans="1:18" x14ac:dyDescent="0.2">
      <c r="A959">
        <v>8</v>
      </c>
      <c r="B959" t="s">
        <v>18</v>
      </c>
      <c r="C959">
        <v>2022</v>
      </c>
      <c r="D959">
        <v>10</v>
      </c>
      <c r="E959" s="6">
        <v>80071</v>
      </c>
      <c r="F959" s="9">
        <v>0</v>
      </c>
      <c r="G959" s="6">
        <v>5282</v>
      </c>
      <c r="H959" s="9">
        <f t="shared" si="14"/>
        <v>80071</v>
      </c>
      <c r="I959" s="6">
        <v>12745</v>
      </c>
      <c r="J959" s="6">
        <f>VLOOKUP(Table1[[#This Row],[Province]],[1]Sheet1!$A$3:$F$37,4,FALSE)</f>
        <v>8117300</v>
      </c>
      <c r="K959">
        <v>0</v>
      </c>
      <c r="L959" s="4">
        <v>4.5585849999999999</v>
      </c>
      <c r="M959" s="4">
        <v>105.406808</v>
      </c>
      <c r="N959" s="13">
        <v>4.28</v>
      </c>
      <c r="P959"/>
      <c r="Q959" s="12"/>
      <c r="R959" s="12"/>
    </row>
    <row r="960" spans="1:18" x14ac:dyDescent="0.2">
      <c r="A960">
        <v>8</v>
      </c>
      <c r="B960" t="s">
        <v>18</v>
      </c>
      <c r="C960">
        <v>2022</v>
      </c>
      <c r="D960">
        <v>11</v>
      </c>
      <c r="E960" s="6">
        <v>51449</v>
      </c>
      <c r="F960" s="9">
        <v>0</v>
      </c>
      <c r="G960" s="6">
        <v>10007</v>
      </c>
      <c r="H960" s="9">
        <f t="shared" si="14"/>
        <v>51449</v>
      </c>
      <c r="I960" s="6">
        <v>13523</v>
      </c>
      <c r="J960" s="6">
        <f>VLOOKUP(Table1[[#This Row],[Province]],[1]Sheet1!$A$3:$F$37,4,FALSE)</f>
        <v>8117300</v>
      </c>
      <c r="K960">
        <v>0</v>
      </c>
      <c r="L960" s="4">
        <v>4.5585849999999999</v>
      </c>
      <c r="M960" s="4">
        <v>105.406808</v>
      </c>
      <c r="N960" s="13">
        <v>4.28</v>
      </c>
      <c r="P960"/>
      <c r="Q960" s="12"/>
      <c r="R960" s="12"/>
    </row>
    <row r="961" spans="1:18" x14ac:dyDescent="0.2">
      <c r="A961">
        <v>8</v>
      </c>
      <c r="B961" t="s">
        <v>18</v>
      </c>
      <c r="C961">
        <v>2022</v>
      </c>
      <c r="D961">
        <v>12</v>
      </c>
      <c r="E961" s="6">
        <v>19152</v>
      </c>
      <c r="F961" s="9">
        <v>0</v>
      </c>
      <c r="G961" s="6">
        <v>7222</v>
      </c>
      <c r="H961" s="9">
        <f t="shared" si="14"/>
        <v>19152</v>
      </c>
      <c r="I961" s="6">
        <v>13650</v>
      </c>
      <c r="J961" s="6">
        <f>VLOOKUP(Table1[[#This Row],[Province]],[1]Sheet1!$A$3:$F$37,4,FALSE)</f>
        <v>8117300</v>
      </c>
      <c r="K961">
        <v>1</v>
      </c>
      <c r="L961" s="4">
        <v>4.5585849999999999</v>
      </c>
      <c r="M961" s="4">
        <v>105.406808</v>
      </c>
      <c r="N961" s="13">
        <v>4.28</v>
      </c>
      <c r="P961"/>
      <c r="Q961" s="12"/>
      <c r="R961" s="12"/>
    </row>
    <row r="962" spans="1:18" x14ac:dyDescent="0.2">
      <c r="A962">
        <v>9</v>
      </c>
      <c r="B962" t="s">
        <v>3</v>
      </c>
      <c r="C962">
        <v>2013</v>
      </c>
      <c r="D962">
        <v>1</v>
      </c>
      <c r="E962" s="4">
        <v>0</v>
      </c>
      <c r="F962" s="9">
        <v>0</v>
      </c>
      <c r="G962" s="6">
        <v>896</v>
      </c>
      <c r="H962" s="9">
        <f t="shared" ref="H962:H1025" si="15">F962+E962</f>
        <v>0</v>
      </c>
      <c r="I962" s="6">
        <v>12000</v>
      </c>
      <c r="J962" s="6">
        <f>VLOOKUP(Table1[[#This Row],[Province]],[1]Sheet1!$A$3:$F$37,4,FALSE)</f>
        <v>1372800</v>
      </c>
      <c r="K962">
        <v>0</v>
      </c>
      <c r="L962" s="4">
        <v>2.7410999999999999</v>
      </c>
      <c r="M962" s="4">
        <v>106.4406</v>
      </c>
      <c r="N962" s="6"/>
      <c r="P962"/>
      <c r="Q962" s="12"/>
      <c r="R962" s="12"/>
    </row>
    <row r="963" spans="1:18" x14ac:dyDescent="0.2">
      <c r="A963">
        <v>9</v>
      </c>
      <c r="B963" t="s">
        <v>3</v>
      </c>
      <c r="C963">
        <v>2013</v>
      </c>
      <c r="D963">
        <v>2</v>
      </c>
      <c r="E963" s="4">
        <v>0</v>
      </c>
      <c r="F963" s="9">
        <v>0</v>
      </c>
      <c r="G963" s="6">
        <v>859</v>
      </c>
      <c r="H963" s="9">
        <f t="shared" si="15"/>
        <v>0</v>
      </c>
      <c r="I963" s="6">
        <v>12000</v>
      </c>
      <c r="J963" s="6">
        <f>VLOOKUP(Table1[[#This Row],[Province]],[1]Sheet1!$A$3:$F$37,4,FALSE)</f>
        <v>1372800</v>
      </c>
      <c r="K963">
        <v>0</v>
      </c>
      <c r="L963" s="4">
        <v>2.7410999999999999</v>
      </c>
      <c r="M963" s="4">
        <v>106.4406</v>
      </c>
      <c r="N963" s="6"/>
      <c r="P963"/>
      <c r="Q963" s="12"/>
      <c r="R963" s="12"/>
    </row>
    <row r="964" spans="1:18" x14ac:dyDescent="0.2">
      <c r="A964">
        <v>9</v>
      </c>
      <c r="B964" t="s">
        <v>3</v>
      </c>
      <c r="C964">
        <v>2013</v>
      </c>
      <c r="D964">
        <v>3</v>
      </c>
      <c r="E964" s="4">
        <v>0</v>
      </c>
      <c r="F964" s="9">
        <v>0</v>
      </c>
      <c r="G964" s="6">
        <v>885</v>
      </c>
      <c r="H964" s="9">
        <f t="shared" si="15"/>
        <v>0</v>
      </c>
      <c r="I964" s="6">
        <v>12000</v>
      </c>
      <c r="J964" s="6">
        <f>VLOOKUP(Table1[[#This Row],[Province]],[1]Sheet1!$A$3:$F$37,4,FALSE)</f>
        <v>1372800</v>
      </c>
      <c r="K964">
        <v>0</v>
      </c>
      <c r="L964" s="4">
        <v>2.7410999999999999</v>
      </c>
      <c r="M964" s="4">
        <v>106.4406</v>
      </c>
      <c r="N964" s="6"/>
      <c r="P964"/>
      <c r="Q964" s="12"/>
      <c r="R964" s="12"/>
    </row>
    <row r="965" spans="1:18" x14ac:dyDescent="0.2">
      <c r="A965">
        <v>9</v>
      </c>
      <c r="B965" t="s">
        <v>3</v>
      </c>
      <c r="C965">
        <v>2013</v>
      </c>
      <c r="D965">
        <v>4</v>
      </c>
      <c r="E965" s="4">
        <v>0</v>
      </c>
      <c r="F965" s="9">
        <v>0</v>
      </c>
      <c r="G965" s="6">
        <v>1150</v>
      </c>
      <c r="H965" s="9">
        <f t="shared" si="15"/>
        <v>0</v>
      </c>
      <c r="I965" s="6">
        <v>12000</v>
      </c>
      <c r="J965" s="6">
        <f>VLOOKUP(Table1[[#This Row],[Province]],[1]Sheet1!$A$3:$F$37,4,FALSE)</f>
        <v>1372800</v>
      </c>
      <c r="K965">
        <v>0</v>
      </c>
      <c r="L965" s="4">
        <v>2.7410999999999999</v>
      </c>
      <c r="M965" s="4">
        <v>106.4406</v>
      </c>
      <c r="N965" s="6"/>
      <c r="P965"/>
      <c r="Q965" s="12"/>
      <c r="R965" s="12"/>
    </row>
    <row r="966" spans="1:18" x14ac:dyDescent="0.2">
      <c r="A966">
        <v>9</v>
      </c>
      <c r="B966" t="s">
        <v>3</v>
      </c>
      <c r="C966">
        <v>2013</v>
      </c>
      <c r="D966">
        <v>5</v>
      </c>
      <c r="E966" s="4">
        <v>0</v>
      </c>
      <c r="F966" s="9">
        <v>0</v>
      </c>
      <c r="G966" s="6">
        <v>1394</v>
      </c>
      <c r="H966" s="9">
        <f t="shared" si="15"/>
        <v>0</v>
      </c>
      <c r="I966" s="6">
        <v>12000</v>
      </c>
      <c r="J966" s="6">
        <f>VLOOKUP(Table1[[#This Row],[Province]],[1]Sheet1!$A$3:$F$37,4,FALSE)</f>
        <v>1372800</v>
      </c>
      <c r="K966">
        <v>0</v>
      </c>
      <c r="L966" s="4">
        <v>2.7410999999999999</v>
      </c>
      <c r="M966" s="4">
        <v>106.4406</v>
      </c>
      <c r="N966" s="6"/>
      <c r="P966"/>
      <c r="Q966" s="12"/>
      <c r="R966" s="12"/>
    </row>
    <row r="967" spans="1:18" x14ac:dyDescent="0.2">
      <c r="A967">
        <v>9</v>
      </c>
      <c r="B967" t="s">
        <v>3</v>
      </c>
      <c r="C967">
        <v>2013</v>
      </c>
      <c r="D967">
        <v>6</v>
      </c>
      <c r="E967" s="4">
        <v>0</v>
      </c>
      <c r="F967" s="9">
        <v>0</v>
      </c>
      <c r="G967" s="6">
        <v>1161</v>
      </c>
      <c r="H967" s="9">
        <f t="shared" si="15"/>
        <v>0</v>
      </c>
      <c r="I967" s="6">
        <v>12000</v>
      </c>
      <c r="J967" s="6">
        <f>VLOOKUP(Table1[[#This Row],[Province]],[1]Sheet1!$A$3:$F$37,4,FALSE)</f>
        <v>1372800</v>
      </c>
      <c r="K967">
        <v>0</v>
      </c>
      <c r="L967" s="4">
        <v>2.7410999999999999</v>
      </c>
      <c r="M967" s="4">
        <v>106.4406</v>
      </c>
      <c r="N967" s="6"/>
      <c r="P967"/>
      <c r="Q967" s="12"/>
      <c r="R967" s="12"/>
    </row>
    <row r="968" spans="1:18" x14ac:dyDescent="0.2">
      <c r="A968">
        <v>9</v>
      </c>
      <c r="B968" t="s">
        <v>3</v>
      </c>
      <c r="C968">
        <v>2013</v>
      </c>
      <c r="D968">
        <v>7</v>
      </c>
      <c r="E968" s="4">
        <v>0</v>
      </c>
      <c r="F968" s="9">
        <v>0</v>
      </c>
      <c r="G968" s="6">
        <v>2014</v>
      </c>
      <c r="H968" s="9">
        <f t="shared" si="15"/>
        <v>0</v>
      </c>
      <c r="I968" s="6">
        <v>13091</v>
      </c>
      <c r="J968" s="6">
        <f>VLOOKUP(Table1[[#This Row],[Province]],[1]Sheet1!$A$3:$F$37,4,FALSE)</f>
        <v>1372800</v>
      </c>
      <c r="K968">
        <v>1</v>
      </c>
      <c r="L968" s="4">
        <v>2.7410999999999999</v>
      </c>
      <c r="M968" s="4">
        <v>106.4406</v>
      </c>
      <c r="N968" s="6"/>
      <c r="P968"/>
      <c r="Q968" s="12"/>
      <c r="R968" s="12"/>
    </row>
    <row r="969" spans="1:18" x14ac:dyDescent="0.2">
      <c r="A969">
        <v>9</v>
      </c>
      <c r="B969" t="s">
        <v>3</v>
      </c>
      <c r="C969">
        <v>2013</v>
      </c>
      <c r="D969">
        <v>8</v>
      </c>
      <c r="E969" s="4">
        <v>0</v>
      </c>
      <c r="F969" s="9">
        <v>0</v>
      </c>
      <c r="G969" s="6">
        <v>737</v>
      </c>
      <c r="H969" s="9">
        <f t="shared" si="15"/>
        <v>0</v>
      </c>
      <c r="I969" s="6">
        <v>12000</v>
      </c>
      <c r="J969" s="6">
        <f>VLOOKUP(Table1[[#This Row],[Province]],[1]Sheet1!$A$3:$F$37,4,FALSE)</f>
        <v>1372800</v>
      </c>
      <c r="K969">
        <v>0</v>
      </c>
      <c r="L969" s="4">
        <v>2.7410999999999999</v>
      </c>
      <c r="M969" s="4">
        <v>106.4406</v>
      </c>
      <c r="N969" s="6"/>
      <c r="P969"/>
      <c r="Q969" s="12"/>
      <c r="R969" s="12"/>
    </row>
    <row r="970" spans="1:18" x14ac:dyDescent="0.2">
      <c r="A970">
        <v>9</v>
      </c>
      <c r="B970" t="s">
        <v>3</v>
      </c>
      <c r="C970">
        <v>2013</v>
      </c>
      <c r="D970">
        <v>9</v>
      </c>
      <c r="E970" s="4">
        <v>0</v>
      </c>
      <c r="F970" s="9">
        <v>0</v>
      </c>
      <c r="G970" s="6">
        <v>1574</v>
      </c>
      <c r="H970" s="9">
        <f t="shared" si="15"/>
        <v>0</v>
      </c>
      <c r="I970" s="6">
        <v>12000</v>
      </c>
      <c r="J970" s="6">
        <f>VLOOKUP(Table1[[#This Row],[Province]],[1]Sheet1!$A$3:$F$37,4,FALSE)</f>
        <v>1372800</v>
      </c>
      <c r="K970">
        <v>0</v>
      </c>
      <c r="L970" s="4">
        <v>2.7410999999999999</v>
      </c>
      <c r="M970" s="4">
        <v>106.4406</v>
      </c>
      <c r="N970" s="6"/>
      <c r="P970"/>
      <c r="Q970" s="12"/>
      <c r="R970" s="12"/>
    </row>
    <row r="971" spans="1:18" x14ac:dyDescent="0.2">
      <c r="A971">
        <v>9</v>
      </c>
      <c r="B971" t="s">
        <v>3</v>
      </c>
      <c r="C971">
        <v>2013</v>
      </c>
      <c r="D971">
        <v>10</v>
      </c>
      <c r="E971" s="4">
        <v>0</v>
      </c>
      <c r="F971" s="9">
        <v>0</v>
      </c>
      <c r="G971" s="6">
        <v>1288</v>
      </c>
      <c r="H971" s="9">
        <f t="shared" si="15"/>
        <v>0</v>
      </c>
      <c r="I971" s="6">
        <v>11905</v>
      </c>
      <c r="J971" s="6">
        <f>VLOOKUP(Table1[[#This Row],[Province]],[1]Sheet1!$A$3:$F$37,4,FALSE)</f>
        <v>1372800</v>
      </c>
      <c r="K971">
        <v>0</v>
      </c>
      <c r="L971" s="4">
        <v>2.7410999999999999</v>
      </c>
      <c r="M971" s="4">
        <v>106.4406</v>
      </c>
      <c r="N971" s="6"/>
      <c r="P971"/>
      <c r="Q971" s="12"/>
      <c r="R971" s="12"/>
    </row>
    <row r="972" spans="1:18" x14ac:dyDescent="0.2">
      <c r="A972">
        <v>9</v>
      </c>
      <c r="B972" t="s">
        <v>3</v>
      </c>
      <c r="C972">
        <v>2013</v>
      </c>
      <c r="D972">
        <v>11</v>
      </c>
      <c r="E972" s="4">
        <v>0</v>
      </c>
      <c r="F972" s="9">
        <v>0</v>
      </c>
      <c r="G972" s="6">
        <v>949</v>
      </c>
      <c r="H972" s="9">
        <f t="shared" si="15"/>
        <v>0</v>
      </c>
      <c r="I972" s="6">
        <v>11000</v>
      </c>
      <c r="J972" s="6">
        <f>VLOOKUP(Table1[[#This Row],[Province]],[1]Sheet1!$A$3:$F$37,4,FALSE)</f>
        <v>1372800</v>
      </c>
      <c r="K972">
        <v>0</v>
      </c>
      <c r="L972" s="4">
        <v>2.7410999999999999</v>
      </c>
      <c r="M972" s="4">
        <v>106.4406</v>
      </c>
      <c r="N972" s="6"/>
      <c r="P972"/>
      <c r="Q972" s="12"/>
      <c r="R972" s="12"/>
    </row>
    <row r="973" spans="1:18" x14ac:dyDescent="0.2">
      <c r="A973">
        <v>9</v>
      </c>
      <c r="B973" t="s">
        <v>3</v>
      </c>
      <c r="C973">
        <v>2013</v>
      </c>
      <c r="D973">
        <v>12</v>
      </c>
      <c r="E973" s="4">
        <v>0</v>
      </c>
      <c r="F973" s="9">
        <v>0</v>
      </c>
      <c r="G973" s="6">
        <v>1320</v>
      </c>
      <c r="H973" s="9">
        <f t="shared" si="15"/>
        <v>0</v>
      </c>
      <c r="I973" s="6">
        <v>11950</v>
      </c>
      <c r="J973" s="6">
        <f>VLOOKUP(Table1[[#This Row],[Province]],[1]Sheet1!$A$3:$F$37,4,FALSE)</f>
        <v>1372800</v>
      </c>
      <c r="K973">
        <v>1</v>
      </c>
      <c r="L973" s="4">
        <v>2.7410999999999999</v>
      </c>
      <c r="M973" s="4">
        <v>106.4406</v>
      </c>
      <c r="N973" s="6"/>
      <c r="P973"/>
      <c r="Q973" s="12"/>
      <c r="R973" s="12"/>
    </row>
    <row r="974" spans="1:18" x14ac:dyDescent="0.2">
      <c r="A974">
        <v>9</v>
      </c>
      <c r="B974" t="s">
        <v>3</v>
      </c>
      <c r="C974">
        <v>2014</v>
      </c>
      <c r="D974">
        <v>1</v>
      </c>
      <c r="E974" s="4">
        <v>0</v>
      </c>
      <c r="F974" s="9">
        <v>0</v>
      </c>
      <c r="G974" s="6">
        <v>924</v>
      </c>
      <c r="H974" s="9">
        <f t="shared" si="15"/>
        <v>0</v>
      </c>
      <c r="I974" s="6">
        <v>12000</v>
      </c>
      <c r="J974" s="6">
        <f>VLOOKUP(Table1[[#This Row],[Province]],[1]Sheet1!$A$3:$F$37,4,FALSE)</f>
        <v>1372800</v>
      </c>
      <c r="K974">
        <v>0</v>
      </c>
      <c r="L974" s="4">
        <v>2.7410999999999999</v>
      </c>
      <c r="M974" s="4">
        <v>106.4406</v>
      </c>
      <c r="N974" s="6"/>
      <c r="P974"/>
      <c r="Q974" s="12"/>
      <c r="R974" s="12"/>
    </row>
    <row r="975" spans="1:18" x14ac:dyDescent="0.2">
      <c r="A975">
        <v>9</v>
      </c>
      <c r="B975" t="s">
        <v>3</v>
      </c>
      <c r="C975">
        <v>2014</v>
      </c>
      <c r="D975">
        <v>2</v>
      </c>
      <c r="E975" s="4">
        <v>0</v>
      </c>
      <c r="F975" s="9">
        <v>0</v>
      </c>
      <c r="G975" s="6">
        <v>824</v>
      </c>
      <c r="H975" s="9">
        <f t="shared" si="15"/>
        <v>0</v>
      </c>
      <c r="I975" s="6">
        <v>12000</v>
      </c>
      <c r="J975" s="6">
        <f>VLOOKUP(Table1[[#This Row],[Province]],[1]Sheet1!$A$3:$F$37,4,FALSE)</f>
        <v>1372800</v>
      </c>
      <c r="K975">
        <v>0</v>
      </c>
      <c r="L975" s="4">
        <v>2.7410999999999999</v>
      </c>
      <c r="M975" s="4">
        <v>106.4406</v>
      </c>
      <c r="N975" s="6"/>
      <c r="P975"/>
      <c r="Q975" s="12"/>
      <c r="R975" s="12"/>
    </row>
    <row r="976" spans="1:18" x14ac:dyDescent="0.2">
      <c r="A976">
        <v>9</v>
      </c>
      <c r="B976" t="s">
        <v>3</v>
      </c>
      <c r="C976">
        <v>2014</v>
      </c>
      <c r="D976">
        <v>3</v>
      </c>
      <c r="E976" s="4">
        <v>0</v>
      </c>
      <c r="F976" s="9">
        <v>0</v>
      </c>
      <c r="G976" s="6">
        <v>925</v>
      </c>
      <c r="H976" s="9">
        <f t="shared" si="15"/>
        <v>0</v>
      </c>
      <c r="I976" s="6">
        <v>11900</v>
      </c>
      <c r="J976" s="6">
        <f>VLOOKUP(Table1[[#This Row],[Province]],[1]Sheet1!$A$3:$F$37,4,FALSE)</f>
        <v>1372800</v>
      </c>
      <c r="K976">
        <v>0</v>
      </c>
      <c r="L976" s="4">
        <v>2.7410999999999999</v>
      </c>
      <c r="M976" s="4">
        <v>106.4406</v>
      </c>
      <c r="N976" s="6"/>
      <c r="P976"/>
      <c r="Q976" s="12"/>
      <c r="R976" s="12"/>
    </row>
    <row r="977" spans="1:18" x14ac:dyDescent="0.2">
      <c r="A977">
        <v>9</v>
      </c>
      <c r="B977" t="s">
        <v>3</v>
      </c>
      <c r="C977">
        <v>2014</v>
      </c>
      <c r="D977">
        <v>4</v>
      </c>
      <c r="E977" s="4">
        <v>0</v>
      </c>
      <c r="F977" s="9">
        <v>0</v>
      </c>
      <c r="G977" s="6">
        <v>1192</v>
      </c>
      <c r="H977" s="9">
        <f t="shared" si="15"/>
        <v>0</v>
      </c>
      <c r="I977" s="6">
        <v>12000</v>
      </c>
      <c r="J977" s="6">
        <f>VLOOKUP(Table1[[#This Row],[Province]],[1]Sheet1!$A$3:$F$37,4,FALSE)</f>
        <v>1372800</v>
      </c>
      <c r="K977">
        <v>0</v>
      </c>
      <c r="L977" s="4">
        <v>2.7410999999999999</v>
      </c>
      <c r="M977" s="4">
        <v>106.4406</v>
      </c>
      <c r="N977" s="6"/>
      <c r="P977"/>
      <c r="Q977" s="12"/>
      <c r="R977" s="12"/>
    </row>
    <row r="978" spans="1:18" x14ac:dyDescent="0.2">
      <c r="A978">
        <v>9</v>
      </c>
      <c r="B978" t="s">
        <v>3</v>
      </c>
      <c r="C978">
        <v>2014</v>
      </c>
      <c r="D978">
        <v>5</v>
      </c>
      <c r="E978" s="4">
        <v>0</v>
      </c>
      <c r="F978" s="9">
        <v>0</v>
      </c>
      <c r="G978" s="6">
        <v>1335</v>
      </c>
      <c r="H978" s="9">
        <f t="shared" si="15"/>
        <v>0</v>
      </c>
      <c r="I978" s="6">
        <v>12000</v>
      </c>
      <c r="J978" s="6">
        <f>VLOOKUP(Table1[[#This Row],[Province]],[1]Sheet1!$A$3:$F$37,4,FALSE)</f>
        <v>1372800</v>
      </c>
      <c r="K978">
        <v>0</v>
      </c>
      <c r="L978" s="4">
        <v>2.7410999999999999</v>
      </c>
      <c r="M978" s="4">
        <v>106.4406</v>
      </c>
      <c r="N978" s="6"/>
      <c r="P978"/>
      <c r="Q978" s="12"/>
      <c r="R978" s="12"/>
    </row>
    <row r="979" spans="1:18" x14ac:dyDescent="0.2">
      <c r="A979">
        <v>9</v>
      </c>
      <c r="B979" t="s">
        <v>3</v>
      </c>
      <c r="C979">
        <v>2014</v>
      </c>
      <c r="D979">
        <v>6</v>
      </c>
      <c r="E979" s="4">
        <v>0</v>
      </c>
      <c r="F979" s="9">
        <v>0</v>
      </c>
      <c r="G979" s="6">
        <v>1900</v>
      </c>
      <c r="H979" s="9">
        <f t="shared" si="15"/>
        <v>0</v>
      </c>
      <c r="I979" s="6">
        <v>11857</v>
      </c>
      <c r="J979" s="6">
        <f>VLOOKUP(Table1[[#This Row],[Province]],[1]Sheet1!$A$3:$F$37,4,FALSE)</f>
        <v>1372800</v>
      </c>
      <c r="K979">
        <v>1</v>
      </c>
      <c r="L979" s="4">
        <v>2.7410999999999999</v>
      </c>
      <c r="M979" s="4">
        <v>106.4406</v>
      </c>
      <c r="N979" s="6"/>
      <c r="P979"/>
      <c r="Q979" s="12"/>
      <c r="R979" s="12"/>
    </row>
    <row r="980" spans="1:18" x14ac:dyDescent="0.2">
      <c r="A980">
        <v>9</v>
      </c>
      <c r="B980" t="s">
        <v>3</v>
      </c>
      <c r="C980">
        <v>2014</v>
      </c>
      <c r="D980">
        <v>7</v>
      </c>
      <c r="E980" s="4">
        <v>0</v>
      </c>
      <c r="F980" s="9">
        <v>0</v>
      </c>
      <c r="G980" s="6">
        <v>1192</v>
      </c>
      <c r="H980" s="9">
        <f t="shared" si="15"/>
        <v>0</v>
      </c>
      <c r="I980" s="6">
        <v>12000</v>
      </c>
      <c r="J980" s="6">
        <f>VLOOKUP(Table1[[#This Row],[Province]],[1]Sheet1!$A$3:$F$37,4,FALSE)</f>
        <v>1372800</v>
      </c>
      <c r="K980">
        <v>0</v>
      </c>
      <c r="L980" s="4">
        <v>2.7410999999999999</v>
      </c>
      <c r="M980" s="4">
        <v>106.4406</v>
      </c>
      <c r="N980" s="6"/>
      <c r="P980"/>
      <c r="Q980" s="12"/>
      <c r="R980" s="12"/>
    </row>
    <row r="981" spans="1:18" x14ac:dyDescent="0.2">
      <c r="A981">
        <v>9</v>
      </c>
      <c r="B981" t="s">
        <v>3</v>
      </c>
      <c r="C981">
        <v>2014</v>
      </c>
      <c r="D981">
        <v>8</v>
      </c>
      <c r="E981" s="4">
        <v>0</v>
      </c>
      <c r="F981" s="9">
        <v>0</v>
      </c>
      <c r="G981" s="6">
        <v>1149</v>
      </c>
      <c r="H981" s="9">
        <f t="shared" si="15"/>
        <v>0</v>
      </c>
      <c r="I981" s="6">
        <v>12000</v>
      </c>
      <c r="J981" s="6">
        <f>VLOOKUP(Table1[[#This Row],[Province]],[1]Sheet1!$A$3:$F$37,4,FALSE)</f>
        <v>1372800</v>
      </c>
      <c r="K981">
        <v>0</v>
      </c>
      <c r="L981" s="4">
        <v>2.7410999999999999</v>
      </c>
      <c r="M981" s="4">
        <v>106.4406</v>
      </c>
      <c r="N981" s="6"/>
      <c r="P981"/>
      <c r="Q981" s="12"/>
      <c r="R981" s="12"/>
    </row>
    <row r="982" spans="1:18" x14ac:dyDescent="0.2">
      <c r="A982">
        <v>9</v>
      </c>
      <c r="B982" t="s">
        <v>3</v>
      </c>
      <c r="C982">
        <v>2014</v>
      </c>
      <c r="D982">
        <v>9</v>
      </c>
      <c r="E982" s="4">
        <v>0</v>
      </c>
      <c r="F982" s="9">
        <v>0</v>
      </c>
      <c r="G982" s="6">
        <v>1156</v>
      </c>
      <c r="H982" s="9">
        <f t="shared" si="15"/>
        <v>0</v>
      </c>
      <c r="I982" s="6">
        <v>11977</v>
      </c>
      <c r="J982" s="6">
        <f>VLOOKUP(Table1[[#This Row],[Province]],[1]Sheet1!$A$3:$F$37,4,FALSE)</f>
        <v>1372800</v>
      </c>
      <c r="K982">
        <v>0</v>
      </c>
      <c r="L982" s="4">
        <v>2.7410999999999999</v>
      </c>
      <c r="M982" s="4">
        <v>106.4406</v>
      </c>
      <c r="N982" s="6"/>
      <c r="P982"/>
      <c r="Q982" s="12"/>
      <c r="R982" s="12"/>
    </row>
    <row r="983" spans="1:18" x14ac:dyDescent="0.2">
      <c r="A983">
        <v>9</v>
      </c>
      <c r="B983" t="s">
        <v>3</v>
      </c>
      <c r="C983">
        <v>2014</v>
      </c>
      <c r="D983">
        <v>10</v>
      </c>
      <c r="E983" s="4">
        <v>0</v>
      </c>
      <c r="F983" s="9">
        <v>0</v>
      </c>
      <c r="G983" s="6">
        <v>1716</v>
      </c>
      <c r="H983" s="9">
        <f t="shared" si="15"/>
        <v>0</v>
      </c>
      <c r="I983" s="6">
        <v>11304</v>
      </c>
      <c r="J983" s="6">
        <f>VLOOKUP(Table1[[#This Row],[Province]],[1]Sheet1!$A$3:$F$37,4,FALSE)</f>
        <v>1372800</v>
      </c>
      <c r="K983">
        <v>0</v>
      </c>
      <c r="L983" s="4">
        <v>2.7410999999999999</v>
      </c>
      <c r="M983" s="4">
        <v>106.4406</v>
      </c>
      <c r="N983" s="6"/>
      <c r="P983"/>
      <c r="Q983" s="12"/>
      <c r="R983" s="12"/>
    </row>
    <row r="984" spans="1:18" x14ac:dyDescent="0.2">
      <c r="A984">
        <v>9</v>
      </c>
      <c r="B984" t="s">
        <v>3</v>
      </c>
      <c r="C984">
        <v>2014</v>
      </c>
      <c r="D984">
        <v>11</v>
      </c>
      <c r="E984" s="4">
        <v>0</v>
      </c>
      <c r="F984" s="9">
        <v>0</v>
      </c>
      <c r="G984" s="6">
        <v>1369</v>
      </c>
      <c r="H984" s="9">
        <f t="shared" si="15"/>
        <v>0</v>
      </c>
      <c r="I984" s="6">
        <v>11438</v>
      </c>
      <c r="J984" s="6">
        <f>VLOOKUP(Table1[[#This Row],[Province]],[1]Sheet1!$A$3:$F$37,4,FALSE)</f>
        <v>1372800</v>
      </c>
      <c r="K984">
        <v>0</v>
      </c>
      <c r="L984" s="4">
        <v>2.7410999999999999</v>
      </c>
      <c r="M984" s="4">
        <v>106.4406</v>
      </c>
      <c r="N984" s="6"/>
      <c r="P984"/>
      <c r="Q984" s="12"/>
      <c r="R984" s="12"/>
    </row>
    <row r="985" spans="1:18" x14ac:dyDescent="0.2">
      <c r="A985">
        <v>9</v>
      </c>
      <c r="B985" t="s">
        <v>3</v>
      </c>
      <c r="C985">
        <v>2014</v>
      </c>
      <c r="D985">
        <v>12</v>
      </c>
      <c r="E985" s="4">
        <v>0</v>
      </c>
      <c r="F985" s="9">
        <v>0</v>
      </c>
      <c r="G985" s="6">
        <v>1596</v>
      </c>
      <c r="H985" s="9">
        <f t="shared" si="15"/>
        <v>0</v>
      </c>
      <c r="I985" s="6">
        <v>11976</v>
      </c>
      <c r="J985" s="6">
        <f>VLOOKUP(Table1[[#This Row],[Province]],[1]Sheet1!$A$3:$F$37,4,FALSE)</f>
        <v>1372800</v>
      </c>
      <c r="K985">
        <v>1</v>
      </c>
      <c r="L985" s="4">
        <v>2.7410999999999999</v>
      </c>
      <c r="M985" s="4">
        <v>106.4406</v>
      </c>
      <c r="N985" s="6"/>
      <c r="P985"/>
      <c r="Q985" s="12"/>
      <c r="R985" s="12"/>
    </row>
    <row r="986" spans="1:18" x14ac:dyDescent="0.2">
      <c r="A986">
        <v>9</v>
      </c>
      <c r="B986" t="s">
        <v>3</v>
      </c>
      <c r="C986">
        <v>2015</v>
      </c>
      <c r="D986">
        <v>1</v>
      </c>
      <c r="E986" s="4">
        <v>0</v>
      </c>
      <c r="F986" s="9">
        <v>0</v>
      </c>
      <c r="G986" s="6">
        <v>799</v>
      </c>
      <c r="H986" s="9">
        <f t="shared" si="15"/>
        <v>0</v>
      </c>
      <c r="I986" s="6">
        <v>12000</v>
      </c>
      <c r="J986" s="6">
        <f>VLOOKUP(Table1[[#This Row],[Province]],[1]Sheet1!$A$3:$F$37,4,FALSE)</f>
        <v>1372800</v>
      </c>
      <c r="K986">
        <v>0</v>
      </c>
      <c r="L986" s="4">
        <v>2.7410999999999999</v>
      </c>
      <c r="M986" s="4">
        <v>106.4406</v>
      </c>
      <c r="N986" s="6"/>
      <c r="P986"/>
      <c r="Q986" s="12"/>
      <c r="R986" s="12"/>
    </row>
    <row r="987" spans="1:18" x14ac:dyDescent="0.2">
      <c r="A987">
        <v>9</v>
      </c>
      <c r="B987" t="s">
        <v>3</v>
      </c>
      <c r="C987">
        <v>2015</v>
      </c>
      <c r="D987">
        <v>2</v>
      </c>
      <c r="E987" s="4">
        <v>0</v>
      </c>
      <c r="F987" s="9">
        <v>0</v>
      </c>
      <c r="G987" s="6">
        <v>2016</v>
      </c>
      <c r="H987" s="9">
        <f t="shared" si="15"/>
        <v>0</v>
      </c>
      <c r="I987" s="6">
        <v>11513</v>
      </c>
      <c r="J987" s="6">
        <f>VLOOKUP(Table1[[#This Row],[Province]],[1]Sheet1!$A$3:$F$37,4,FALSE)</f>
        <v>1372800</v>
      </c>
      <c r="K987">
        <v>0</v>
      </c>
      <c r="L987" s="4">
        <v>2.7410999999999999</v>
      </c>
      <c r="M987" s="4">
        <v>106.4406</v>
      </c>
      <c r="N987" s="6"/>
      <c r="P987"/>
      <c r="Q987" s="12"/>
      <c r="R987" s="12"/>
    </row>
    <row r="988" spans="1:18" x14ac:dyDescent="0.2">
      <c r="A988">
        <v>9</v>
      </c>
      <c r="B988" t="s">
        <v>3</v>
      </c>
      <c r="C988">
        <v>2015</v>
      </c>
      <c r="D988">
        <v>3</v>
      </c>
      <c r="E988" s="4">
        <v>0</v>
      </c>
      <c r="F988" s="9">
        <v>0</v>
      </c>
      <c r="G988" s="6">
        <v>915</v>
      </c>
      <c r="H988" s="9">
        <f t="shared" si="15"/>
        <v>0</v>
      </c>
      <c r="I988" s="6">
        <v>11011</v>
      </c>
      <c r="J988" s="6">
        <f>VLOOKUP(Table1[[#This Row],[Province]],[1]Sheet1!$A$3:$F$37,4,FALSE)</f>
        <v>1372800</v>
      </c>
      <c r="K988">
        <v>0</v>
      </c>
      <c r="L988" s="4">
        <v>2.7410999999999999</v>
      </c>
      <c r="M988" s="4">
        <v>106.4406</v>
      </c>
      <c r="N988" s="6"/>
      <c r="P988"/>
      <c r="Q988" s="12"/>
      <c r="R988" s="12"/>
    </row>
    <row r="989" spans="1:18" x14ac:dyDescent="0.2">
      <c r="A989">
        <v>9</v>
      </c>
      <c r="B989" t="s">
        <v>3</v>
      </c>
      <c r="C989">
        <v>2015</v>
      </c>
      <c r="D989">
        <v>4</v>
      </c>
      <c r="E989" s="4">
        <v>0</v>
      </c>
      <c r="F989" s="9">
        <v>0</v>
      </c>
      <c r="G989" s="6">
        <v>1516</v>
      </c>
      <c r="H989" s="9">
        <f t="shared" si="15"/>
        <v>0</v>
      </c>
      <c r="I989" s="6">
        <v>11131</v>
      </c>
      <c r="J989" s="6">
        <f>VLOOKUP(Table1[[#This Row],[Province]],[1]Sheet1!$A$3:$F$37,4,FALSE)</f>
        <v>1372800</v>
      </c>
      <c r="K989">
        <v>0</v>
      </c>
      <c r="L989" s="4">
        <v>2.7410999999999999</v>
      </c>
      <c r="M989" s="4">
        <v>106.4406</v>
      </c>
      <c r="N989" s="6"/>
      <c r="P989"/>
      <c r="Q989" s="12"/>
      <c r="R989" s="12"/>
    </row>
    <row r="990" spans="1:18" x14ac:dyDescent="0.2">
      <c r="A990">
        <v>9</v>
      </c>
      <c r="B990" t="s">
        <v>3</v>
      </c>
      <c r="C990">
        <v>2015</v>
      </c>
      <c r="D990">
        <v>5</v>
      </c>
      <c r="E990" s="4">
        <v>0</v>
      </c>
      <c r="F990" s="9">
        <v>0</v>
      </c>
      <c r="G990" s="6">
        <v>1452</v>
      </c>
      <c r="H990" s="9">
        <f t="shared" si="15"/>
        <v>0</v>
      </c>
      <c r="I990" s="6">
        <v>11934</v>
      </c>
      <c r="J990" s="6">
        <f>VLOOKUP(Table1[[#This Row],[Province]],[1]Sheet1!$A$3:$F$37,4,FALSE)</f>
        <v>1372800</v>
      </c>
      <c r="K990">
        <v>0</v>
      </c>
      <c r="L990" s="4">
        <v>2.7410999999999999</v>
      </c>
      <c r="M990" s="4">
        <v>106.4406</v>
      </c>
      <c r="N990" s="6"/>
      <c r="P990"/>
      <c r="Q990" s="12"/>
      <c r="R990" s="12"/>
    </row>
    <row r="991" spans="1:18" x14ac:dyDescent="0.2">
      <c r="A991">
        <v>9</v>
      </c>
      <c r="B991" t="s">
        <v>3</v>
      </c>
      <c r="C991">
        <v>2015</v>
      </c>
      <c r="D991">
        <v>6</v>
      </c>
      <c r="E991" s="4">
        <v>0</v>
      </c>
      <c r="F991" s="9">
        <v>0</v>
      </c>
      <c r="G991" s="6">
        <v>1650</v>
      </c>
      <c r="H991" s="9">
        <f t="shared" si="15"/>
        <v>0</v>
      </c>
      <c r="I991" s="6">
        <v>12048</v>
      </c>
      <c r="J991" s="6">
        <f>VLOOKUP(Table1[[#This Row],[Province]],[1]Sheet1!$A$3:$F$37,4,FALSE)</f>
        <v>1372800</v>
      </c>
      <c r="K991">
        <v>1</v>
      </c>
      <c r="L991" s="4">
        <v>2.7410999999999999</v>
      </c>
      <c r="M991" s="4">
        <v>106.4406</v>
      </c>
      <c r="N991" s="6"/>
      <c r="P991"/>
      <c r="Q991" s="12"/>
      <c r="R991" s="12"/>
    </row>
    <row r="992" spans="1:18" x14ac:dyDescent="0.2">
      <c r="A992">
        <v>9</v>
      </c>
      <c r="B992" t="s">
        <v>3</v>
      </c>
      <c r="C992">
        <v>2015</v>
      </c>
      <c r="D992">
        <v>7</v>
      </c>
      <c r="E992" s="4">
        <v>0</v>
      </c>
      <c r="F992" s="9">
        <v>0</v>
      </c>
      <c r="G992" s="6">
        <v>1127</v>
      </c>
      <c r="H992" s="9">
        <f t="shared" si="15"/>
        <v>0</v>
      </c>
      <c r="I992" s="6">
        <v>12105</v>
      </c>
      <c r="J992" s="6">
        <f>VLOOKUP(Table1[[#This Row],[Province]],[1]Sheet1!$A$3:$F$37,4,FALSE)</f>
        <v>1372800</v>
      </c>
      <c r="K992">
        <v>0</v>
      </c>
      <c r="L992" s="4">
        <v>2.7410999999999999</v>
      </c>
      <c r="M992" s="4">
        <v>106.4406</v>
      </c>
      <c r="N992" s="6"/>
      <c r="P992"/>
      <c r="Q992" s="12"/>
      <c r="R992" s="12"/>
    </row>
    <row r="993" spans="1:18" x14ac:dyDescent="0.2">
      <c r="A993">
        <v>9</v>
      </c>
      <c r="B993" t="s">
        <v>3</v>
      </c>
      <c r="C993">
        <v>2015</v>
      </c>
      <c r="D993">
        <v>8</v>
      </c>
      <c r="E993" s="4">
        <v>0</v>
      </c>
      <c r="F993" s="9">
        <v>0</v>
      </c>
      <c r="G993" s="6">
        <v>1115</v>
      </c>
      <c r="H993" s="9">
        <f t="shared" si="15"/>
        <v>0</v>
      </c>
      <c r="I993" s="6">
        <v>11800</v>
      </c>
      <c r="J993" s="6">
        <f>VLOOKUP(Table1[[#This Row],[Province]],[1]Sheet1!$A$3:$F$37,4,FALSE)</f>
        <v>1372800</v>
      </c>
      <c r="K993">
        <v>0</v>
      </c>
      <c r="L993" s="4">
        <v>2.7410999999999999</v>
      </c>
      <c r="M993" s="4">
        <v>106.4406</v>
      </c>
      <c r="N993" s="6"/>
      <c r="P993"/>
      <c r="Q993" s="12"/>
      <c r="R993" s="12"/>
    </row>
    <row r="994" spans="1:18" x14ac:dyDescent="0.2">
      <c r="A994">
        <v>9</v>
      </c>
      <c r="B994" t="s">
        <v>3</v>
      </c>
      <c r="C994">
        <v>2015</v>
      </c>
      <c r="D994">
        <v>9</v>
      </c>
      <c r="E994" s="4">
        <v>0</v>
      </c>
      <c r="F994" s="9">
        <v>0</v>
      </c>
      <c r="G994" s="6">
        <v>1496</v>
      </c>
      <c r="H994" s="9">
        <f t="shared" si="15"/>
        <v>0</v>
      </c>
      <c r="I994" s="6">
        <v>12190</v>
      </c>
      <c r="J994" s="6">
        <f>VLOOKUP(Table1[[#This Row],[Province]],[1]Sheet1!$A$3:$F$37,4,FALSE)</f>
        <v>1372800</v>
      </c>
      <c r="K994">
        <v>0</v>
      </c>
      <c r="L994" s="4">
        <v>2.7410999999999999</v>
      </c>
      <c r="M994" s="4">
        <v>106.4406</v>
      </c>
      <c r="N994" s="6"/>
      <c r="P994"/>
      <c r="Q994" s="12"/>
      <c r="R994" s="12"/>
    </row>
    <row r="995" spans="1:18" x14ac:dyDescent="0.2">
      <c r="A995">
        <v>9</v>
      </c>
      <c r="B995" t="s">
        <v>3</v>
      </c>
      <c r="C995">
        <v>2015</v>
      </c>
      <c r="D995">
        <v>10</v>
      </c>
      <c r="E995" s="4">
        <v>0</v>
      </c>
      <c r="F995" s="9">
        <v>0</v>
      </c>
      <c r="G995" s="6">
        <v>997</v>
      </c>
      <c r="H995" s="9">
        <f t="shared" si="15"/>
        <v>0</v>
      </c>
      <c r="I995" s="6">
        <v>12167</v>
      </c>
      <c r="J995" s="6">
        <f>VLOOKUP(Table1[[#This Row],[Province]],[1]Sheet1!$A$3:$F$37,4,FALSE)</f>
        <v>1372800</v>
      </c>
      <c r="K995">
        <v>0</v>
      </c>
      <c r="L995" s="4">
        <v>2.7410999999999999</v>
      </c>
      <c r="M995" s="4">
        <v>106.4406</v>
      </c>
      <c r="N995" s="6"/>
      <c r="P995"/>
      <c r="Q995" s="12"/>
      <c r="R995" s="12"/>
    </row>
    <row r="996" spans="1:18" x14ac:dyDescent="0.2">
      <c r="A996">
        <v>9</v>
      </c>
      <c r="B996" t="s">
        <v>3</v>
      </c>
      <c r="C996">
        <v>2015</v>
      </c>
      <c r="D996">
        <v>11</v>
      </c>
      <c r="E996" s="4">
        <v>0</v>
      </c>
      <c r="F996" s="9">
        <v>0</v>
      </c>
      <c r="G996" s="6">
        <v>1315</v>
      </c>
      <c r="H996" s="9">
        <f t="shared" si="15"/>
        <v>0</v>
      </c>
      <c r="I996" s="6">
        <v>11917</v>
      </c>
      <c r="J996" s="6">
        <f>VLOOKUP(Table1[[#This Row],[Province]],[1]Sheet1!$A$3:$F$37,4,FALSE)</f>
        <v>1372800</v>
      </c>
      <c r="K996">
        <v>0</v>
      </c>
      <c r="L996" s="4">
        <v>2.7410999999999999</v>
      </c>
      <c r="M996" s="4">
        <v>106.4406</v>
      </c>
      <c r="N996" s="6"/>
      <c r="P996"/>
      <c r="Q996" s="12"/>
      <c r="R996" s="12"/>
    </row>
    <row r="997" spans="1:18" x14ac:dyDescent="0.2">
      <c r="A997">
        <v>9</v>
      </c>
      <c r="B997" t="s">
        <v>3</v>
      </c>
      <c r="C997">
        <v>2015</v>
      </c>
      <c r="D997">
        <v>12</v>
      </c>
      <c r="E997" s="4">
        <v>0</v>
      </c>
      <c r="F997" s="9">
        <v>0</v>
      </c>
      <c r="G997" s="6">
        <v>1410</v>
      </c>
      <c r="H997" s="9">
        <f t="shared" si="15"/>
        <v>0</v>
      </c>
      <c r="I997" s="6">
        <v>12150</v>
      </c>
      <c r="J997" s="6">
        <f>VLOOKUP(Table1[[#This Row],[Province]],[1]Sheet1!$A$3:$F$37,4,FALSE)</f>
        <v>1372800</v>
      </c>
      <c r="K997">
        <v>1</v>
      </c>
      <c r="L997" s="4">
        <v>2.7410999999999999</v>
      </c>
      <c r="M997" s="4">
        <v>106.4406</v>
      </c>
      <c r="N997" s="6"/>
      <c r="P997"/>
      <c r="Q997" s="12"/>
      <c r="R997" s="12"/>
    </row>
    <row r="998" spans="1:18" x14ac:dyDescent="0.2">
      <c r="A998">
        <v>9</v>
      </c>
      <c r="B998" t="s">
        <v>3</v>
      </c>
      <c r="C998">
        <v>2016</v>
      </c>
      <c r="D998">
        <v>1</v>
      </c>
      <c r="E998" s="4">
        <v>0</v>
      </c>
      <c r="F998" s="9">
        <v>0</v>
      </c>
      <c r="G998" s="6">
        <v>574</v>
      </c>
      <c r="H998" s="9">
        <f t="shared" si="15"/>
        <v>0</v>
      </c>
      <c r="I998" s="6">
        <v>11975</v>
      </c>
      <c r="J998" s="6">
        <f>VLOOKUP(Table1[[#This Row],[Province]],[1]Sheet1!$A$3:$F$37,4,FALSE)</f>
        <v>1372800</v>
      </c>
      <c r="K998">
        <v>0</v>
      </c>
      <c r="L998" s="4">
        <v>2.7410999999999999</v>
      </c>
      <c r="M998" s="4">
        <v>106.4406</v>
      </c>
      <c r="N998" s="13">
        <v>4.0999999999999996</v>
      </c>
      <c r="P998"/>
      <c r="Q998" s="12"/>
      <c r="R998" s="12"/>
    </row>
    <row r="999" spans="1:18" x14ac:dyDescent="0.2">
      <c r="A999">
        <v>9</v>
      </c>
      <c r="B999" t="s">
        <v>3</v>
      </c>
      <c r="C999">
        <v>2016</v>
      </c>
      <c r="D999">
        <v>2</v>
      </c>
      <c r="E999" s="4">
        <v>0</v>
      </c>
      <c r="F999" s="9">
        <v>0</v>
      </c>
      <c r="G999" s="6">
        <v>890</v>
      </c>
      <c r="H999" s="9">
        <f t="shared" si="15"/>
        <v>0</v>
      </c>
      <c r="I999" s="6">
        <v>12050</v>
      </c>
      <c r="J999" s="6">
        <f>VLOOKUP(Table1[[#This Row],[Province]],[1]Sheet1!$A$3:$F$37,4,FALSE)</f>
        <v>1372800</v>
      </c>
      <c r="K999">
        <v>0</v>
      </c>
      <c r="L999" s="4">
        <v>2.7410999999999999</v>
      </c>
      <c r="M999" s="4">
        <v>106.4406</v>
      </c>
      <c r="N999" s="13">
        <v>4.0999999999999996</v>
      </c>
      <c r="P999"/>
      <c r="Q999" s="12"/>
      <c r="R999" s="12"/>
    </row>
    <row r="1000" spans="1:18" x14ac:dyDescent="0.2">
      <c r="A1000">
        <v>9</v>
      </c>
      <c r="B1000" t="s">
        <v>3</v>
      </c>
      <c r="C1000">
        <v>2016</v>
      </c>
      <c r="D1000">
        <v>3</v>
      </c>
      <c r="E1000" s="4">
        <v>0</v>
      </c>
      <c r="F1000" s="9">
        <v>0</v>
      </c>
      <c r="G1000" s="6">
        <v>1467</v>
      </c>
      <c r="H1000" s="9">
        <f t="shared" si="15"/>
        <v>0</v>
      </c>
      <c r="I1000" s="6">
        <v>11964</v>
      </c>
      <c r="J1000" s="6">
        <f>VLOOKUP(Table1[[#This Row],[Province]],[1]Sheet1!$A$3:$F$37,4,FALSE)</f>
        <v>1372800</v>
      </c>
      <c r="K1000">
        <v>0</v>
      </c>
      <c r="L1000" s="4">
        <v>2.7410999999999999</v>
      </c>
      <c r="M1000" s="4">
        <v>106.4406</v>
      </c>
      <c r="N1000" s="13">
        <v>4.0999999999999996</v>
      </c>
      <c r="P1000"/>
      <c r="Q1000" s="12"/>
      <c r="R1000" s="12"/>
    </row>
    <row r="1001" spans="1:18" x14ac:dyDescent="0.2">
      <c r="A1001">
        <v>9</v>
      </c>
      <c r="B1001" t="s">
        <v>3</v>
      </c>
      <c r="C1001">
        <v>2016</v>
      </c>
      <c r="D1001">
        <v>4</v>
      </c>
      <c r="E1001" s="4">
        <v>0</v>
      </c>
      <c r="F1001" s="9">
        <v>0</v>
      </c>
      <c r="G1001" s="6">
        <v>837</v>
      </c>
      <c r="H1001" s="9">
        <f t="shared" si="15"/>
        <v>0</v>
      </c>
      <c r="I1001" s="6">
        <v>12405</v>
      </c>
      <c r="J1001" s="6">
        <f>VLOOKUP(Table1[[#This Row],[Province]],[1]Sheet1!$A$3:$F$37,4,FALSE)</f>
        <v>1372800</v>
      </c>
      <c r="K1001">
        <v>0</v>
      </c>
      <c r="L1001" s="4">
        <v>2.7410999999999999</v>
      </c>
      <c r="M1001" s="4">
        <v>106.4406</v>
      </c>
      <c r="N1001" s="13">
        <v>4.0999999999999996</v>
      </c>
      <c r="P1001"/>
      <c r="Q1001" s="12"/>
      <c r="R1001" s="12"/>
    </row>
    <row r="1002" spans="1:18" x14ac:dyDescent="0.2">
      <c r="A1002">
        <v>9</v>
      </c>
      <c r="B1002" t="s">
        <v>3</v>
      </c>
      <c r="C1002">
        <v>2016</v>
      </c>
      <c r="D1002">
        <v>5</v>
      </c>
      <c r="E1002" s="4">
        <v>0</v>
      </c>
      <c r="F1002" s="9">
        <v>0</v>
      </c>
      <c r="G1002" s="6">
        <v>1726</v>
      </c>
      <c r="H1002" s="9">
        <f t="shared" si="15"/>
        <v>0</v>
      </c>
      <c r="I1002" s="6">
        <v>13750</v>
      </c>
      <c r="J1002" s="6">
        <f>VLOOKUP(Table1[[#This Row],[Province]],[1]Sheet1!$A$3:$F$37,4,FALSE)</f>
        <v>1372800</v>
      </c>
      <c r="K1002">
        <v>0</v>
      </c>
      <c r="L1002" s="4">
        <v>2.7410999999999999</v>
      </c>
      <c r="M1002" s="4">
        <v>106.4406</v>
      </c>
      <c r="N1002" s="13">
        <v>4.0999999999999996</v>
      </c>
      <c r="P1002"/>
      <c r="Q1002" s="12"/>
      <c r="R1002" s="12"/>
    </row>
    <row r="1003" spans="1:18" x14ac:dyDescent="0.2">
      <c r="A1003">
        <v>9</v>
      </c>
      <c r="B1003" t="s">
        <v>3</v>
      </c>
      <c r="C1003">
        <v>2016</v>
      </c>
      <c r="D1003">
        <v>6</v>
      </c>
      <c r="E1003" s="4">
        <v>0</v>
      </c>
      <c r="F1003" s="9">
        <v>0</v>
      </c>
      <c r="G1003" s="6">
        <v>1436</v>
      </c>
      <c r="H1003" s="9">
        <f t="shared" si="15"/>
        <v>0</v>
      </c>
      <c r="I1003" s="6">
        <v>14773</v>
      </c>
      <c r="J1003" s="6">
        <f>VLOOKUP(Table1[[#This Row],[Province]],[1]Sheet1!$A$3:$F$37,4,FALSE)</f>
        <v>1372800</v>
      </c>
      <c r="K1003">
        <v>1</v>
      </c>
      <c r="L1003" s="4">
        <v>2.7410999999999999</v>
      </c>
      <c r="M1003" s="4">
        <v>106.4406</v>
      </c>
      <c r="N1003" s="13">
        <v>4.0999999999999996</v>
      </c>
      <c r="P1003"/>
      <c r="Q1003" s="12"/>
      <c r="R1003" s="12"/>
    </row>
    <row r="1004" spans="1:18" x14ac:dyDescent="0.2">
      <c r="A1004">
        <v>9</v>
      </c>
      <c r="B1004" t="s">
        <v>3</v>
      </c>
      <c r="C1004">
        <v>2016</v>
      </c>
      <c r="D1004">
        <v>7</v>
      </c>
      <c r="E1004" s="4">
        <v>0</v>
      </c>
      <c r="F1004" s="9">
        <v>0</v>
      </c>
      <c r="G1004" s="6">
        <v>1370</v>
      </c>
      <c r="H1004" s="9">
        <f t="shared" si="15"/>
        <v>0</v>
      </c>
      <c r="I1004" s="6">
        <v>15609</v>
      </c>
      <c r="J1004" s="6">
        <f>VLOOKUP(Table1[[#This Row],[Province]],[1]Sheet1!$A$3:$F$37,4,FALSE)</f>
        <v>1372800</v>
      </c>
      <c r="K1004">
        <v>0</v>
      </c>
      <c r="L1004" s="4">
        <v>2.7410999999999999</v>
      </c>
      <c r="M1004" s="4">
        <v>106.4406</v>
      </c>
      <c r="N1004" s="13">
        <v>4.0999999999999996</v>
      </c>
      <c r="P1004"/>
      <c r="Q1004" s="12"/>
      <c r="R1004" s="12"/>
    </row>
    <row r="1005" spans="1:18" x14ac:dyDescent="0.2">
      <c r="A1005">
        <v>9</v>
      </c>
      <c r="B1005" t="s">
        <v>3</v>
      </c>
      <c r="C1005">
        <v>2016</v>
      </c>
      <c r="D1005">
        <v>8</v>
      </c>
      <c r="E1005" s="4">
        <v>0</v>
      </c>
      <c r="F1005" s="9">
        <v>0</v>
      </c>
      <c r="G1005" s="6">
        <v>1354</v>
      </c>
      <c r="H1005" s="9">
        <f t="shared" si="15"/>
        <v>0</v>
      </c>
      <c r="I1005" s="6">
        <v>15227</v>
      </c>
      <c r="J1005" s="6">
        <f>VLOOKUP(Table1[[#This Row],[Province]],[1]Sheet1!$A$3:$F$37,4,FALSE)</f>
        <v>1372800</v>
      </c>
      <c r="K1005">
        <v>0</v>
      </c>
      <c r="L1005" s="4">
        <v>2.7410999999999999</v>
      </c>
      <c r="M1005" s="4">
        <v>106.4406</v>
      </c>
      <c r="N1005" s="13">
        <v>4.0999999999999996</v>
      </c>
      <c r="P1005"/>
      <c r="Q1005" s="12"/>
      <c r="R1005" s="12"/>
    </row>
    <row r="1006" spans="1:18" x14ac:dyDescent="0.2">
      <c r="A1006">
        <v>9</v>
      </c>
      <c r="B1006" t="s">
        <v>3</v>
      </c>
      <c r="C1006">
        <v>2016</v>
      </c>
      <c r="D1006">
        <v>9</v>
      </c>
      <c r="E1006" s="4">
        <v>0</v>
      </c>
      <c r="F1006" s="9">
        <v>0</v>
      </c>
      <c r="G1006" s="6">
        <v>523</v>
      </c>
      <c r="H1006" s="9">
        <f t="shared" si="15"/>
        <v>0</v>
      </c>
      <c r="I1006" s="6">
        <v>14238</v>
      </c>
      <c r="J1006" s="6">
        <f>VLOOKUP(Table1[[#This Row],[Province]],[1]Sheet1!$A$3:$F$37,4,FALSE)</f>
        <v>1372800</v>
      </c>
      <c r="K1006">
        <v>0</v>
      </c>
      <c r="L1006" s="4">
        <v>2.7410999999999999</v>
      </c>
      <c r="M1006" s="4">
        <v>106.4406</v>
      </c>
      <c r="N1006" s="13">
        <v>4.0999999999999996</v>
      </c>
      <c r="P1006"/>
      <c r="Q1006" s="12"/>
      <c r="R1006" s="12"/>
    </row>
    <row r="1007" spans="1:18" x14ac:dyDescent="0.2">
      <c r="A1007">
        <v>9</v>
      </c>
      <c r="B1007" t="s">
        <v>3</v>
      </c>
      <c r="C1007">
        <v>2016</v>
      </c>
      <c r="D1007">
        <v>10</v>
      </c>
      <c r="E1007" s="4">
        <v>0</v>
      </c>
      <c r="F1007" s="9">
        <v>0</v>
      </c>
      <c r="G1007" s="6">
        <v>2285</v>
      </c>
      <c r="H1007" s="9">
        <f t="shared" si="15"/>
        <v>0</v>
      </c>
      <c r="I1007" s="6">
        <v>14155</v>
      </c>
      <c r="J1007" s="6">
        <f>VLOOKUP(Table1[[#This Row],[Province]],[1]Sheet1!$A$3:$F$37,4,FALSE)</f>
        <v>1372800</v>
      </c>
      <c r="K1007">
        <v>0</v>
      </c>
      <c r="L1007" s="4">
        <v>2.7410999999999999</v>
      </c>
      <c r="M1007" s="4">
        <v>106.4406</v>
      </c>
      <c r="N1007" s="13">
        <v>4.0999999999999996</v>
      </c>
      <c r="P1007"/>
      <c r="Q1007" s="12"/>
      <c r="R1007" s="12"/>
    </row>
    <row r="1008" spans="1:18" x14ac:dyDescent="0.2">
      <c r="A1008">
        <v>9</v>
      </c>
      <c r="B1008" t="s">
        <v>3</v>
      </c>
      <c r="C1008">
        <v>2016</v>
      </c>
      <c r="D1008">
        <v>11</v>
      </c>
      <c r="E1008" s="4">
        <v>0</v>
      </c>
      <c r="F1008" s="9">
        <v>0</v>
      </c>
      <c r="G1008" s="6">
        <v>647</v>
      </c>
      <c r="H1008" s="9">
        <f t="shared" si="15"/>
        <v>0</v>
      </c>
      <c r="I1008" s="6">
        <v>13523</v>
      </c>
      <c r="J1008" s="6">
        <f>VLOOKUP(Table1[[#This Row],[Province]],[1]Sheet1!$A$3:$F$37,4,FALSE)</f>
        <v>1372800</v>
      </c>
      <c r="K1008">
        <v>0</v>
      </c>
      <c r="L1008" s="4">
        <v>2.7410999999999999</v>
      </c>
      <c r="M1008" s="4">
        <v>106.4406</v>
      </c>
      <c r="N1008" s="13">
        <v>4.0999999999999996</v>
      </c>
      <c r="P1008"/>
      <c r="Q1008" s="12"/>
      <c r="R1008" s="12"/>
    </row>
    <row r="1009" spans="1:18" x14ac:dyDescent="0.2">
      <c r="A1009">
        <v>9</v>
      </c>
      <c r="B1009" t="s">
        <v>3</v>
      </c>
      <c r="C1009">
        <v>2016</v>
      </c>
      <c r="D1009">
        <v>12</v>
      </c>
      <c r="E1009" s="4">
        <v>0</v>
      </c>
      <c r="F1009" s="9">
        <v>0</v>
      </c>
      <c r="G1009" s="6">
        <v>648</v>
      </c>
      <c r="H1009" s="9">
        <f t="shared" si="15"/>
        <v>0</v>
      </c>
      <c r="I1009" s="6">
        <v>12975</v>
      </c>
      <c r="J1009" s="6">
        <f>VLOOKUP(Table1[[#This Row],[Province]],[1]Sheet1!$A$3:$F$37,4,FALSE)</f>
        <v>1372800</v>
      </c>
      <c r="K1009">
        <v>1</v>
      </c>
      <c r="L1009" s="4">
        <v>2.7410999999999999</v>
      </c>
      <c r="M1009" s="4">
        <v>106.4406</v>
      </c>
      <c r="N1009" s="13">
        <v>4.0999999999999996</v>
      </c>
      <c r="P1009"/>
      <c r="Q1009" s="12"/>
      <c r="R1009" s="12"/>
    </row>
    <row r="1010" spans="1:18" x14ac:dyDescent="0.2">
      <c r="A1010">
        <v>9</v>
      </c>
      <c r="B1010" t="s">
        <v>3</v>
      </c>
      <c r="C1010">
        <v>2017</v>
      </c>
      <c r="D1010">
        <v>1</v>
      </c>
      <c r="E1010" s="4">
        <v>0</v>
      </c>
      <c r="F1010" s="9">
        <v>0</v>
      </c>
      <c r="G1010" s="6">
        <v>1307</v>
      </c>
      <c r="H1010" s="9">
        <f t="shared" si="15"/>
        <v>0</v>
      </c>
      <c r="I1010" s="6">
        <v>13000</v>
      </c>
      <c r="J1010" s="6">
        <f>VLOOKUP(Table1[[#This Row],[Province]],[1]Sheet1!$A$3:$F$37,4,FALSE)</f>
        <v>1372800</v>
      </c>
      <c r="K1010">
        <v>0</v>
      </c>
      <c r="L1010" s="4">
        <v>2.7410999999999999</v>
      </c>
      <c r="M1010" s="4">
        <v>106.4406</v>
      </c>
      <c r="N1010" s="13">
        <v>4.47</v>
      </c>
      <c r="P1010"/>
      <c r="Q1010" s="12"/>
      <c r="R1010" s="12"/>
    </row>
    <row r="1011" spans="1:18" x14ac:dyDescent="0.2">
      <c r="A1011">
        <v>9</v>
      </c>
      <c r="B1011" t="s">
        <v>3</v>
      </c>
      <c r="C1011">
        <v>2017</v>
      </c>
      <c r="D1011">
        <v>2</v>
      </c>
      <c r="E1011" s="4">
        <v>0</v>
      </c>
      <c r="F1011" s="9">
        <v>0</v>
      </c>
      <c r="G1011" s="6">
        <v>751</v>
      </c>
      <c r="H1011" s="9">
        <f t="shared" si="15"/>
        <v>0</v>
      </c>
      <c r="I1011" s="6">
        <v>12645</v>
      </c>
      <c r="J1011" s="6">
        <f>VLOOKUP(Table1[[#This Row],[Province]],[1]Sheet1!$A$3:$F$37,4,FALSE)</f>
        <v>1372800</v>
      </c>
      <c r="K1011">
        <v>0</v>
      </c>
      <c r="L1011" s="4">
        <v>2.7410999999999999</v>
      </c>
      <c r="M1011" s="4">
        <v>106.4406</v>
      </c>
      <c r="N1011" s="13">
        <v>4.47</v>
      </c>
      <c r="P1011"/>
      <c r="Q1011" s="12"/>
      <c r="R1011" s="12"/>
    </row>
    <row r="1012" spans="1:18" x14ac:dyDescent="0.2">
      <c r="A1012">
        <v>9</v>
      </c>
      <c r="B1012" t="s">
        <v>3</v>
      </c>
      <c r="C1012">
        <v>2017</v>
      </c>
      <c r="D1012">
        <v>3</v>
      </c>
      <c r="E1012" s="4">
        <v>0</v>
      </c>
      <c r="F1012" s="9">
        <v>0</v>
      </c>
      <c r="G1012" s="6">
        <v>587</v>
      </c>
      <c r="H1012" s="9">
        <f t="shared" si="15"/>
        <v>0</v>
      </c>
      <c r="I1012" s="6">
        <v>12591</v>
      </c>
      <c r="J1012" s="6">
        <f>VLOOKUP(Table1[[#This Row],[Province]],[1]Sheet1!$A$3:$F$37,4,FALSE)</f>
        <v>1372800</v>
      </c>
      <c r="K1012">
        <v>0</v>
      </c>
      <c r="L1012" s="4">
        <v>2.7410999999999999</v>
      </c>
      <c r="M1012" s="4">
        <v>106.4406</v>
      </c>
      <c r="N1012" s="13">
        <v>4.47</v>
      </c>
      <c r="P1012"/>
      <c r="Q1012" s="12"/>
      <c r="R1012" s="12"/>
    </row>
    <row r="1013" spans="1:18" x14ac:dyDescent="0.2">
      <c r="A1013">
        <v>9</v>
      </c>
      <c r="B1013" t="s">
        <v>3</v>
      </c>
      <c r="C1013">
        <v>2017</v>
      </c>
      <c r="D1013">
        <v>4</v>
      </c>
      <c r="E1013" s="4">
        <v>0</v>
      </c>
      <c r="F1013" s="9">
        <v>0</v>
      </c>
      <c r="G1013" s="6">
        <v>419</v>
      </c>
      <c r="H1013" s="9">
        <f t="shared" si="15"/>
        <v>0</v>
      </c>
      <c r="I1013" s="6">
        <v>12588</v>
      </c>
      <c r="J1013" s="6">
        <f>VLOOKUP(Table1[[#This Row],[Province]],[1]Sheet1!$A$3:$F$37,4,FALSE)</f>
        <v>1372800</v>
      </c>
      <c r="K1013">
        <v>0</v>
      </c>
      <c r="L1013" s="4">
        <v>2.7410999999999999</v>
      </c>
      <c r="M1013" s="4">
        <v>106.4406</v>
      </c>
      <c r="N1013" s="13">
        <v>4.47</v>
      </c>
      <c r="P1013"/>
      <c r="Q1013" s="12"/>
      <c r="R1013" s="12"/>
    </row>
    <row r="1014" spans="1:18" x14ac:dyDescent="0.2">
      <c r="A1014">
        <v>9</v>
      </c>
      <c r="B1014" t="s">
        <v>3</v>
      </c>
      <c r="C1014">
        <v>2017</v>
      </c>
      <c r="D1014">
        <v>5</v>
      </c>
      <c r="E1014" s="4">
        <v>0</v>
      </c>
      <c r="F1014" s="9">
        <v>0</v>
      </c>
      <c r="G1014" s="6">
        <v>404</v>
      </c>
      <c r="H1014" s="9">
        <f t="shared" si="15"/>
        <v>0</v>
      </c>
      <c r="I1014" s="6">
        <v>12500</v>
      </c>
      <c r="J1014" s="6">
        <f>VLOOKUP(Table1[[#This Row],[Province]],[1]Sheet1!$A$3:$F$37,4,FALSE)</f>
        <v>1372800</v>
      </c>
      <c r="K1014">
        <v>1</v>
      </c>
      <c r="L1014" s="4">
        <v>2.7410999999999999</v>
      </c>
      <c r="M1014" s="4">
        <v>106.4406</v>
      </c>
      <c r="N1014" s="13">
        <v>4.47</v>
      </c>
      <c r="P1014"/>
      <c r="Q1014" s="12"/>
      <c r="R1014" s="12"/>
    </row>
    <row r="1015" spans="1:18" x14ac:dyDescent="0.2">
      <c r="A1015">
        <v>9</v>
      </c>
      <c r="B1015" t="s">
        <v>3</v>
      </c>
      <c r="C1015">
        <v>2017</v>
      </c>
      <c r="D1015">
        <v>6</v>
      </c>
      <c r="E1015" s="4">
        <v>0</v>
      </c>
      <c r="F1015" s="9">
        <v>0</v>
      </c>
      <c r="G1015" s="6">
        <v>747</v>
      </c>
      <c r="H1015" s="9">
        <f t="shared" si="15"/>
        <v>0</v>
      </c>
      <c r="I1015" s="6">
        <v>12500</v>
      </c>
      <c r="J1015" s="6">
        <f>VLOOKUP(Table1[[#This Row],[Province]],[1]Sheet1!$A$3:$F$37,4,FALSE)</f>
        <v>1372800</v>
      </c>
      <c r="K1015">
        <v>0</v>
      </c>
      <c r="L1015" s="4">
        <v>2.7410999999999999</v>
      </c>
      <c r="M1015" s="4">
        <v>106.4406</v>
      </c>
      <c r="N1015" s="13">
        <v>4.47</v>
      </c>
      <c r="P1015"/>
      <c r="Q1015" s="12"/>
      <c r="R1015" s="12"/>
    </row>
    <row r="1016" spans="1:18" x14ac:dyDescent="0.2">
      <c r="A1016">
        <v>9</v>
      </c>
      <c r="B1016" t="s">
        <v>3</v>
      </c>
      <c r="C1016">
        <v>2017</v>
      </c>
      <c r="D1016">
        <v>7</v>
      </c>
      <c r="E1016" s="4">
        <v>0</v>
      </c>
      <c r="F1016" s="9">
        <v>0</v>
      </c>
      <c r="G1016" s="6">
        <v>831</v>
      </c>
      <c r="H1016" s="9">
        <f t="shared" si="15"/>
        <v>0</v>
      </c>
      <c r="I1016" s="6">
        <v>12869</v>
      </c>
      <c r="J1016" s="6">
        <f>VLOOKUP(Table1[[#This Row],[Province]],[1]Sheet1!$A$3:$F$37,4,FALSE)</f>
        <v>1372800</v>
      </c>
      <c r="K1016">
        <v>0</v>
      </c>
      <c r="L1016" s="4">
        <v>2.7410999999999999</v>
      </c>
      <c r="M1016" s="4">
        <v>106.4406</v>
      </c>
      <c r="N1016" s="13">
        <v>4.47</v>
      </c>
      <c r="P1016"/>
      <c r="Q1016" s="12"/>
      <c r="R1016" s="12"/>
    </row>
    <row r="1017" spans="1:18" x14ac:dyDescent="0.2">
      <c r="A1017">
        <v>9</v>
      </c>
      <c r="B1017" t="s">
        <v>3</v>
      </c>
      <c r="C1017">
        <v>2017</v>
      </c>
      <c r="D1017">
        <v>8</v>
      </c>
      <c r="E1017" s="4">
        <v>0</v>
      </c>
      <c r="F1017" s="9">
        <v>0</v>
      </c>
      <c r="G1017" s="6">
        <v>1594</v>
      </c>
      <c r="H1017" s="9">
        <f t="shared" si="15"/>
        <v>0</v>
      </c>
      <c r="I1017" s="6">
        <v>13000</v>
      </c>
      <c r="J1017" s="6">
        <f>VLOOKUP(Table1[[#This Row],[Province]],[1]Sheet1!$A$3:$F$37,4,FALSE)</f>
        <v>1372800</v>
      </c>
      <c r="K1017">
        <v>0</v>
      </c>
      <c r="L1017" s="4">
        <v>2.7410999999999999</v>
      </c>
      <c r="M1017" s="4">
        <v>106.4406</v>
      </c>
      <c r="N1017" s="13">
        <v>4.47</v>
      </c>
      <c r="P1017"/>
      <c r="Q1017" s="12"/>
      <c r="R1017" s="12"/>
    </row>
    <row r="1018" spans="1:18" x14ac:dyDescent="0.2">
      <c r="A1018">
        <v>9</v>
      </c>
      <c r="B1018" t="s">
        <v>3</v>
      </c>
      <c r="C1018">
        <v>2017</v>
      </c>
      <c r="D1018">
        <v>9</v>
      </c>
      <c r="E1018" s="4">
        <v>0</v>
      </c>
      <c r="F1018" s="9">
        <v>0</v>
      </c>
      <c r="G1018" s="6">
        <v>1544</v>
      </c>
      <c r="H1018" s="9">
        <f t="shared" si="15"/>
        <v>0</v>
      </c>
      <c r="I1018" s="6">
        <v>12944</v>
      </c>
      <c r="J1018" s="6">
        <f>VLOOKUP(Table1[[#This Row],[Province]],[1]Sheet1!$A$3:$F$37,4,FALSE)</f>
        <v>1372800</v>
      </c>
      <c r="K1018">
        <v>0</v>
      </c>
      <c r="L1018" s="4">
        <v>2.7410999999999999</v>
      </c>
      <c r="M1018" s="4">
        <v>106.4406</v>
      </c>
      <c r="N1018" s="13">
        <v>4.47</v>
      </c>
      <c r="P1018"/>
      <c r="Q1018" s="12"/>
      <c r="R1018" s="12"/>
    </row>
    <row r="1019" spans="1:18" x14ac:dyDescent="0.2">
      <c r="A1019">
        <v>9</v>
      </c>
      <c r="B1019" t="s">
        <v>3</v>
      </c>
      <c r="C1019">
        <v>2017</v>
      </c>
      <c r="D1019">
        <v>10</v>
      </c>
      <c r="E1019" s="4">
        <v>0</v>
      </c>
      <c r="F1019" s="9">
        <v>0</v>
      </c>
      <c r="G1019" s="6">
        <v>2005</v>
      </c>
      <c r="H1019" s="9">
        <f t="shared" si="15"/>
        <v>0</v>
      </c>
      <c r="I1019" s="6">
        <v>13000</v>
      </c>
      <c r="J1019" s="6">
        <f>VLOOKUP(Table1[[#This Row],[Province]],[1]Sheet1!$A$3:$F$37,4,FALSE)</f>
        <v>1372800</v>
      </c>
      <c r="K1019">
        <v>0</v>
      </c>
      <c r="L1019" s="4">
        <v>2.7410999999999999</v>
      </c>
      <c r="M1019" s="4">
        <v>106.4406</v>
      </c>
      <c r="N1019" s="13">
        <v>4.47</v>
      </c>
      <c r="P1019"/>
      <c r="Q1019" s="12"/>
      <c r="R1019" s="12"/>
    </row>
    <row r="1020" spans="1:18" x14ac:dyDescent="0.2">
      <c r="A1020">
        <v>9</v>
      </c>
      <c r="B1020" t="s">
        <v>3</v>
      </c>
      <c r="C1020">
        <v>2017</v>
      </c>
      <c r="D1020">
        <v>11</v>
      </c>
      <c r="E1020" s="4">
        <v>0</v>
      </c>
      <c r="F1020" s="9">
        <v>0</v>
      </c>
      <c r="G1020" s="6">
        <v>524</v>
      </c>
      <c r="H1020" s="9">
        <f t="shared" si="15"/>
        <v>0</v>
      </c>
      <c r="I1020" s="6">
        <v>13000</v>
      </c>
      <c r="J1020" s="6">
        <f>VLOOKUP(Table1[[#This Row],[Province]],[1]Sheet1!$A$3:$F$37,4,FALSE)</f>
        <v>1372800</v>
      </c>
      <c r="K1020">
        <v>0</v>
      </c>
      <c r="L1020" s="4">
        <v>2.7410999999999999</v>
      </c>
      <c r="M1020" s="4">
        <v>106.4406</v>
      </c>
      <c r="N1020" s="13">
        <v>4.47</v>
      </c>
      <c r="P1020"/>
      <c r="Q1020" s="12"/>
      <c r="R1020" s="12"/>
    </row>
    <row r="1021" spans="1:18" x14ac:dyDescent="0.2">
      <c r="A1021">
        <v>9</v>
      </c>
      <c r="B1021" t="s">
        <v>3</v>
      </c>
      <c r="C1021">
        <v>2017</v>
      </c>
      <c r="D1021">
        <v>12</v>
      </c>
      <c r="E1021" s="4">
        <v>0</v>
      </c>
      <c r="F1021" s="9">
        <v>0</v>
      </c>
      <c r="G1021" s="6">
        <v>976</v>
      </c>
      <c r="H1021" s="9">
        <f t="shared" si="15"/>
        <v>0</v>
      </c>
      <c r="I1021" s="6">
        <v>12944</v>
      </c>
      <c r="J1021" s="6">
        <f>VLOOKUP(Table1[[#This Row],[Province]],[1]Sheet1!$A$3:$F$37,4,FALSE)</f>
        <v>1372800</v>
      </c>
      <c r="K1021">
        <v>1</v>
      </c>
      <c r="L1021" s="4">
        <v>2.7410999999999999</v>
      </c>
      <c r="M1021" s="4">
        <v>106.4406</v>
      </c>
      <c r="N1021" s="13">
        <v>4.47</v>
      </c>
      <c r="P1021"/>
      <c r="Q1021" s="12"/>
      <c r="R1021" s="12"/>
    </row>
    <row r="1022" spans="1:18" x14ac:dyDescent="0.2">
      <c r="A1022">
        <v>9</v>
      </c>
      <c r="B1022" t="s">
        <v>3</v>
      </c>
      <c r="C1022">
        <v>2018</v>
      </c>
      <c r="D1022">
        <v>1</v>
      </c>
      <c r="E1022" s="4">
        <v>0</v>
      </c>
      <c r="F1022" s="9">
        <v>0</v>
      </c>
      <c r="G1022" s="6">
        <v>706</v>
      </c>
      <c r="H1022" s="9">
        <f t="shared" si="15"/>
        <v>0</v>
      </c>
      <c r="I1022" s="6">
        <v>12167</v>
      </c>
      <c r="J1022" s="6">
        <f>VLOOKUP(Table1[[#This Row],[Province]],[1]Sheet1!$A$3:$F$37,4,FALSE)</f>
        <v>1372800</v>
      </c>
      <c r="K1022">
        <v>0</v>
      </c>
      <c r="L1022" s="4">
        <v>2.7410999999999999</v>
      </c>
      <c r="M1022" s="4">
        <v>106.4406</v>
      </c>
      <c r="N1022" s="13">
        <v>4.45</v>
      </c>
      <c r="P1022"/>
      <c r="Q1022" s="12"/>
      <c r="R1022" s="12"/>
    </row>
    <row r="1023" spans="1:18" x14ac:dyDescent="0.2">
      <c r="A1023">
        <v>9</v>
      </c>
      <c r="B1023" t="s">
        <v>3</v>
      </c>
      <c r="C1023">
        <v>2018</v>
      </c>
      <c r="D1023">
        <v>2</v>
      </c>
      <c r="E1023" s="4">
        <v>0</v>
      </c>
      <c r="F1023" s="9">
        <v>0</v>
      </c>
      <c r="G1023" s="6">
        <v>616</v>
      </c>
      <c r="H1023" s="9">
        <f t="shared" si="15"/>
        <v>0</v>
      </c>
      <c r="I1023" s="6">
        <v>12105</v>
      </c>
      <c r="J1023" s="6">
        <f>VLOOKUP(Table1[[#This Row],[Province]],[1]Sheet1!$A$3:$F$37,4,FALSE)</f>
        <v>1372800</v>
      </c>
      <c r="K1023">
        <v>0</v>
      </c>
      <c r="L1023" s="4">
        <v>2.7410999999999999</v>
      </c>
      <c r="M1023" s="4">
        <v>106.4406</v>
      </c>
      <c r="N1023" s="13">
        <v>4.45</v>
      </c>
      <c r="P1023"/>
      <c r="Q1023" s="12"/>
      <c r="R1023" s="12"/>
    </row>
    <row r="1024" spans="1:18" x14ac:dyDescent="0.2">
      <c r="A1024">
        <v>9</v>
      </c>
      <c r="B1024" t="s">
        <v>3</v>
      </c>
      <c r="C1024">
        <v>2018</v>
      </c>
      <c r="D1024">
        <v>3</v>
      </c>
      <c r="E1024" s="4">
        <v>0</v>
      </c>
      <c r="F1024" s="9">
        <v>0</v>
      </c>
      <c r="G1024" s="6">
        <v>390</v>
      </c>
      <c r="H1024" s="9">
        <f t="shared" si="15"/>
        <v>0</v>
      </c>
      <c r="I1024" s="6">
        <v>12008</v>
      </c>
      <c r="J1024" s="6">
        <f>VLOOKUP(Table1[[#This Row],[Province]],[1]Sheet1!$A$3:$F$37,4,FALSE)</f>
        <v>1372800</v>
      </c>
      <c r="K1024">
        <v>0</v>
      </c>
      <c r="L1024" s="4">
        <v>2.7410999999999999</v>
      </c>
      <c r="M1024" s="4">
        <v>106.4406</v>
      </c>
      <c r="N1024" s="13">
        <v>4.45</v>
      </c>
      <c r="P1024"/>
      <c r="Q1024" s="12"/>
      <c r="R1024" s="12"/>
    </row>
    <row r="1025" spans="1:18" x14ac:dyDescent="0.2">
      <c r="A1025">
        <v>9</v>
      </c>
      <c r="B1025" t="s">
        <v>3</v>
      </c>
      <c r="C1025">
        <v>2018</v>
      </c>
      <c r="D1025">
        <v>4</v>
      </c>
      <c r="E1025" s="4">
        <v>0</v>
      </c>
      <c r="F1025" s="9">
        <v>0</v>
      </c>
      <c r="G1025" s="6">
        <v>121</v>
      </c>
      <c r="H1025" s="9">
        <f t="shared" si="15"/>
        <v>0</v>
      </c>
      <c r="I1025" s="6">
        <v>12024</v>
      </c>
      <c r="J1025" s="6">
        <f>VLOOKUP(Table1[[#This Row],[Province]],[1]Sheet1!$A$3:$F$37,4,FALSE)</f>
        <v>1372800</v>
      </c>
      <c r="K1025">
        <v>0</v>
      </c>
      <c r="L1025" s="4">
        <v>2.7410999999999999</v>
      </c>
      <c r="M1025" s="4">
        <v>106.4406</v>
      </c>
      <c r="N1025" s="13">
        <v>4.45</v>
      </c>
      <c r="P1025"/>
      <c r="Q1025" s="12"/>
      <c r="R1025" s="12"/>
    </row>
    <row r="1026" spans="1:18" x14ac:dyDescent="0.2">
      <c r="A1026">
        <v>9</v>
      </c>
      <c r="B1026" t="s">
        <v>3</v>
      </c>
      <c r="C1026">
        <v>2018</v>
      </c>
      <c r="D1026">
        <v>5</v>
      </c>
      <c r="E1026" s="4">
        <v>0</v>
      </c>
      <c r="F1026" s="9">
        <v>0</v>
      </c>
      <c r="G1026" s="6">
        <v>814</v>
      </c>
      <c r="H1026" s="9">
        <f t="shared" ref="H1026:H1089" si="16">F1026+E1026</f>
        <v>0</v>
      </c>
      <c r="I1026" s="6">
        <v>12000</v>
      </c>
      <c r="J1026" s="6">
        <f>VLOOKUP(Table1[[#This Row],[Province]],[1]Sheet1!$A$3:$F$37,4,FALSE)</f>
        <v>1372800</v>
      </c>
      <c r="K1026">
        <v>1</v>
      </c>
      <c r="L1026" s="4">
        <v>2.7410999999999999</v>
      </c>
      <c r="M1026" s="4">
        <v>106.4406</v>
      </c>
      <c r="N1026" s="13">
        <v>4.45</v>
      </c>
      <c r="P1026"/>
      <c r="Q1026" s="12"/>
      <c r="R1026" s="12"/>
    </row>
    <row r="1027" spans="1:18" x14ac:dyDescent="0.2">
      <c r="A1027">
        <v>9</v>
      </c>
      <c r="B1027" t="s">
        <v>3</v>
      </c>
      <c r="C1027">
        <v>2018</v>
      </c>
      <c r="D1027">
        <v>6</v>
      </c>
      <c r="E1027" s="4">
        <v>0</v>
      </c>
      <c r="F1027" s="9">
        <v>0</v>
      </c>
      <c r="G1027" s="6">
        <v>180</v>
      </c>
      <c r="H1027" s="9">
        <f t="shared" si="16"/>
        <v>0</v>
      </c>
      <c r="I1027" s="6">
        <v>12018</v>
      </c>
      <c r="J1027" s="6">
        <f>VLOOKUP(Table1[[#This Row],[Province]],[1]Sheet1!$A$3:$F$37,4,FALSE)</f>
        <v>1372800</v>
      </c>
      <c r="K1027">
        <v>0</v>
      </c>
      <c r="L1027" s="4">
        <v>2.7410999999999999</v>
      </c>
      <c r="M1027" s="4">
        <v>106.4406</v>
      </c>
      <c r="N1027" s="13">
        <v>4.45</v>
      </c>
      <c r="P1027"/>
      <c r="Q1027" s="12"/>
      <c r="R1027" s="12"/>
    </row>
    <row r="1028" spans="1:18" x14ac:dyDescent="0.2">
      <c r="A1028">
        <v>9</v>
      </c>
      <c r="B1028" t="s">
        <v>3</v>
      </c>
      <c r="C1028">
        <v>2018</v>
      </c>
      <c r="D1028">
        <v>7</v>
      </c>
      <c r="E1028" s="4">
        <v>0</v>
      </c>
      <c r="F1028" s="9">
        <v>0</v>
      </c>
      <c r="G1028" s="6">
        <v>360</v>
      </c>
      <c r="H1028" s="9">
        <f t="shared" si="16"/>
        <v>0</v>
      </c>
      <c r="I1028" s="6">
        <v>12000</v>
      </c>
      <c r="J1028" s="6">
        <f>VLOOKUP(Table1[[#This Row],[Province]],[1]Sheet1!$A$3:$F$37,4,FALSE)</f>
        <v>1372800</v>
      </c>
      <c r="K1028">
        <v>0</v>
      </c>
      <c r="L1028" s="4">
        <v>2.7410999999999999</v>
      </c>
      <c r="M1028" s="4">
        <v>106.4406</v>
      </c>
      <c r="N1028" s="13">
        <v>4.45</v>
      </c>
      <c r="P1028"/>
      <c r="Q1028" s="12"/>
      <c r="R1028" s="12"/>
    </row>
    <row r="1029" spans="1:18" x14ac:dyDescent="0.2">
      <c r="A1029">
        <v>9</v>
      </c>
      <c r="B1029" t="s">
        <v>3</v>
      </c>
      <c r="C1029">
        <v>2018</v>
      </c>
      <c r="D1029">
        <v>8</v>
      </c>
      <c r="E1029" s="4">
        <v>0</v>
      </c>
      <c r="F1029" s="9">
        <v>0</v>
      </c>
      <c r="G1029" s="6">
        <v>1113</v>
      </c>
      <c r="H1029" s="9">
        <f t="shared" si="16"/>
        <v>0</v>
      </c>
      <c r="I1029" s="6">
        <v>11614</v>
      </c>
      <c r="J1029" s="6">
        <f>VLOOKUP(Table1[[#This Row],[Province]],[1]Sheet1!$A$3:$F$37,4,FALSE)</f>
        <v>1372800</v>
      </c>
      <c r="K1029">
        <v>0</v>
      </c>
      <c r="L1029" s="4">
        <v>2.7410999999999999</v>
      </c>
      <c r="M1029" s="4">
        <v>106.4406</v>
      </c>
      <c r="N1029" s="13">
        <v>4.45</v>
      </c>
      <c r="P1029"/>
      <c r="Q1029" s="12"/>
      <c r="R1029" s="12"/>
    </row>
    <row r="1030" spans="1:18" x14ac:dyDescent="0.2">
      <c r="A1030">
        <v>9</v>
      </c>
      <c r="B1030" t="s">
        <v>3</v>
      </c>
      <c r="C1030">
        <v>2018</v>
      </c>
      <c r="D1030">
        <v>9</v>
      </c>
      <c r="E1030" s="4">
        <v>0</v>
      </c>
      <c r="F1030" s="9">
        <v>0</v>
      </c>
      <c r="G1030" s="6">
        <v>584</v>
      </c>
      <c r="H1030" s="9">
        <f t="shared" si="16"/>
        <v>0</v>
      </c>
      <c r="I1030" s="6">
        <v>11507</v>
      </c>
      <c r="J1030" s="6">
        <f>VLOOKUP(Table1[[#This Row],[Province]],[1]Sheet1!$A$3:$F$37,4,FALSE)</f>
        <v>1372800</v>
      </c>
      <c r="K1030">
        <v>0</v>
      </c>
      <c r="L1030" s="4">
        <v>2.7410999999999999</v>
      </c>
      <c r="M1030" s="4">
        <v>106.4406</v>
      </c>
      <c r="N1030" s="13">
        <v>4.45</v>
      </c>
      <c r="P1030"/>
      <c r="Q1030" s="12"/>
      <c r="R1030" s="12"/>
    </row>
    <row r="1031" spans="1:18" x14ac:dyDescent="0.2">
      <c r="A1031">
        <v>9</v>
      </c>
      <c r="B1031" t="s">
        <v>3</v>
      </c>
      <c r="C1031">
        <v>2018</v>
      </c>
      <c r="D1031">
        <v>10</v>
      </c>
      <c r="E1031" s="4">
        <v>0</v>
      </c>
      <c r="F1031" s="9">
        <v>0</v>
      </c>
      <c r="G1031" s="6">
        <v>1941</v>
      </c>
      <c r="H1031" s="9">
        <f t="shared" si="16"/>
        <v>0</v>
      </c>
      <c r="I1031" s="6">
        <v>11475</v>
      </c>
      <c r="J1031" s="6">
        <f>VLOOKUP(Table1[[#This Row],[Province]],[1]Sheet1!$A$3:$F$37,4,FALSE)</f>
        <v>1372800</v>
      </c>
      <c r="K1031">
        <v>0</v>
      </c>
      <c r="L1031" s="4">
        <v>2.7410999999999999</v>
      </c>
      <c r="M1031" s="4">
        <v>106.4406</v>
      </c>
      <c r="N1031" s="13">
        <v>4.45</v>
      </c>
      <c r="P1031"/>
      <c r="Q1031" s="12"/>
      <c r="R1031" s="12"/>
    </row>
    <row r="1032" spans="1:18" x14ac:dyDescent="0.2">
      <c r="A1032">
        <v>9</v>
      </c>
      <c r="B1032" t="s">
        <v>3</v>
      </c>
      <c r="C1032">
        <v>2018</v>
      </c>
      <c r="D1032">
        <v>11</v>
      </c>
      <c r="E1032" s="4">
        <v>0</v>
      </c>
      <c r="F1032" s="9">
        <v>0</v>
      </c>
      <c r="G1032" s="6">
        <v>1080</v>
      </c>
      <c r="H1032" s="9">
        <f t="shared" si="16"/>
        <v>0</v>
      </c>
      <c r="I1032" s="6">
        <v>11330</v>
      </c>
      <c r="J1032" s="6">
        <f>VLOOKUP(Table1[[#This Row],[Province]],[1]Sheet1!$A$3:$F$37,4,FALSE)</f>
        <v>1372800</v>
      </c>
      <c r="K1032">
        <v>0</v>
      </c>
      <c r="L1032" s="4">
        <v>2.7410999999999999</v>
      </c>
      <c r="M1032" s="4">
        <v>106.4406</v>
      </c>
      <c r="N1032" s="13">
        <v>4.45</v>
      </c>
      <c r="P1032"/>
      <c r="Q1032" s="12"/>
      <c r="R1032" s="12"/>
    </row>
    <row r="1033" spans="1:18" x14ac:dyDescent="0.2">
      <c r="A1033">
        <v>9</v>
      </c>
      <c r="B1033" t="s">
        <v>3</v>
      </c>
      <c r="C1033">
        <v>2018</v>
      </c>
      <c r="D1033">
        <v>12</v>
      </c>
      <c r="E1033" s="4">
        <v>0</v>
      </c>
      <c r="F1033" s="9">
        <v>0</v>
      </c>
      <c r="G1033" s="6">
        <v>1494</v>
      </c>
      <c r="H1033" s="9">
        <f t="shared" si="16"/>
        <v>0</v>
      </c>
      <c r="I1033" s="6">
        <v>11500</v>
      </c>
      <c r="J1033" s="6">
        <f>VLOOKUP(Table1[[#This Row],[Province]],[1]Sheet1!$A$3:$F$37,4,FALSE)</f>
        <v>1372800</v>
      </c>
      <c r="K1033">
        <v>1</v>
      </c>
      <c r="L1033" s="4">
        <v>2.7410999999999999</v>
      </c>
      <c r="M1033" s="4">
        <v>106.4406</v>
      </c>
      <c r="N1033" s="13">
        <v>4.45</v>
      </c>
      <c r="P1033"/>
      <c r="Q1033" s="12"/>
      <c r="R1033" s="12"/>
    </row>
    <row r="1034" spans="1:18" x14ac:dyDescent="0.2">
      <c r="A1034">
        <v>9</v>
      </c>
      <c r="B1034" t="s">
        <v>3</v>
      </c>
      <c r="C1034">
        <v>2019</v>
      </c>
      <c r="D1034">
        <v>1</v>
      </c>
      <c r="E1034" s="4">
        <v>0</v>
      </c>
      <c r="F1034" s="9">
        <v>0</v>
      </c>
      <c r="G1034" s="6">
        <v>1976</v>
      </c>
      <c r="H1034" s="9">
        <f t="shared" si="16"/>
        <v>0</v>
      </c>
      <c r="I1034" s="6">
        <v>11252</v>
      </c>
      <c r="J1034" s="6">
        <f>VLOOKUP(Table1[[#This Row],[Province]],[1]Sheet1!$A$3:$F$37,4,FALSE)</f>
        <v>1372800</v>
      </c>
      <c r="K1034">
        <v>0</v>
      </c>
      <c r="L1034" s="4">
        <v>2.7410999999999999</v>
      </c>
      <c r="M1034" s="4">
        <v>106.4406</v>
      </c>
      <c r="N1034" s="13">
        <v>3.32</v>
      </c>
      <c r="P1034"/>
      <c r="Q1034" s="12"/>
      <c r="R1034" s="12"/>
    </row>
    <row r="1035" spans="1:18" x14ac:dyDescent="0.2">
      <c r="A1035">
        <v>9</v>
      </c>
      <c r="B1035" t="s">
        <v>3</v>
      </c>
      <c r="C1035">
        <v>2019</v>
      </c>
      <c r="D1035">
        <v>2</v>
      </c>
      <c r="E1035" s="4">
        <v>0</v>
      </c>
      <c r="F1035" s="9">
        <v>0</v>
      </c>
      <c r="G1035" s="6">
        <v>1622</v>
      </c>
      <c r="H1035" s="9">
        <f t="shared" si="16"/>
        <v>0</v>
      </c>
      <c r="I1035" s="6">
        <v>12216</v>
      </c>
      <c r="J1035" s="6">
        <f>VLOOKUP(Table1[[#This Row],[Province]],[1]Sheet1!$A$3:$F$37,4,FALSE)</f>
        <v>1372800</v>
      </c>
      <c r="K1035">
        <v>0</v>
      </c>
      <c r="L1035" s="4">
        <v>2.7410999999999999</v>
      </c>
      <c r="M1035" s="4">
        <v>106.4406</v>
      </c>
      <c r="N1035" s="13">
        <v>3.32</v>
      </c>
      <c r="P1035"/>
      <c r="Q1035" s="12"/>
      <c r="R1035" s="12"/>
    </row>
    <row r="1036" spans="1:18" x14ac:dyDescent="0.2">
      <c r="A1036">
        <v>9</v>
      </c>
      <c r="B1036" t="s">
        <v>3</v>
      </c>
      <c r="C1036">
        <v>2019</v>
      </c>
      <c r="D1036">
        <v>3</v>
      </c>
      <c r="E1036" s="4">
        <v>0</v>
      </c>
      <c r="F1036" s="9">
        <v>0</v>
      </c>
      <c r="G1036" s="6">
        <v>1789</v>
      </c>
      <c r="H1036" s="9">
        <f t="shared" si="16"/>
        <v>0</v>
      </c>
      <c r="I1036" s="6">
        <v>11140</v>
      </c>
      <c r="J1036" s="6">
        <f>VLOOKUP(Table1[[#This Row],[Province]],[1]Sheet1!$A$3:$F$37,4,FALSE)</f>
        <v>1372800</v>
      </c>
      <c r="K1036">
        <v>0</v>
      </c>
      <c r="L1036" s="4">
        <v>2.7410999999999999</v>
      </c>
      <c r="M1036" s="4">
        <v>106.4406</v>
      </c>
      <c r="N1036" s="13">
        <v>3.32</v>
      </c>
      <c r="P1036"/>
      <c r="Q1036" s="12"/>
      <c r="R1036" s="12"/>
    </row>
    <row r="1037" spans="1:18" x14ac:dyDescent="0.2">
      <c r="A1037">
        <v>9</v>
      </c>
      <c r="B1037" t="s">
        <v>3</v>
      </c>
      <c r="C1037">
        <v>2019</v>
      </c>
      <c r="D1037">
        <v>4</v>
      </c>
      <c r="E1037" s="4">
        <v>0</v>
      </c>
      <c r="F1037" s="9">
        <v>0</v>
      </c>
      <c r="G1037" s="6">
        <v>1668</v>
      </c>
      <c r="H1037" s="9">
        <f t="shared" si="16"/>
        <v>0</v>
      </c>
      <c r="I1037" s="6">
        <v>11591</v>
      </c>
      <c r="J1037" s="6">
        <f>VLOOKUP(Table1[[#This Row],[Province]],[1]Sheet1!$A$3:$F$37,4,FALSE)</f>
        <v>1372800</v>
      </c>
      <c r="K1037">
        <v>0</v>
      </c>
      <c r="L1037" s="4">
        <v>2.7410999999999999</v>
      </c>
      <c r="M1037" s="4">
        <v>106.4406</v>
      </c>
      <c r="N1037" s="13">
        <v>3.32</v>
      </c>
      <c r="P1037"/>
      <c r="Q1037" s="12"/>
      <c r="R1037" s="12"/>
    </row>
    <row r="1038" spans="1:18" x14ac:dyDescent="0.2">
      <c r="A1038">
        <v>9</v>
      </c>
      <c r="B1038" t="s">
        <v>3</v>
      </c>
      <c r="C1038">
        <v>2019</v>
      </c>
      <c r="D1038">
        <v>5</v>
      </c>
      <c r="E1038" s="4">
        <v>0</v>
      </c>
      <c r="F1038" s="9">
        <v>0</v>
      </c>
      <c r="G1038" s="6">
        <v>1845</v>
      </c>
      <c r="H1038" s="9">
        <f t="shared" si="16"/>
        <v>0</v>
      </c>
      <c r="I1038" s="6">
        <v>11907</v>
      </c>
      <c r="J1038" s="6">
        <f>VLOOKUP(Table1[[#This Row],[Province]],[1]Sheet1!$A$3:$F$37,4,FALSE)</f>
        <v>1372800</v>
      </c>
      <c r="K1038">
        <v>1</v>
      </c>
      <c r="L1038" s="4">
        <v>2.7410999999999999</v>
      </c>
      <c r="M1038" s="4">
        <v>106.4406</v>
      </c>
      <c r="N1038" s="13">
        <v>3.32</v>
      </c>
      <c r="P1038"/>
      <c r="Q1038" s="12"/>
      <c r="R1038" s="12"/>
    </row>
    <row r="1039" spans="1:18" x14ac:dyDescent="0.2">
      <c r="A1039">
        <v>9</v>
      </c>
      <c r="B1039" t="s">
        <v>3</v>
      </c>
      <c r="C1039">
        <v>2019</v>
      </c>
      <c r="D1039">
        <v>6</v>
      </c>
      <c r="E1039" s="4">
        <v>0</v>
      </c>
      <c r="F1039" s="9">
        <v>0</v>
      </c>
      <c r="G1039" s="6">
        <v>1202</v>
      </c>
      <c r="H1039" s="9">
        <f t="shared" si="16"/>
        <v>0</v>
      </c>
      <c r="I1039" s="6">
        <v>12294</v>
      </c>
      <c r="J1039" s="6">
        <f>VLOOKUP(Table1[[#This Row],[Province]],[1]Sheet1!$A$3:$F$37,4,FALSE)</f>
        <v>1372800</v>
      </c>
      <c r="K1039">
        <v>0</v>
      </c>
      <c r="L1039" s="4">
        <v>2.7410999999999999</v>
      </c>
      <c r="M1039" s="4">
        <v>106.4406</v>
      </c>
      <c r="N1039" s="13">
        <v>3.32</v>
      </c>
      <c r="P1039"/>
      <c r="Q1039" s="12"/>
      <c r="R1039" s="12"/>
    </row>
    <row r="1040" spans="1:18" x14ac:dyDescent="0.2">
      <c r="A1040">
        <v>9</v>
      </c>
      <c r="B1040" t="s">
        <v>3</v>
      </c>
      <c r="C1040">
        <v>2019</v>
      </c>
      <c r="D1040">
        <v>7</v>
      </c>
      <c r="E1040" s="4">
        <v>0</v>
      </c>
      <c r="F1040" s="9">
        <v>0</v>
      </c>
      <c r="G1040" s="6">
        <v>1672</v>
      </c>
      <c r="H1040" s="9">
        <f t="shared" si="16"/>
        <v>0</v>
      </c>
      <c r="I1040" s="6">
        <v>12474</v>
      </c>
      <c r="J1040" s="6">
        <f>VLOOKUP(Table1[[#This Row],[Province]],[1]Sheet1!$A$3:$F$37,4,FALSE)</f>
        <v>1372800</v>
      </c>
      <c r="K1040">
        <v>0</v>
      </c>
      <c r="L1040" s="4">
        <v>2.7410999999999999</v>
      </c>
      <c r="M1040" s="4">
        <v>106.4406</v>
      </c>
      <c r="N1040" s="13">
        <v>3.32</v>
      </c>
      <c r="P1040"/>
      <c r="Q1040" s="12"/>
      <c r="R1040" s="12"/>
    </row>
    <row r="1041" spans="1:18" x14ac:dyDescent="0.2">
      <c r="A1041">
        <v>9</v>
      </c>
      <c r="B1041" t="s">
        <v>3</v>
      </c>
      <c r="C1041">
        <v>2019</v>
      </c>
      <c r="D1041">
        <v>8</v>
      </c>
      <c r="E1041" s="4">
        <v>0</v>
      </c>
      <c r="F1041" s="9">
        <v>0</v>
      </c>
      <c r="G1041" s="6">
        <v>1343</v>
      </c>
      <c r="H1041" s="9">
        <f t="shared" si="16"/>
        <v>0</v>
      </c>
      <c r="I1041" s="6">
        <v>12486</v>
      </c>
      <c r="J1041" s="6">
        <f>VLOOKUP(Table1[[#This Row],[Province]],[1]Sheet1!$A$3:$F$37,4,FALSE)</f>
        <v>1372800</v>
      </c>
      <c r="K1041">
        <v>0</v>
      </c>
      <c r="L1041" s="4">
        <v>2.7410999999999999</v>
      </c>
      <c r="M1041" s="4">
        <v>106.4406</v>
      </c>
      <c r="N1041" s="13">
        <v>3.32</v>
      </c>
      <c r="P1041"/>
      <c r="Q1041" s="12"/>
      <c r="R1041" s="12"/>
    </row>
    <row r="1042" spans="1:18" x14ac:dyDescent="0.2">
      <c r="A1042">
        <v>9</v>
      </c>
      <c r="B1042" t="s">
        <v>3</v>
      </c>
      <c r="C1042">
        <v>2019</v>
      </c>
      <c r="D1042">
        <v>9</v>
      </c>
      <c r="E1042" s="4">
        <v>0</v>
      </c>
      <c r="F1042" s="9">
        <v>0</v>
      </c>
      <c r="G1042" s="6">
        <v>1577</v>
      </c>
      <c r="H1042" s="9">
        <f t="shared" si="16"/>
        <v>0</v>
      </c>
      <c r="I1042" s="6">
        <v>12395</v>
      </c>
      <c r="J1042" s="6">
        <f>VLOOKUP(Table1[[#This Row],[Province]],[1]Sheet1!$A$3:$F$37,4,FALSE)</f>
        <v>1372800</v>
      </c>
      <c r="K1042">
        <v>0</v>
      </c>
      <c r="L1042" s="4">
        <v>2.7410999999999999</v>
      </c>
      <c r="M1042" s="4">
        <v>106.4406</v>
      </c>
      <c r="N1042" s="13">
        <v>3.32</v>
      </c>
      <c r="P1042"/>
      <c r="Q1042" s="12"/>
      <c r="R1042" s="12"/>
    </row>
    <row r="1043" spans="1:18" x14ac:dyDescent="0.2">
      <c r="A1043">
        <v>9</v>
      </c>
      <c r="B1043" t="s">
        <v>3</v>
      </c>
      <c r="C1043">
        <v>2019</v>
      </c>
      <c r="D1043">
        <v>10</v>
      </c>
      <c r="E1043" s="4">
        <v>0</v>
      </c>
      <c r="F1043" s="9">
        <v>0</v>
      </c>
      <c r="G1043" s="6">
        <v>1283</v>
      </c>
      <c r="H1043" s="9">
        <f t="shared" si="16"/>
        <v>0</v>
      </c>
      <c r="I1043" s="6">
        <v>12415</v>
      </c>
      <c r="J1043" s="6">
        <f>VLOOKUP(Table1[[#This Row],[Province]],[1]Sheet1!$A$3:$F$37,4,FALSE)</f>
        <v>1372800</v>
      </c>
      <c r="K1043">
        <v>0</v>
      </c>
      <c r="L1043" s="4">
        <v>2.7410999999999999</v>
      </c>
      <c r="M1043" s="4">
        <v>106.4406</v>
      </c>
      <c r="N1043" s="13">
        <v>3.32</v>
      </c>
      <c r="P1043"/>
      <c r="Q1043" s="12"/>
      <c r="R1043" s="12"/>
    </row>
    <row r="1044" spans="1:18" x14ac:dyDescent="0.2">
      <c r="A1044">
        <v>9</v>
      </c>
      <c r="B1044" t="s">
        <v>3</v>
      </c>
      <c r="C1044">
        <v>2019</v>
      </c>
      <c r="D1044">
        <v>11</v>
      </c>
      <c r="E1044" s="4">
        <v>0</v>
      </c>
      <c r="F1044" s="9">
        <v>0</v>
      </c>
      <c r="G1044" s="6">
        <v>1310</v>
      </c>
      <c r="H1044" s="9">
        <f t="shared" si="16"/>
        <v>0</v>
      </c>
      <c r="I1044" s="6">
        <v>12427</v>
      </c>
      <c r="J1044" s="6">
        <f>VLOOKUP(Table1[[#This Row],[Province]],[1]Sheet1!$A$3:$F$37,4,FALSE)</f>
        <v>1372800</v>
      </c>
      <c r="K1044">
        <v>0</v>
      </c>
      <c r="L1044" s="4">
        <v>2.7410999999999999</v>
      </c>
      <c r="M1044" s="4">
        <v>106.4406</v>
      </c>
      <c r="N1044" s="13">
        <v>3.32</v>
      </c>
      <c r="P1044"/>
      <c r="Q1044" s="12"/>
      <c r="R1044" s="12"/>
    </row>
    <row r="1045" spans="1:18" x14ac:dyDescent="0.2">
      <c r="A1045">
        <v>9</v>
      </c>
      <c r="B1045" t="s">
        <v>3</v>
      </c>
      <c r="C1045">
        <v>2019</v>
      </c>
      <c r="D1045">
        <v>12</v>
      </c>
      <c r="E1045" s="4">
        <v>0</v>
      </c>
      <c r="F1045" s="9">
        <v>0</v>
      </c>
      <c r="G1045" s="6">
        <v>1515</v>
      </c>
      <c r="H1045" s="9">
        <f t="shared" si="16"/>
        <v>0</v>
      </c>
      <c r="I1045" s="6">
        <v>12463</v>
      </c>
      <c r="J1045" s="6">
        <f>VLOOKUP(Table1[[#This Row],[Province]],[1]Sheet1!$A$3:$F$37,4,FALSE)</f>
        <v>1372800</v>
      </c>
      <c r="K1045">
        <v>1</v>
      </c>
      <c r="L1045" s="4">
        <v>2.7410999999999999</v>
      </c>
      <c r="M1045" s="4">
        <v>106.4406</v>
      </c>
      <c r="N1045" s="13">
        <v>3.32</v>
      </c>
      <c r="P1045"/>
      <c r="Q1045" s="12"/>
      <c r="R1045" s="12"/>
    </row>
    <row r="1046" spans="1:18" x14ac:dyDescent="0.2">
      <c r="A1046">
        <v>9</v>
      </c>
      <c r="B1046" t="s">
        <v>3</v>
      </c>
      <c r="C1046">
        <v>2020</v>
      </c>
      <c r="D1046">
        <v>1</v>
      </c>
      <c r="E1046" s="4">
        <v>0</v>
      </c>
      <c r="F1046" s="9">
        <v>0</v>
      </c>
      <c r="G1046" s="6">
        <v>1387</v>
      </c>
      <c r="H1046" s="9">
        <f t="shared" si="16"/>
        <v>0</v>
      </c>
      <c r="I1046" s="6">
        <v>12389</v>
      </c>
      <c r="J1046" s="6">
        <f>VLOOKUP(Table1[[#This Row],[Province]],[1]Sheet1!$A$3:$F$37,4,FALSE)</f>
        <v>1372800</v>
      </c>
      <c r="K1046">
        <v>0</v>
      </c>
      <c r="L1046" s="4">
        <v>2.7410999999999999</v>
      </c>
      <c r="M1046" s="4">
        <v>106.4406</v>
      </c>
      <c r="N1046" s="13">
        <v>-2.29</v>
      </c>
      <c r="P1046"/>
      <c r="Q1046" s="12"/>
      <c r="R1046" s="12"/>
    </row>
    <row r="1047" spans="1:18" x14ac:dyDescent="0.2">
      <c r="A1047">
        <v>9</v>
      </c>
      <c r="B1047" t="s">
        <v>3</v>
      </c>
      <c r="C1047">
        <v>2020</v>
      </c>
      <c r="D1047">
        <v>2</v>
      </c>
      <c r="E1047" s="4">
        <v>0</v>
      </c>
      <c r="F1047" s="9">
        <v>0</v>
      </c>
      <c r="G1047" s="6">
        <v>2193</v>
      </c>
      <c r="H1047" s="9">
        <f t="shared" si="16"/>
        <v>0</v>
      </c>
      <c r="I1047" s="6">
        <v>12957</v>
      </c>
      <c r="J1047" s="6">
        <f>VLOOKUP(Table1[[#This Row],[Province]],[1]Sheet1!$A$3:$F$37,4,FALSE)</f>
        <v>1372800</v>
      </c>
      <c r="K1047">
        <v>0</v>
      </c>
      <c r="L1047" s="4">
        <v>2.7410999999999999</v>
      </c>
      <c r="M1047" s="4">
        <v>106.4406</v>
      </c>
      <c r="N1047" s="13">
        <v>-2.29</v>
      </c>
      <c r="P1047"/>
      <c r="Q1047" s="12"/>
      <c r="R1047" s="12"/>
    </row>
    <row r="1048" spans="1:18" x14ac:dyDescent="0.2">
      <c r="A1048">
        <v>9</v>
      </c>
      <c r="B1048" t="s">
        <v>3</v>
      </c>
      <c r="C1048">
        <v>2020</v>
      </c>
      <c r="D1048">
        <v>3</v>
      </c>
      <c r="E1048" s="4">
        <v>0</v>
      </c>
      <c r="F1048" s="9">
        <v>0</v>
      </c>
      <c r="G1048" s="6">
        <v>887</v>
      </c>
      <c r="H1048" s="9">
        <f t="shared" si="16"/>
        <v>0</v>
      </c>
      <c r="I1048" s="6">
        <v>15768</v>
      </c>
      <c r="J1048" s="6">
        <f>VLOOKUP(Table1[[#This Row],[Province]],[1]Sheet1!$A$3:$F$37,4,FALSE)</f>
        <v>1372800</v>
      </c>
      <c r="K1048">
        <v>0</v>
      </c>
      <c r="L1048" s="4">
        <v>2.7410999999999999</v>
      </c>
      <c r="M1048" s="4">
        <v>106.4406</v>
      </c>
      <c r="N1048" s="13">
        <v>-2.29</v>
      </c>
      <c r="P1048"/>
      <c r="Q1048" s="12"/>
      <c r="R1048" s="12"/>
    </row>
    <row r="1049" spans="1:18" x14ac:dyDescent="0.2">
      <c r="A1049">
        <v>9</v>
      </c>
      <c r="B1049" t="s">
        <v>3</v>
      </c>
      <c r="C1049">
        <v>2020</v>
      </c>
      <c r="D1049">
        <v>4</v>
      </c>
      <c r="E1049" s="4">
        <v>0</v>
      </c>
      <c r="F1049" s="9">
        <v>0</v>
      </c>
      <c r="G1049" s="6">
        <v>1328</v>
      </c>
      <c r="H1049" s="9">
        <f t="shared" si="16"/>
        <v>0</v>
      </c>
      <c r="I1049" s="6">
        <v>17429</v>
      </c>
      <c r="J1049" s="6">
        <f>VLOOKUP(Table1[[#This Row],[Province]],[1]Sheet1!$A$3:$F$37,4,FALSE)</f>
        <v>1372800</v>
      </c>
      <c r="K1049">
        <v>1</v>
      </c>
      <c r="L1049" s="4">
        <v>2.7410999999999999</v>
      </c>
      <c r="M1049" s="4">
        <v>106.4406</v>
      </c>
      <c r="N1049" s="13">
        <v>-2.29</v>
      </c>
      <c r="P1049"/>
      <c r="Q1049" s="12"/>
      <c r="R1049" s="12"/>
    </row>
    <row r="1050" spans="1:18" x14ac:dyDescent="0.2">
      <c r="A1050">
        <v>9</v>
      </c>
      <c r="B1050" t="s">
        <v>3</v>
      </c>
      <c r="C1050">
        <v>2020</v>
      </c>
      <c r="D1050">
        <v>5</v>
      </c>
      <c r="E1050" s="4">
        <v>0</v>
      </c>
      <c r="F1050" s="9">
        <v>0</v>
      </c>
      <c r="G1050" s="6">
        <v>1547</v>
      </c>
      <c r="H1050" s="9">
        <f t="shared" si="16"/>
        <v>0</v>
      </c>
      <c r="I1050" s="6">
        <v>16668</v>
      </c>
      <c r="J1050" s="6">
        <f>VLOOKUP(Table1[[#This Row],[Province]],[1]Sheet1!$A$3:$F$37,4,FALSE)</f>
        <v>1372800</v>
      </c>
      <c r="K1050">
        <v>0</v>
      </c>
      <c r="L1050" s="4">
        <v>2.7410999999999999</v>
      </c>
      <c r="M1050" s="4">
        <v>106.4406</v>
      </c>
      <c r="N1050" s="13">
        <v>-2.29</v>
      </c>
      <c r="P1050"/>
      <c r="Q1050" s="12"/>
      <c r="R1050" s="12"/>
    </row>
    <row r="1051" spans="1:18" x14ac:dyDescent="0.2">
      <c r="A1051">
        <v>9</v>
      </c>
      <c r="B1051" t="s">
        <v>3</v>
      </c>
      <c r="C1051">
        <v>2020</v>
      </c>
      <c r="D1051">
        <v>6</v>
      </c>
      <c r="E1051" s="4">
        <v>0</v>
      </c>
      <c r="F1051" s="9">
        <v>0</v>
      </c>
      <c r="G1051" s="6">
        <v>1354</v>
      </c>
      <c r="H1051" s="9">
        <f t="shared" si="16"/>
        <v>0</v>
      </c>
      <c r="I1051" s="6">
        <v>14947</v>
      </c>
      <c r="J1051" s="6">
        <f>VLOOKUP(Table1[[#This Row],[Province]],[1]Sheet1!$A$3:$F$37,4,FALSE)</f>
        <v>1372800</v>
      </c>
      <c r="K1051">
        <v>0</v>
      </c>
      <c r="L1051" s="4">
        <v>2.7410999999999999</v>
      </c>
      <c r="M1051" s="4">
        <v>106.4406</v>
      </c>
      <c r="N1051" s="13">
        <v>-2.29</v>
      </c>
      <c r="P1051"/>
      <c r="Q1051" s="12"/>
      <c r="R1051" s="12"/>
    </row>
    <row r="1052" spans="1:18" x14ac:dyDescent="0.2">
      <c r="A1052">
        <v>9</v>
      </c>
      <c r="B1052" t="s">
        <v>3</v>
      </c>
      <c r="C1052">
        <v>2020</v>
      </c>
      <c r="D1052">
        <v>7</v>
      </c>
      <c r="E1052" s="4">
        <v>0</v>
      </c>
      <c r="F1052" s="9">
        <v>0</v>
      </c>
      <c r="G1052" s="6">
        <v>1759</v>
      </c>
      <c r="H1052" s="9">
        <f t="shared" si="16"/>
        <v>0</v>
      </c>
      <c r="I1052" s="6">
        <v>14231</v>
      </c>
      <c r="J1052" s="6">
        <f>VLOOKUP(Table1[[#This Row],[Province]],[1]Sheet1!$A$3:$F$37,4,FALSE)</f>
        <v>1372800</v>
      </c>
      <c r="K1052">
        <v>0</v>
      </c>
      <c r="L1052" s="4">
        <v>2.7410999999999999</v>
      </c>
      <c r="M1052" s="4">
        <v>106.4406</v>
      </c>
      <c r="N1052" s="13">
        <v>-2.29</v>
      </c>
      <c r="P1052"/>
      <c r="Q1052" s="12"/>
      <c r="R1052" s="12"/>
    </row>
    <row r="1053" spans="1:18" x14ac:dyDescent="0.2">
      <c r="A1053">
        <v>9</v>
      </c>
      <c r="B1053" t="s">
        <v>3</v>
      </c>
      <c r="C1053">
        <v>2020</v>
      </c>
      <c r="D1053">
        <v>8</v>
      </c>
      <c r="E1053" s="4">
        <v>0</v>
      </c>
      <c r="F1053" s="9">
        <v>0</v>
      </c>
      <c r="G1053" s="6">
        <v>1857</v>
      </c>
      <c r="H1053" s="9">
        <f t="shared" si="16"/>
        <v>0</v>
      </c>
      <c r="I1053" s="6">
        <v>13928</v>
      </c>
      <c r="J1053" s="6">
        <f>VLOOKUP(Table1[[#This Row],[Province]],[1]Sheet1!$A$3:$F$37,4,FALSE)</f>
        <v>1372800</v>
      </c>
      <c r="K1053">
        <v>0</v>
      </c>
      <c r="L1053" s="4">
        <v>2.7410999999999999</v>
      </c>
      <c r="M1053" s="4">
        <v>106.4406</v>
      </c>
      <c r="N1053" s="13">
        <v>-2.29</v>
      </c>
      <c r="P1053"/>
      <c r="Q1053" s="12"/>
      <c r="R1053" s="12"/>
    </row>
    <row r="1054" spans="1:18" x14ac:dyDescent="0.2">
      <c r="A1054">
        <v>9</v>
      </c>
      <c r="B1054" t="s">
        <v>3</v>
      </c>
      <c r="C1054">
        <v>2020</v>
      </c>
      <c r="D1054">
        <v>9</v>
      </c>
      <c r="E1054" s="4">
        <v>0</v>
      </c>
      <c r="F1054" s="9">
        <v>0</v>
      </c>
      <c r="G1054" s="6">
        <v>899</v>
      </c>
      <c r="H1054" s="9">
        <f t="shared" si="16"/>
        <v>0</v>
      </c>
      <c r="I1054" s="6">
        <v>12629</v>
      </c>
      <c r="J1054" s="6">
        <f>VLOOKUP(Table1[[#This Row],[Province]],[1]Sheet1!$A$3:$F$37,4,FALSE)</f>
        <v>1372800</v>
      </c>
      <c r="K1054">
        <v>0</v>
      </c>
      <c r="L1054" s="4">
        <v>2.7410999999999999</v>
      </c>
      <c r="M1054" s="4">
        <v>106.4406</v>
      </c>
      <c r="N1054" s="13">
        <v>-2.29</v>
      </c>
      <c r="P1054"/>
      <c r="Q1054" s="12"/>
      <c r="R1054" s="12"/>
    </row>
    <row r="1055" spans="1:18" x14ac:dyDescent="0.2">
      <c r="A1055">
        <v>9</v>
      </c>
      <c r="B1055" t="s">
        <v>3</v>
      </c>
      <c r="C1055">
        <v>2020</v>
      </c>
      <c r="D1055">
        <v>10</v>
      </c>
      <c r="E1055" s="4">
        <v>0</v>
      </c>
      <c r="F1055" s="9">
        <v>0</v>
      </c>
      <c r="G1055" s="6">
        <v>1057</v>
      </c>
      <c r="H1055" s="9">
        <f t="shared" si="16"/>
        <v>0</v>
      </c>
      <c r="I1055" s="6">
        <v>12500</v>
      </c>
      <c r="J1055" s="6">
        <f>VLOOKUP(Table1[[#This Row],[Province]],[1]Sheet1!$A$3:$F$37,4,FALSE)</f>
        <v>1372800</v>
      </c>
      <c r="K1055">
        <v>0</v>
      </c>
      <c r="L1055" s="4">
        <v>2.7410999999999999</v>
      </c>
      <c r="M1055" s="4">
        <v>106.4406</v>
      </c>
      <c r="N1055" s="13">
        <v>-2.29</v>
      </c>
      <c r="P1055"/>
      <c r="Q1055" s="12"/>
      <c r="R1055" s="12"/>
    </row>
    <row r="1056" spans="1:18" x14ac:dyDescent="0.2">
      <c r="A1056">
        <v>9</v>
      </c>
      <c r="B1056" t="s">
        <v>3</v>
      </c>
      <c r="C1056">
        <v>2020</v>
      </c>
      <c r="D1056">
        <v>11</v>
      </c>
      <c r="E1056" s="4">
        <v>0</v>
      </c>
      <c r="F1056" s="9">
        <v>0</v>
      </c>
      <c r="G1056" s="6">
        <v>1479</v>
      </c>
      <c r="H1056" s="9">
        <f t="shared" si="16"/>
        <v>0</v>
      </c>
      <c r="I1056" s="6">
        <v>12500</v>
      </c>
      <c r="J1056" s="6">
        <f>VLOOKUP(Table1[[#This Row],[Province]],[1]Sheet1!$A$3:$F$37,4,FALSE)</f>
        <v>1372800</v>
      </c>
      <c r="K1056">
        <v>0</v>
      </c>
      <c r="L1056" s="4">
        <v>2.7410999999999999</v>
      </c>
      <c r="M1056" s="4">
        <v>106.4406</v>
      </c>
      <c r="N1056" s="13">
        <v>-2.29</v>
      </c>
      <c r="P1056"/>
      <c r="Q1056" s="12"/>
      <c r="R1056" s="12"/>
    </row>
    <row r="1057" spans="1:18" x14ac:dyDescent="0.2">
      <c r="A1057">
        <v>9</v>
      </c>
      <c r="B1057" t="s">
        <v>3</v>
      </c>
      <c r="C1057">
        <v>2020</v>
      </c>
      <c r="D1057">
        <v>12</v>
      </c>
      <c r="E1057" s="4">
        <v>0</v>
      </c>
      <c r="F1057" s="9">
        <v>0</v>
      </c>
      <c r="G1057" s="6">
        <v>1308</v>
      </c>
      <c r="H1057" s="9">
        <f t="shared" si="16"/>
        <v>0</v>
      </c>
      <c r="I1057" s="6">
        <v>12500</v>
      </c>
      <c r="J1057" s="6">
        <f>VLOOKUP(Table1[[#This Row],[Province]],[1]Sheet1!$A$3:$F$37,4,FALSE)</f>
        <v>1372800</v>
      </c>
      <c r="K1057">
        <v>1</v>
      </c>
      <c r="L1057" s="4">
        <v>2.7410999999999999</v>
      </c>
      <c r="M1057" s="4">
        <v>106.4406</v>
      </c>
      <c r="N1057" s="13">
        <v>-2.29</v>
      </c>
      <c r="P1057"/>
      <c r="Q1057" s="12"/>
      <c r="R1057" s="12"/>
    </row>
    <row r="1058" spans="1:18" x14ac:dyDescent="0.2">
      <c r="A1058">
        <v>9</v>
      </c>
      <c r="B1058" t="s">
        <v>3</v>
      </c>
      <c r="C1058">
        <v>2021</v>
      </c>
      <c r="D1058">
        <v>1</v>
      </c>
      <c r="E1058" s="4">
        <v>0</v>
      </c>
      <c r="F1058" s="9">
        <v>0</v>
      </c>
      <c r="G1058" s="6">
        <v>816</v>
      </c>
      <c r="H1058" s="9">
        <f t="shared" si="16"/>
        <v>0</v>
      </c>
      <c r="I1058" s="6">
        <v>12500</v>
      </c>
      <c r="J1058" s="6">
        <f>VLOOKUP(Table1[[#This Row],[Province]],[1]Sheet1!$A$3:$F$37,4,FALSE)</f>
        <v>1372800</v>
      </c>
      <c r="K1058">
        <v>0</v>
      </c>
      <c r="L1058" s="4">
        <v>2.7410999999999999</v>
      </c>
      <c r="M1058" s="4">
        <v>106.4406</v>
      </c>
      <c r="N1058" s="13">
        <v>5.05</v>
      </c>
      <c r="P1058"/>
      <c r="Q1058" s="12"/>
      <c r="R1058" s="12"/>
    </row>
    <row r="1059" spans="1:18" x14ac:dyDescent="0.2">
      <c r="A1059">
        <v>9</v>
      </c>
      <c r="B1059" t="s">
        <v>3</v>
      </c>
      <c r="C1059">
        <v>2021</v>
      </c>
      <c r="D1059">
        <v>2</v>
      </c>
      <c r="E1059" s="4">
        <v>0</v>
      </c>
      <c r="F1059" s="9">
        <v>0</v>
      </c>
      <c r="G1059" s="6">
        <v>946</v>
      </c>
      <c r="H1059" s="9">
        <f t="shared" si="16"/>
        <v>0</v>
      </c>
      <c r="I1059" s="6">
        <v>12500</v>
      </c>
      <c r="J1059" s="6">
        <f>VLOOKUP(Table1[[#This Row],[Province]],[1]Sheet1!$A$3:$F$37,4,FALSE)</f>
        <v>1372800</v>
      </c>
      <c r="K1059">
        <v>0</v>
      </c>
      <c r="L1059" s="4">
        <v>2.7410999999999999</v>
      </c>
      <c r="M1059" s="4">
        <v>106.4406</v>
      </c>
      <c r="N1059" s="13">
        <v>5.05</v>
      </c>
      <c r="P1059"/>
      <c r="Q1059" s="12"/>
      <c r="R1059" s="12"/>
    </row>
    <row r="1060" spans="1:18" x14ac:dyDescent="0.2">
      <c r="A1060">
        <v>9</v>
      </c>
      <c r="B1060" t="s">
        <v>3</v>
      </c>
      <c r="C1060">
        <v>2021</v>
      </c>
      <c r="D1060">
        <v>3</v>
      </c>
      <c r="E1060" s="4">
        <v>0</v>
      </c>
      <c r="F1060" s="9">
        <v>0</v>
      </c>
      <c r="G1060" s="6">
        <v>770</v>
      </c>
      <c r="H1060" s="9">
        <f t="shared" si="16"/>
        <v>0</v>
      </c>
      <c r="I1060" s="6">
        <v>12768</v>
      </c>
      <c r="J1060" s="6">
        <f>VLOOKUP(Table1[[#This Row],[Province]],[1]Sheet1!$A$3:$F$37,4,FALSE)</f>
        <v>1372800</v>
      </c>
      <c r="K1060">
        <v>0</v>
      </c>
      <c r="L1060" s="4">
        <v>2.7410999999999999</v>
      </c>
      <c r="M1060" s="4">
        <v>106.4406</v>
      </c>
      <c r="N1060" s="13">
        <v>5.05</v>
      </c>
      <c r="P1060"/>
      <c r="Q1060" s="12"/>
      <c r="R1060" s="12"/>
    </row>
    <row r="1061" spans="1:18" x14ac:dyDescent="0.2">
      <c r="A1061">
        <v>9</v>
      </c>
      <c r="B1061" t="s">
        <v>3</v>
      </c>
      <c r="C1061">
        <v>2021</v>
      </c>
      <c r="D1061">
        <v>5</v>
      </c>
      <c r="E1061" s="4">
        <v>88085</v>
      </c>
      <c r="F1061" s="9">
        <v>0</v>
      </c>
      <c r="G1061" s="6">
        <v>1198</v>
      </c>
      <c r="H1061" s="9">
        <f t="shared" si="16"/>
        <v>88085</v>
      </c>
      <c r="I1061" s="6">
        <v>13783</v>
      </c>
      <c r="J1061" s="6">
        <f>VLOOKUP(Table1[[#This Row],[Province]],[1]Sheet1!$A$3:$F$37,4,FALSE)</f>
        <v>1372800</v>
      </c>
      <c r="K1061">
        <v>0</v>
      </c>
      <c r="L1061" s="4">
        <v>2.7410999999999999</v>
      </c>
      <c r="M1061" s="4">
        <v>106.4406</v>
      </c>
      <c r="N1061" s="13">
        <v>5.05</v>
      </c>
      <c r="P1061"/>
      <c r="Q1061" s="12"/>
      <c r="R1061" s="12"/>
    </row>
    <row r="1062" spans="1:18" x14ac:dyDescent="0.2">
      <c r="A1062">
        <v>9</v>
      </c>
      <c r="B1062" t="s">
        <v>3</v>
      </c>
      <c r="C1062">
        <v>2021</v>
      </c>
      <c r="D1062">
        <v>5</v>
      </c>
      <c r="E1062" s="4">
        <v>0</v>
      </c>
      <c r="F1062" s="9">
        <v>0</v>
      </c>
      <c r="G1062" s="6">
        <v>1004</v>
      </c>
      <c r="H1062" s="9">
        <f t="shared" si="16"/>
        <v>0</v>
      </c>
      <c r="I1062" s="6">
        <v>13160</v>
      </c>
      <c r="J1062" s="6">
        <f>VLOOKUP(Table1[[#This Row],[Province]],[1]Sheet1!$A$3:$F$37,4,FALSE)</f>
        <v>1372800</v>
      </c>
      <c r="K1062">
        <v>0</v>
      </c>
      <c r="L1062" s="4">
        <v>2.7410999999999999</v>
      </c>
      <c r="M1062" s="4">
        <v>106.4406</v>
      </c>
      <c r="N1062" s="13">
        <v>5.05</v>
      </c>
      <c r="P1062"/>
      <c r="Q1062" s="12"/>
      <c r="R1062" s="12"/>
    </row>
    <row r="1063" spans="1:18" x14ac:dyDescent="0.2">
      <c r="A1063">
        <v>9</v>
      </c>
      <c r="B1063" t="s">
        <v>3</v>
      </c>
      <c r="C1063">
        <v>2021</v>
      </c>
      <c r="D1063">
        <v>6</v>
      </c>
      <c r="E1063" s="4">
        <v>0</v>
      </c>
      <c r="F1063" s="9">
        <v>0</v>
      </c>
      <c r="G1063" s="6">
        <v>740</v>
      </c>
      <c r="H1063" s="9">
        <f t="shared" si="16"/>
        <v>0</v>
      </c>
      <c r="I1063" s="6">
        <v>12950</v>
      </c>
      <c r="J1063" s="6">
        <f>VLOOKUP(Table1[[#This Row],[Province]],[1]Sheet1!$A$3:$F$37,4,FALSE)</f>
        <v>1372800</v>
      </c>
      <c r="K1063">
        <v>0</v>
      </c>
      <c r="L1063" s="4">
        <v>2.7410999999999999</v>
      </c>
      <c r="M1063" s="4">
        <v>106.4406</v>
      </c>
      <c r="N1063" s="13">
        <v>5.05</v>
      </c>
      <c r="P1063"/>
      <c r="Q1063" s="12"/>
      <c r="R1063" s="12"/>
    </row>
    <row r="1064" spans="1:18" x14ac:dyDescent="0.2">
      <c r="A1064">
        <v>9</v>
      </c>
      <c r="B1064" t="s">
        <v>3</v>
      </c>
      <c r="C1064">
        <v>2021</v>
      </c>
      <c r="D1064">
        <v>7</v>
      </c>
      <c r="E1064" s="4">
        <v>0</v>
      </c>
      <c r="F1064" s="9">
        <v>0</v>
      </c>
      <c r="G1064" s="6">
        <v>890</v>
      </c>
      <c r="H1064" s="9">
        <f t="shared" si="16"/>
        <v>0</v>
      </c>
      <c r="I1064" s="6">
        <v>12900</v>
      </c>
      <c r="J1064" s="6">
        <f>VLOOKUP(Table1[[#This Row],[Province]],[1]Sheet1!$A$3:$F$37,4,FALSE)</f>
        <v>1372800</v>
      </c>
      <c r="K1064">
        <v>0</v>
      </c>
      <c r="L1064" s="4">
        <v>2.7410999999999999</v>
      </c>
      <c r="M1064" s="4">
        <v>106.4406</v>
      </c>
      <c r="N1064" s="13">
        <v>5.05</v>
      </c>
      <c r="P1064"/>
      <c r="Q1064" s="12"/>
      <c r="R1064" s="12"/>
    </row>
    <row r="1065" spans="1:18" x14ac:dyDescent="0.2">
      <c r="A1065">
        <v>9</v>
      </c>
      <c r="B1065" t="s">
        <v>3</v>
      </c>
      <c r="C1065">
        <v>2021</v>
      </c>
      <c r="D1065">
        <v>8</v>
      </c>
      <c r="E1065" s="4">
        <v>0</v>
      </c>
      <c r="F1065" s="9">
        <v>0</v>
      </c>
      <c r="G1065" s="6">
        <v>690</v>
      </c>
      <c r="H1065" s="9">
        <f t="shared" si="16"/>
        <v>0</v>
      </c>
      <c r="I1065" s="6">
        <v>12870</v>
      </c>
      <c r="J1065" s="6">
        <f>VLOOKUP(Table1[[#This Row],[Province]],[1]Sheet1!$A$3:$F$37,4,FALSE)</f>
        <v>1372800</v>
      </c>
      <c r="K1065">
        <v>0</v>
      </c>
      <c r="L1065" s="4">
        <v>2.7410999999999999</v>
      </c>
      <c r="M1065" s="4">
        <v>106.4406</v>
      </c>
      <c r="N1065" s="13">
        <v>5.05</v>
      </c>
      <c r="P1065"/>
      <c r="Q1065" s="12"/>
      <c r="R1065" s="12"/>
    </row>
    <row r="1066" spans="1:18" x14ac:dyDescent="0.2">
      <c r="A1066">
        <v>9</v>
      </c>
      <c r="B1066" t="s">
        <v>3</v>
      </c>
      <c r="C1066">
        <v>2021</v>
      </c>
      <c r="D1066">
        <v>9</v>
      </c>
      <c r="E1066" s="4">
        <v>0</v>
      </c>
      <c r="F1066" s="9">
        <v>0</v>
      </c>
      <c r="G1066" s="6">
        <v>131</v>
      </c>
      <c r="H1066" s="9">
        <f t="shared" si="16"/>
        <v>0</v>
      </c>
      <c r="I1066" s="6">
        <v>12768</v>
      </c>
      <c r="J1066" s="6">
        <f>VLOOKUP(Table1[[#This Row],[Province]],[1]Sheet1!$A$3:$F$37,4,FALSE)</f>
        <v>1372800</v>
      </c>
      <c r="K1066">
        <v>0</v>
      </c>
      <c r="L1066" s="4">
        <v>2.7410999999999999</v>
      </c>
      <c r="M1066" s="4">
        <v>106.4406</v>
      </c>
      <c r="N1066" s="13">
        <v>5.05</v>
      </c>
      <c r="P1066"/>
      <c r="Q1066" s="12"/>
      <c r="R1066" s="12"/>
    </row>
    <row r="1067" spans="1:18" x14ac:dyDescent="0.2">
      <c r="A1067">
        <v>9</v>
      </c>
      <c r="B1067" t="s">
        <v>3</v>
      </c>
      <c r="C1067">
        <v>2021</v>
      </c>
      <c r="D1067">
        <v>10</v>
      </c>
      <c r="E1067" s="4">
        <v>0</v>
      </c>
      <c r="F1067" s="9">
        <v>0</v>
      </c>
      <c r="G1067" s="6">
        <v>837</v>
      </c>
      <c r="H1067" s="9">
        <f t="shared" si="16"/>
        <v>0</v>
      </c>
      <c r="I1067" s="6">
        <v>12750</v>
      </c>
      <c r="J1067" s="6">
        <f>VLOOKUP(Table1[[#This Row],[Province]],[1]Sheet1!$A$3:$F$37,4,FALSE)</f>
        <v>1372800</v>
      </c>
      <c r="K1067">
        <v>0</v>
      </c>
      <c r="L1067" s="4">
        <v>2.7410999999999999</v>
      </c>
      <c r="M1067" s="4">
        <v>106.4406</v>
      </c>
      <c r="N1067" s="13">
        <v>5.05</v>
      </c>
      <c r="P1067"/>
      <c r="Q1067" s="12"/>
      <c r="R1067" s="12"/>
    </row>
    <row r="1068" spans="1:18" x14ac:dyDescent="0.2">
      <c r="A1068">
        <v>9</v>
      </c>
      <c r="B1068" t="s">
        <v>3</v>
      </c>
      <c r="C1068">
        <v>2021</v>
      </c>
      <c r="D1068">
        <v>11</v>
      </c>
      <c r="E1068" s="4">
        <v>0</v>
      </c>
      <c r="F1068" s="9">
        <v>0</v>
      </c>
      <c r="G1068" s="6">
        <v>1172</v>
      </c>
      <c r="H1068" s="9">
        <f t="shared" si="16"/>
        <v>0</v>
      </c>
      <c r="I1068" s="6">
        <v>12870</v>
      </c>
      <c r="J1068" s="6">
        <f>VLOOKUP(Table1[[#This Row],[Province]],[1]Sheet1!$A$3:$F$37,4,FALSE)</f>
        <v>1372800</v>
      </c>
      <c r="K1068">
        <v>0</v>
      </c>
      <c r="L1068" s="4">
        <v>2.7410999999999999</v>
      </c>
      <c r="M1068" s="4">
        <v>106.4406</v>
      </c>
      <c r="N1068" s="13">
        <v>5.05</v>
      </c>
      <c r="P1068"/>
      <c r="Q1068" s="12"/>
      <c r="R1068" s="12"/>
    </row>
    <row r="1069" spans="1:18" x14ac:dyDescent="0.2">
      <c r="A1069">
        <v>9</v>
      </c>
      <c r="B1069" t="s">
        <v>3</v>
      </c>
      <c r="C1069">
        <v>2021</v>
      </c>
      <c r="D1069">
        <v>12</v>
      </c>
      <c r="E1069" s="4">
        <v>0</v>
      </c>
      <c r="F1069" s="9">
        <v>0</v>
      </c>
      <c r="G1069" s="6">
        <v>1713</v>
      </c>
      <c r="H1069" s="9">
        <f t="shared" si="16"/>
        <v>0</v>
      </c>
      <c r="I1069" s="6">
        <v>12925</v>
      </c>
      <c r="J1069" s="6">
        <f>VLOOKUP(Table1[[#This Row],[Province]],[1]Sheet1!$A$3:$F$37,4,FALSE)</f>
        <v>1372800</v>
      </c>
      <c r="K1069">
        <v>1</v>
      </c>
      <c r="L1069" s="4">
        <v>2.7410999999999999</v>
      </c>
      <c r="M1069" s="4">
        <v>106.4406</v>
      </c>
      <c r="N1069" s="13">
        <v>5.05</v>
      </c>
      <c r="P1069"/>
      <c r="Q1069" s="12"/>
      <c r="R1069" s="12"/>
    </row>
    <row r="1070" spans="1:18" x14ac:dyDescent="0.2">
      <c r="A1070">
        <v>9</v>
      </c>
      <c r="B1070" t="s">
        <v>3</v>
      </c>
      <c r="C1070">
        <v>2022</v>
      </c>
      <c r="D1070">
        <v>1</v>
      </c>
      <c r="E1070" s="6">
        <v>0</v>
      </c>
      <c r="F1070" s="9">
        <v>0</v>
      </c>
      <c r="G1070" s="6">
        <v>1043</v>
      </c>
      <c r="H1070" s="9">
        <f t="shared" si="16"/>
        <v>0</v>
      </c>
      <c r="I1070" s="6">
        <v>13160</v>
      </c>
      <c r="J1070" s="6">
        <f>VLOOKUP(Table1[[#This Row],[Province]],[1]Sheet1!$A$3:$F$37,4,FALSE)</f>
        <v>1372800</v>
      </c>
      <c r="K1070">
        <v>0</v>
      </c>
      <c r="L1070" s="4">
        <v>2.7410999999999999</v>
      </c>
      <c r="M1070" s="4">
        <v>106.4406</v>
      </c>
      <c r="N1070" s="13">
        <v>4.4000000000000004</v>
      </c>
      <c r="P1070"/>
      <c r="Q1070" s="12"/>
      <c r="R1070" s="12"/>
    </row>
    <row r="1071" spans="1:18" x14ac:dyDescent="0.2">
      <c r="A1071">
        <v>9</v>
      </c>
      <c r="B1071" t="s">
        <v>3</v>
      </c>
      <c r="C1071">
        <v>2022</v>
      </c>
      <c r="D1071">
        <v>2</v>
      </c>
      <c r="E1071" s="6">
        <v>0</v>
      </c>
      <c r="F1071" s="9">
        <v>0</v>
      </c>
      <c r="G1071" s="6">
        <v>1042</v>
      </c>
      <c r="H1071" s="9">
        <f t="shared" si="16"/>
        <v>0</v>
      </c>
      <c r="I1071" s="6">
        <v>13544</v>
      </c>
      <c r="J1071" s="6">
        <f>VLOOKUP(Table1[[#This Row],[Province]],[1]Sheet1!$A$3:$F$37,4,FALSE)</f>
        <v>1372800</v>
      </c>
      <c r="K1071">
        <v>0</v>
      </c>
      <c r="L1071" s="4">
        <v>2.7410999999999999</v>
      </c>
      <c r="M1071" s="4">
        <v>106.4406</v>
      </c>
      <c r="N1071" s="13">
        <v>4.4000000000000004</v>
      </c>
      <c r="P1071"/>
      <c r="Q1071" s="12"/>
      <c r="R1071" s="12"/>
    </row>
    <row r="1072" spans="1:18" x14ac:dyDescent="0.2">
      <c r="A1072">
        <v>9</v>
      </c>
      <c r="B1072" t="s">
        <v>3</v>
      </c>
      <c r="C1072">
        <v>2022</v>
      </c>
      <c r="D1072">
        <v>3</v>
      </c>
      <c r="E1072" s="6">
        <v>0</v>
      </c>
      <c r="F1072" s="9">
        <v>0</v>
      </c>
      <c r="G1072" s="6">
        <v>794</v>
      </c>
      <c r="H1072" s="9">
        <f t="shared" si="16"/>
        <v>0</v>
      </c>
      <c r="I1072" s="6">
        <v>14105</v>
      </c>
      <c r="J1072" s="6">
        <f>VLOOKUP(Table1[[#This Row],[Province]],[1]Sheet1!$A$3:$F$37,4,FALSE)</f>
        <v>1372800</v>
      </c>
      <c r="K1072">
        <v>0</v>
      </c>
      <c r="L1072" s="4">
        <v>2.7410999999999999</v>
      </c>
      <c r="M1072" s="4">
        <v>106.4406</v>
      </c>
      <c r="N1072" s="13">
        <v>4.4000000000000004</v>
      </c>
      <c r="P1072"/>
      <c r="Q1072" s="12"/>
      <c r="R1072" s="12"/>
    </row>
    <row r="1073" spans="1:18" x14ac:dyDescent="0.2">
      <c r="A1073">
        <v>9</v>
      </c>
      <c r="B1073" t="s">
        <v>3</v>
      </c>
      <c r="C1073">
        <v>2022</v>
      </c>
      <c r="D1073">
        <v>4</v>
      </c>
      <c r="E1073" s="6">
        <v>0</v>
      </c>
      <c r="F1073" s="9">
        <v>0</v>
      </c>
      <c r="G1073" s="6">
        <v>1254</v>
      </c>
      <c r="H1073" s="9">
        <f t="shared" si="16"/>
        <v>0</v>
      </c>
      <c r="I1073" s="6">
        <v>14750</v>
      </c>
      <c r="J1073" s="6">
        <f>VLOOKUP(Table1[[#This Row],[Province]],[1]Sheet1!$A$3:$F$37,4,FALSE)</f>
        <v>1372800</v>
      </c>
      <c r="K1073">
        <v>1</v>
      </c>
      <c r="L1073" s="4">
        <v>2.7410999999999999</v>
      </c>
      <c r="M1073" s="4">
        <v>106.4406</v>
      </c>
      <c r="N1073" s="13">
        <v>4.4000000000000004</v>
      </c>
      <c r="P1073"/>
      <c r="Q1073" s="12"/>
      <c r="R1073" s="12"/>
    </row>
    <row r="1074" spans="1:18" x14ac:dyDescent="0.2">
      <c r="A1074">
        <v>9</v>
      </c>
      <c r="B1074" t="s">
        <v>3</v>
      </c>
      <c r="C1074">
        <v>2022</v>
      </c>
      <c r="D1074">
        <v>5</v>
      </c>
      <c r="E1074" s="6">
        <v>0</v>
      </c>
      <c r="F1074" s="9">
        <v>0</v>
      </c>
      <c r="G1074" s="6">
        <v>710</v>
      </c>
      <c r="H1074" s="9">
        <f t="shared" si="16"/>
        <v>0</v>
      </c>
      <c r="I1074" s="6">
        <v>14520</v>
      </c>
      <c r="J1074" s="6">
        <f>VLOOKUP(Table1[[#This Row],[Province]],[1]Sheet1!$A$3:$F$37,4,FALSE)</f>
        <v>1372800</v>
      </c>
      <c r="K1074">
        <v>0</v>
      </c>
      <c r="L1074" s="4">
        <v>2.7410999999999999</v>
      </c>
      <c r="M1074" s="4">
        <v>106.4406</v>
      </c>
      <c r="N1074" s="13">
        <v>4.4000000000000004</v>
      </c>
      <c r="P1074"/>
      <c r="Q1074" s="12"/>
      <c r="R1074" s="12"/>
    </row>
    <row r="1075" spans="1:18" x14ac:dyDescent="0.2">
      <c r="A1075">
        <v>9</v>
      </c>
      <c r="B1075" t="s">
        <v>3</v>
      </c>
      <c r="C1075">
        <v>2022</v>
      </c>
      <c r="D1075">
        <v>6</v>
      </c>
      <c r="E1075" s="6">
        <v>0</v>
      </c>
      <c r="F1075" s="9">
        <v>0</v>
      </c>
      <c r="G1075" s="6">
        <v>867</v>
      </c>
      <c r="H1075" s="9">
        <f t="shared" si="16"/>
        <v>0</v>
      </c>
      <c r="I1075" s="6">
        <v>14540</v>
      </c>
      <c r="J1075" s="6">
        <f>VLOOKUP(Table1[[#This Row],[Province]],[1]Sheet1!$A$3:$F$37,4,FALSE)</f>
        <v>1372800</v>
      </c>
      <c r="K1075">
        <v>0</v>
      </c>
      <c r="L1075" s="4">
        <v>2.7410999999999999</v>
      </c>
      <c r="M1075" s="4">
        <v>106.4406</v>
      </c>
      <c r="N1075" s="13">
        <v>4.4000000000000004</v>
      </c>
      <c r="P1075"/>
      <c r="Q1075" s="12"/>
      <c r="R1075" s="12"/>
    </row>
    <row r="1076" spans="1:18" x14ac:dyDescent="0.2">
      <c r="A1076">
        <v>9</v>
      </c>
      <c r="B1076" t="s">
        <v>3</v>
      </c>
      <c r="C1076">
        <v>2022</v>
      </c>
      <c r="D1076">
        <v>7</v>
      </c>
      <c r="E1076" s="6">
        <v>0</v>
      </c>
      <c r="F1076" s="9">
        <v>0</v>
      </c>
      <c r="G1076" s="6">
        <v>1417</v>
      </c>
      <c r="H1076" s="9">
        <f t="shared" si="16"/>
        <v>0</v>
      </c>
      <c r="I1076" s="6">
        <v>14521</v>
      </c>
      <c r="J1076" s="6">
        <f>VLOOKUP(Table1[[#This Row],[Province]],[1]Sheet1!$A$3:$F$37,4,FALSE)</f>
        <v>1372800</v>
      </c>
      <c r="K1076">
        <v>0</v>
      </c>
      <c r="L1076" s="4">
        <v>2.7410999999999999</v>
      </c>
      <c r="M1076" s="4">
        <v>106.4406</v>
      </c>
      <c r="N1076" s="13">
        <v>4.4000000000000004</v>
      </c>
      <c r="P1076"/>
      <c r="Q1076" s="12"/>
      <c r="R1076" s="12"/>
    </row>
    <row r="1077" spans="1:18" x14ac:dyDescent="0.2">
      <c r="A1077">
        <v>9</v>
      </c>
      <c r="B1077" t="s">
        <v>3</v>
      </c>
      <c r="C1077">
        <v>2022</v>
      </c>
      <c r="D1077">
        <v>8</v>
      </c>
      <c r="E1077" s="6">
        <v>0</v>
      </c>
      <c r="F1077" s="9">
        <v>0</v>
      </c>
      <c r="G1077" s="6">
        <v>792</v>
      </c>
      <c r="H1077" s="9">
        <f t="shared" si="16"/>
        <v>0</v>
      </c>
      <c r="I1077" s="6">
        <v>14350</v>
      </c>
      <c r="J1077" s="6">
        <f>VLOOKUP(Table1[[#This Row],[Province]],[1]Sheet1!$A$3:$F$37,4,FALSE)</f>
        <v>1372800</v>
      </c>
      <c r="K1077">
        <v>0</v>
      </c>
      <c r="L1077" s="4">
        <v>2.7410999999999999</v>
      </c>
      <c r="M1077" s="4">
        <v>106.4406</v>
      </c>
      <c r="N1077" s="13">
        <v>4.4000000000000004</v>
      </c>
      <c r="P1077"/>
      <c r="Q1077" s="12"/>
      <c r="R1077" s="12"/>
    </row>
    <row r="1078" spans="1:18" x14ac:dyDescent="0.2">
      <c r="A1078">
        <v>9</v>
      </c>
      <c r="B1078" t="s">
        <v>3</v>
      </c>
      <c r="C1078">
        <v>2022</v>
      </c>
      <c r="D1078">
        <v>9</v>
      </c>
      <c r="E1078" s="6">
        <v>0</v>
      </c>
      <c r="F1078" s="9">
        <v>0</v>
      </c>
      <c r="G1078" s="6">
        <v>992</v>
      </c>
      <c r="H1078" s="9">
        <f t="shared" si="16"/>
        <v>0</v>
      </c>
      <c r="I1078" s="6">
        <v>13774</v>
      </c>
      <c r="J1078" s="6">
        <f>VLOOKUP(Table1[[#This Row],[Province]],[1]Sheet1!$A$3:$F$37,4,FALSE)</f>
        <v>1372800</v>
      </c>
      <c r="K1078">
        <v>0</v>
      </c>
      <c r="L1078" s="4">
        <v>2.7410999999999999</v>
      </c>
      <c r="M1078" s="4">
        <v>106.4406</v>
      </c>
      <c r="N1078" s="13">
        <v>4.4000000000000004</v>
      </c>
      <c r="P1078"/>
      <c r="Q1078" s="12"/>
      <c r="R1078" s="12"/>
    </row>
    <row r="1079" spans="1:18" x14ac:dyDescent="0.2">
      <c r="A1079">
        <v>9</v>
      </c>
      <c r="B1079" t="s">
        <v>3</v>
      </c>
      <c r="C1079">
        <v>2022</v>
      </c>
      <c r="D1079">
        <v>10</v>
      </c>
      <c r="E1079" s="6">
        <v>0</v>
      </c>
      <c r="F1079" s="9">
        <v>0</v>
      </c>
      <c r="G1079" s="6">
        <v>1303</v>
      </c>
      <c r="H1079" s="9">
        <f t="shared" si="16"/>
        <v>0</v>
      </c>
      <c r="I1079" s="6">
        <v>13698</v>
      </c>
      <c r="J1079" s="6">
        <f>VLOOKUP(Table1[[#This Row],[Province]],[1]Sheet1!$A$3:$F$37,4,FALSE)</f>
        <v>1372800</v>
      </c>
      <c r="K1079">
        <v>0</v>
      </c>
      <c r="L1079" s="4">
        <v>2.7410999999999999</v>
      </c>
      <c r="M1079" s="4">
        <v>106.4406</v>
      </c>
      <c r="N1079" s="13">
        <v>4.4000000000000004</v>
      </c>
      <c r="P1079"/>
      <c r="Q1079" s="12"/>
      <c r="R1079" s="12"/>
    </row>
    <row r="1080" spans="1:18" x14ac:dyDescent="0.2">
      <c r="A1080">
        <v>9</v>
      </c>
      <c r="B1080" t="s">
        <v>3</v>
      </c>
      <c r="C1080">
        <v>2022</v>
      </c>
      <c r="D1080">
        <v>11</v>
      </c>
      <c r="E1080" s="6">
        <v>0</v>
      </c>
      <c r="F1080" s="9">
        <v>0</v>
      </c>
      <c r="G1080" s="6">
        <v>852</v>
      </c>
      <c r="H1080" s="9">
        <f t="shared" si="16"/>
        <v>0</v>
      </c>
      <c r="I1080" s="6">
        <v>14330</v>
      </c>
      <c r="J1080" s="6">
        <f>VLOOKUP(Table1[[#This Row],[Province]],[1]Sheet1!$A$3:$F$37,4,FALSE)</f>
        <v>1372800</v>
      </c>
      <c r="K1080">
        <v>0</v>
      </c>
      <c r="L1080" s="4">
        <v>2.7410999999999999</v>
      </c>
      <c r="M1080" s="4">
        <v>106.4406</v>
      </c>
      <c r="N1080" s="13">
        <v>4.4000000000000004</v>
      </c>
      <c r="P1080"/>
      <c r="Q1080" s="12"/>
      <c r="R1080" s="12"/>
    </row>
    <row r="1081" spans="1:18" x14ac:dyDescent="0.2">
      <c r="A1081">
        <v>9</v>
      </c>
      <c r="B1081" t="s">
        <v>3</v>
      </c>
      <c r="C1081">
        <v>2022</v>
      </c>
      <c r="D1081">
        <v>12</v>
      </c>
      <c r="E1081" s="6">
        <v>0</v>
      </c>
      <c r="F1081" s="9">
        <v>0</v>
      </c>
      <c r="G1081" s="6">
        <v>2160</v>
      </c>
      <c r="H1081" s="9">
        <f t="shared" si="16"/>
        <v>0</v>
      </c>
      <c r="I1081" s="6">
        <v>14200</v>
      </c>
      <c r="J1081" s="6">
        <f>VLOOKUP(Table1[[#This Row],[Province]],[1]Sheet1!$A$3:$F$37,4,FALSE)</f>
        <v>1372800</v>
      </c>
      <c r="K1081">
        <v>1</v>
      </c>
      <c r="L1081" s="4">
        <v>2.7410999999999999</v>
      </c>
      <c r="M1081" s="4">
        <v>106.4406</v>
      </c>
      <c r="N1081" s="13">
        <v>4.4000000000000004</v>
      </c>
      <c r="P1081"/>
      <c r="Q1081" s="12"/>
      <c r="R1081" s="12"/>
    </row>
    <row r="1082" spans="1:18" x14ac:dyDescent="0.2">
      <c r="A1082">
        <v>10</v>
      </c>
      <c r="B1082" t="s">
        <v>17</v>
      </c>
      <c r="C1082">
        <v>2013</v>
      </c>
      <c r="D1082">
        <v>1</v>
      </c>
      <c r="E1082" s="4">
        <v>0</v>
      </c>
      <c r="F1082" s="9">
        <v>0</v>
      </c>
      <c r="G1082" s="6">
        <v>1268</v>
      </c>
      <c r="H1082" s="9">
        <f t="shared" si="16"/>
        <v>0</v>
      </c>
      <c r="I1082" s="6">
        <v>12000</v>
      </c>
      <c r="J1082" s="6">
        <f>VLOOKUP(Table1[[#This Row],[Province]],[1]Sheet1!$A$3:$F$37,4,FALSE)</f>
        <v>1973000</v>
      </c>
      <c r="K1082">
        <v>0</v>
      </c>
      <c r="L1082" s="4">
        <v>3.9456509999999998</v>
      </c>
      <c r="M1082" s="4">
        <v>108.142867</v>
      </c>
      <c r="N1082" s="6"/>
      <c r="P1082"/>
      <c r="Q1082" s="12"/>
      <c r="R1082" s="12"/>
    </row>
    <row r="1083" spans="1:18" x14ac:dyDescent="0.2">
      <c r="A1083">
        <v>10</v>
      </c>
      <c r="B1083" t="s">
        <v>17</v>
      </c>
      <c r="C1083">
        <v>2013</v>
      </c>
      <c r="D1083">
        <v>2</v>
      </c>
      <c r="E1083" s="4">
        <v>0</v>
      </c>
      <c r="F1083" s="9">
        <v>0</v>
      </c>
      <c r="G1083" s="6">
        <v>1215</v>
      </c>
      <c r="H1083" s="9">
        <f t="shared" si="16"/>
        <v>0</v>
      </c>
      <c r="I1083" s="6">
        <v>12165</v>
      </c>
      <c r="J1083" s="6">
        <f>VLOOKUP(Table1[[#This Row],[Province]],[1]Sheet1!$A$3:$F$37,4,FALSE)</f>
        <v>1973000</v>
      </c>
      <c r="K1083">
        <v>0</v>
      </c>
      <c r="L1083" s="4">
        <v>3.9456509999999998</v>
      </c>
      <c r="M1083" s="4">
        <v>108.142867</v>
      </c>
      <c r="N1083" s="6"/>
      <c r="P1083"/>
      <c r="Q1083" s="12"/>
      <c r="R1083" s="12"/>
    </row>
    <row r="1084" spans="1:18" x14ac:dyDescent="0.2">
      <c r="A1084">
        <v>10</v>
      </c>
      <c r="B1084" t="s">
        <v>17</v>
      </c>
      <c r="C1084">
        <v>2013</v>
      </c>
      <c r="D1084">
        <v>3</v>
      </c>
      <c r="E1084" s="4">
        <v>0</v>
      </c>
      <c r="F1084" s="9">
        <v>0</v>
      </c>
      <c r="G1084" s="6">
        <v>1253</v>
      </c>
      <c r="H1084" s="9">
        <f t="shared" si="16"/>
        <v>0</v>
      </c>
      <c r="I1084" s="6">
        <v>12255</v>
      </c>
      <c r="J1084" s="6">
        <f>VLOOKUP(Table1[[#This Row],[Province]],[1]Sheet1!$A$3:$F$37,4,FALSE)</f>
        <v>1973000</v>
      </c>
      <c r="K1084">
        <v>0</v>
      </c>
      <c r="L1084" s="4">
        <v>3.9456509999999998</v>
      </c>
      <c r="M1084" s="4">
        <v>108.142867</v>
      </c>
      <c r="N1084" s="6"/>
      <c r="P1084"/>
      <c r="Q1084" s="12"/>
      <c r="R1084" s="12"/>
    </row>
    <row r="1085" spans="1:18" x14ac:dyDescent="0.2">
      <c r="A1085">
        <v>10</v>
      </c>
      <c r="B1085" t="s">
        <v>17</v>
      </c>
      <c r="C1085">
        <v>2013</v>
      </c>
      <c r="D1085">
        <v>4</v>
      </c>
      <c r="E1085" s="4">
        <v>0</v>
      </c>
      <c r="F1085" s="9">
        <v>0</v>
      </c>
      <c r="G1085" s="6">
        <v>1628</v>
      </c>
      <c r="H1085" s="9">
        <f t="shared" si="16"/>
        <v>0</v>
      </c>
      <c r="I1085" s="6">
        <v>12036</v>
      </c>
      <c r="J1085" s="6">
        <f>VLOOKUP(Table1[[#This Row],[Province]],[1]Sheet1!$A$3:$F$37,4,FALSE)</f>
        <v>1973000</v>
      </c>
      <c r="K1085">
        <v>0</v>
      </c>
      <c r="L1085" s="4">
        <v>3.9456509999999998</v>
      </c>
      <c r="M1085" s="4">
        <v>108.142867</v>
      </c>
      <c r="N1085" s="6"/>
      <c r="P1085"/>
      <c r="Q1085" s="12"/>
      <c r="R1085" s="12"/>
    </row>
    <row r="1086" spans="1:18" x14ac:dyDescent="0.2">
      <c r="A1086">
        <v>10</v>
      </c>
      <c r="B1086" t="s">
        <v>17</v>
      </c>
      <c r="C1086">
        <v>2013</v>
      </c>
      <c r="D1086">
        <v>5</v>
      </c>
      <c r="E1086" s="4">
        <v>0</v>
      </c>
      <c r="F1086" s="9">
        <v>0</v>
      </c>
      <c r="G1086" s="6">
        <v>1973</v>
      </c>
      <c r="H1086" s="9">
        <f t="shared" si="16"/>
        <v>0</v>
      </c>
      <c r="I1086" s="6">
        <v>12091</v>
      </c>
      <c r="J1086" s="6">
        <f>VLOOKUP(Table1[[#This Row],[Province]],[1]Sheet1!$A$3:$F$37,4,FALSE)</f>
        <v>1973000</v>
      </c>
      <c r="K1086">
        <v>0</v>
      </c>
      <c r="L1086" s="4">
        <v>3.9456509999999998</v>
      </c>
      <c r="M1086" s="4">
        <v>108.142867</v>
      </c>
      <c r="N1086" s="6"/>
      <c r="P1086"/>
      <c r="Q1086" s="12"/>
      <c r="R1086" s="12"/>
    </row>
    <row r="1087" spans="1:18" x14ac:dyDescent="0.2">
      <c r="A1087">
        <v>10</v>
      </c>
      <c r="B1087" t="s">
        <v>17</v>
      </c>
      <c r="C1087">
        <v>2013</v>
      </c>
      <c r="D1087">
        <v>6</v>
      </c>
      <c r="E1087" s="4">
        <v>0</v>
      </c>
      <c r="F1087" s="9">
        <v>0</v>
      </c>
      <c r="G1087" s="6">
        <v>1643</v>
      </c>
      <c r="H1087" s="9">
        <f t="shared" si="16"/>
        <v>0</v>
      </c>
      <c r="I1087" s="6">
        <v>12046</v>
      </c>
      <c r="J1087" s="6">
        <f>VLOOKUP(Table1[[#This Row],[Province]],[1]Sheet1!$A$3:$F$37,4,FALSE)</f>
        <v>1973000</v>
      </c>
      <c r="K1087">
        <v>0</v>
      </c>
      <c r="L1087" s="4">
        <v>3.9456509999999998</v>
      </c>
      <c r="M1087" s="4">
        <v>108.142867</v>
      </c>
      <c r="N1087" s="6"/>
      <c r="P1087"/>
      <c r="Q1087" s="12"/>
      <c r="R1087" s="12"/>
    </row>
    <row r="1088" spans="1:18" x14ac:dyDescent="0.2">
      <c r="A1088">
        <v>10</v>
      </c>
      <c r="B1088" t="s">
        <v>17</v>
      </c>
      <c r="C1088">
        <v>2013</v>
      </c>
      <c r="D1088">
        <v>7</v>
      </c>
      <c r="E1088" s="4">
        <v>0</v>
      </c>
      <c r="F1088" s="9">
        <v>0</v>
      </c>
      <c r="G1088" s="6">
        <v>2850</v>
      </c>
      <c r="H1088" s="9">
        <f t="shared" si="16"/>
        <v>0</v>
      </c>
      <c r="I1088" s="6">
        <v>13140</v>
      </c>
      <c r="J1088" s="6">
        <f>VLOOKUP(Table1[[#This Row],[Province]],[1]Sheet1!$A$3:$F$37,4,FALSE)</f>
        <v>1973000</v>
      </c>
      <c r="K1088">
        <v>1</v>
      </c>
      <c r="L1088" s="4">
        <v>3.9456509999999998</v>
      </c>
      <c r="M1088" s="4">
        <v>108.142867</v>
      </c>
      <c r="N1088" s="6"/>
      <c r="P1088"/>
      <c r="Q1088" s="12"/>
      <c r="R1088" s="12"/>
    </row>
    <row r="1089" spans="1:18" x14ac:dyDescent="0.2">
      <c r="A1089">
        <v>10</v>
      </c>
      <c r="B1089" t="s">
        <v>17</v>
      </c>
      <c r="C1089">
        <v>2013</v>
      </c>
      <c r="D1089">
        <v>8</v>
      </c>
      <c r="E1089" s="4">
        <v>0</v>
      </c>
      <c r="F1089" s="9">
        <v>0</v>
      </c>
      <c r="G1089" s="6">
        <v>1043</v>
      </c>
      <c r="H1089" s="9">
        <f t="shared" si="16"/>
        <v>0</v>
      </c>
      <c r="I1089" s="6">
        <v>12000</v>
      </c>
      <c r="J1089" s="6">
        <f>VLOOKUP(Table1[[#This Row],[Province]],[1]Sheet1!$A$3:$F$37,4,FALSE)</f>
        <v>1973000</v>
      </c>
      <c r="K1089">
        <v>0</v>
      </c>
      <c r="L1089" s="4">
        <v>3.9456509999999998</v>
      </c>
      <c r="M1089" s="4">
        <v>108.142867</v>
      </c>
      <c r="N1089" s="6"/>
      <c r="P1089"/>
      <c r="Q1089" s="12"/>
      <c r="R1089" s="12"/>
    </row>
    <row r="1090" spans="1:18" x14ac:dyDescent="0.2">
      <c r="A1090">
        <v>10</v>
      </c>
      <c r="B1090" t="s">
        <v>17</v>
      </c>
      <c r="C1090">
        <v>2013</v>
      </c>
      <c r="D1090">
        <v>9</v>
      </c>
      <c r="E1090" s="4">
        <v>0</v>
      </c>
      <c r="F1090" s="9">
        <v>0</v>
      </c>
      <c r="G1090" s="6">
        <v>2228</v>
      </c>
      <c r="H1090" s="9">
        <f t="shared" ref="H1090:H1153" si="17">F1090+E1090</f>
        <v>0</v>
      </c>
      <c r="I1090" s="6">
        <v>12000</v>
      </c>
      <c r="J1090" s="6">
        <f>VLOOKUP(Table1[[#This Row],[Province]],[1]Sheet1!$A$3:$F$37,4,FALSE)</f>
        <v>1973000</v>
      </c>
      <c r="K1090">
        <v>0</v>
      </c>
      <c r="L1090" s="4">
        <v>3.9456509999999998</v>
      </c>
      <c r="M1090" s="4">
        <v>108.142867</v>
      </c>
      <c r="N1090" s="6"/>
      <c r="P1090"/>
      <c r="Q1090" s="12"/>
      <c r="R1090" s="12"/>
    </row>
    <row r="1091" spans="1:18" x14ac:dyDescent="0.2">
      <c r="A1091">
        <v>10</v>
      </c>
      <c r="B1091" t="s">
        <v>17</v>
      </c>
      <c r="C1091">
        <v>2013</v>
      </c>
      <c r="D1091">
        <v>10</v>
      </c>
      <c r="E1091" s="4">
        <v>0</v>
      </c>
      <c r="F1091" s="9">
        <v>0</v>
      </c>
      <c r="G1091" s="6">
        <v>1823</v>
      </c>
      <c r="H1091" s="9">
        <f t="shared" si="17"/>
        <v>0</v>
      </c>
      <c r="I1091" s="6">
        <v>11893</v>
      </c>
      <c r="J1091" s="6">
        <f>VLOOKUP(Table1[[#This Row],[Province]],[1]Sheet1!$A$3:$F$37,4,FALSE)</f>
        <v>1973000</v>
      </c>
      <c r="K1091">
        <v>0</v>
      </c>
      <c r="L1091" s="4">
        <v>3.9456509999999998</v>
      </c>
      <c r="M1091" s="4">
        <v>108.142867</v>
      </c>
      <c r="N1091" s="6"/>
      <c r="P1091"/>
      <c r="Q1091" s="12"/>
      <c r="R1091" s="12"/>
    </row>
    <row r="1092" spans="1:18" x14ac:dyDescent="0.2">
      <c r="A1092">
        <v>10</v>
      </c>
      <c r="B1092" t="s">
        <v>17</v>
      </c>
      <c r="C1092">
        <v>2013</v>
      </c>
      <c r="D1092">
        <v>11</v>
      </c>
      <c r="E1092" s="4">
        <v>0</v>
      </c>
      <c r="F1092" s="9">
        <v>0</v>
      </c>
      <c r="G1092" s="6">
        <v>1343</v>
      </c>
      <c r="H1092" s="9">
        <f t="shared" si="17"/>
        <v>0</v>
      </c>
      <c r="I1092" s="6">
        <v>12000</v>
      </c>
      <c r="J1092" s="6">
        <f>VLOOKUP(Table1[[#This Row],[Province]],[1]Sheet1!$A$3:$F$37,4,FALSE)</f>
        <v>1973000</v>
      </c>
      <c r="K1092">
        <v>0</v>
      </c>
      <c r="L1092" s="4">
        <v>3.9456509999999998</v>
      </c>
      <c r="M1092" s="4">
        <v>108.142867</v>
      </c>
      <c r="N1092" s="6"/>
      <c r="P1092"/>
      <c r="Q1092" s="12"/>
      <c r="R1092" s="12"/>
    </row>
    <row r="1093" spans="1:18" x14ac:dyDescent="0.2">
      <c r="A1093">
        <v>10</v>
      </c>
      <c r="B1093" t="s">
        <v>17</v>
      </c>
      <c r="C1093">
        <v>2013</v>
      </c>
      <c r="D1093">
        <v>12</v>
      </c>
      <c r="E1093" s="4">
        <v>0</v>
      </c>
      <c r="F1093" s="9">
        <v>0</v>
      </c>
      <c r="G1093" s="6">
        <v>1868</v>
      </c>
      <c r="H1093" s="9">
        <f t="shared" si="17"/>
        <v>0</v>
      </c>
      <c r="I1093" s="6">
        <v>12000</v>
      </c>
      <c r="J1093" s="6">
        <f>VLOOKUP(Table1[[#This Row],[Province]],[1]Sheet1!$A$3:$F$37,4,FALSE)</f>
        <v>1973000</v>
      </c>
      <c r="K1093">
        <v>1</v>
      </c>
      <c r="L1093" s="4">
        <v>3.9456509999999998</v>
      </c>
      <c r="M1093" s="4">
        <v>108.142867</v>
      </c>
      <c r="N1093" s="6"/>
      <c r="P1093"/>
      <c r="Q1093" s="12"/>
      <c r="R1093" s="12"/>
    </row>
    <row r="1094" spans="1:18" x14ac:dyDescent="0.2">
      <c r="A1094">
        <v>10</v>
      </c>
      <c r="B1094" t="s">
        <v>17</v>
      </c>
      <c r="C1094">
        <v>2014</v>
      </c>
      <c r="D1094">
        <v>1</v>
      </c>
      <c r="E1094" s="4">
        <v>0</v>
      </c>
      <c r="F1094" s="9">
        <v>0</v>
      </c>
      <c r="G1094" s="6">
        <v>1325</v>
      </c>
      <c r="H1094" s="9">
        <f t="shared" si="17"/>
        <v>0</v>
      </c>
      <c r="I1094" s="6">
        <v>11699</v>
      </c>
      <c r="J1094" s="6">
        <f>VLOOKUP(Table1[[#This Row],[Province]],[1]Sheet1!$A$3:$F$37,4,FALSE)</f>
        <v>1973000</v>
      </c>
      <c r="K1094">
        <v>0</v>
      </c>
      <c r="L1094" s="4">
        <v>3.9456509999999998</v>
      </c>
      <c r="M1094" s="4">
        <v>108.142867</v>
      </c>
      <c r="N1094" s="6"/>
      <c r="P1094"/>
      <c r="Q1094" s="12"/>
      <c r="R1094" s="12"/>
    </row>
    <row r="1095" spans="1:18" x14ac:dyDescent="0.2">
      <c r="A1095">
        <v>10</v>
      </c>
      <c r="B1095" t="s">
        <v>17</v>
      </c>
      <c r="C1095">
        <v>2014</v>
      </c>
      <c r="D1095">
        <v>2</v>
      </c>
      <c r="E1095" s="4">
        <v>0</v>
      </c>
      <c r="F1095" s="9">
        <v>0</v>
      </c>
      <c r="G1095" s="6">
        <v>1182</v>
      </c>
      <c r="H1095" s="9">
        <f t="shared" si="17"/>
        <v>0</v>
      </c>
      <c r="I1095" s="6">
        <v>11250</v>
      </c>
      <c r="J1095" s="6">
        <f>VLOOKUP(Table1[[#This Row],[Province]],[1]Sheet1!$A$3:$F$37,4,FALSE)</f>
        <v>1973000</v>
      </c>
      <c r="K1095">
        <v>0</v>
      </c>
      <c r="L1095" s="4">
        <v>3.9456509999999998</v>
      </c>
      <c r="M1095" s="4">
        <v>108.142867</v>
      </c>
      <c r="N1095" s="6"/>
      <c r="P1095"/>
      <c r="Q1095" s="12"/>
      <c r="R1095" s="12"/>
    </row>
    <row r="1096" spans="1:18" x14ac:dyDescent="0.2">
      <c r="A1096">
        <v>10</v>
      </c>
      <c r="B1096" t="s">
        <v>17</v>
      </c>
      <c r="C1096">
        <v>2014</v>
      </c>
      <c r="D1096">
        <v>3</v>
      </c>
      <c r="E1096" s="4">
        <v>0</v>
      </c>
      <c r="F1096" s="9">
        <v>0</v>
      </c>
      <c r="G1096" s="6">
        <v>1327</v>
      </c>
      <c r="H1096" s="9">
        <f t="shared" si="17"/>
        <v>0</v>
      </c>
      <c r="I1096" s="6">
        <v>11213</v>
      </c>
      <c r="J1096" s="6">
        <f>VLOOKUP(Table1[[#This Row],[Province]],[1]Sheet1!$A$3:$F$37,4,FALSE)</f>
        <v>1973000</v>
      </c>
      <c r="K1096">
        <v>0</v>
      </c>
      <c r="L1096" s="4">
        <v>3.9456509999999998</v>
      </c>
      <c r="M1096" s="4">
        <v>108.142867</v>
      </c>
      <c r="N1096" s="6"/>
      <c r="P1096"/>
      <c r="Q1096" s="12"/>
      <c r="R1096" s="12"/>
    </row>
    <row r="1097" spans="1:18" x14ac:dyDescent="0.2">
      <c r="A1097">
        <v>10</v>
      </c>
      <c r="B1097" t="s">
        <v>17</v>
      </c>
      <c r="C1097">
        <v>2014</v>
      </c>
      <c r="D1097">
        <v>4</v>
      </c>
      <c r="E1097" s="4">
        <v>0</v>
      </c>
      <c r="F1097" s="9">
        <v>0</v>
      </c>
      <c r="G1097" s="6">
        <v>1709</v>
      </c>
      <c r="H1097" s="9">
        <f t="shared" si="17"/>
        <v>0</v>
      </c>
      <c r="I1097" s="6">
        <v>10330</v>
      </c>
      <c r="J1097" s="6">
        <f>VLOOKUP(Table1[[#This Row],[Province]],[1]Sheet1!$A$3:$F$37,4,FALSE)</f>
        <v>1973000</v>
      </c>
      <c r="K1097">
        <v>0</v>
      </c>
      <c r="L1097" s="4">
        <v>3.9456509999999998</v>
      </c>
      <c r="M1097" s="4">
        <v>108.142867</v>
      </c>
      <c r="N1097" s="6"/>
      <c r="P1097"/>
      <c r="Q1097" s="12"/>
      <c r="R1097" s="12"/>
    </row>
    <row r="1098" spans="1:18" x14ac:dyDescent="0.2">
      <c r="A1098">
        <v>10</v>
      </c>
      <c r="B1098" t="s">
        <v>17</v>
      </c>
      <c r="C1098">
        <v>2014</v>
      </c>
      <c r="D1098">
        <v>5</v>
      </c>
      <c r="E1098" s="4">
        <v>0</v>
      </c>
      <c r="F1098" s="9">
        <v>0</v>
      </c>
      <c r="G1098" s="6">
        <v>1914</v>
      </c>
      <c r="H1098" s="9">
        <f t="shared" si="17"/>
        <v>0</v>
      </c>
      <c r="I1098" s="6">
        <v>10167</v>
      </c>
      <c r="J1098" s="6">
        <f>VLOOKUP(Table1[[#This Row],[Province]],[1]Sheet1!$A$3:$F$37,4,FALSE)</f>
        <v>1973000</v>
      </c>
      <c r="K1098">
        <v>0</v>
      </c>
      <c r="L1098" s="4">
        <v>3.9456509999999998</v>
      </c>
      <c r="M1098" s="4">
        <v>108.142867</v>
      </c>
      <c r="N1098" s="6"/>
      <c r="P1098"/>
      <c r="Q1098" s="12"/>
      <c r="R1098" s="12"/>
    </row>
    <row r="1099" spans="1:18" x14ac:dyDescent="0.2">
      <c r="A1099">
        <v>10</v>
      </c>
      <c r="B1099" t="s">
        <v>17</v>
      </c>
      <c r="C1099">
        <v>2014</v>
      </c>
      <c r="D1099">
        <v>6</v>
      </c>
      <c r="E1099" s="4">
        <v>0</v>
      </c>
      <c r="F1099" s="9">
        <v>0</v>
      </c>
      <c r="G1099" s="6">
        <v>2725</v>
      </c>
      <c r="H1099" s="9">
        <f t="shared" si="17"/>
        <v>0</v>
      </c>
      <c r="I1099" s="6">
        <v>10203</v>
      </c>
      <c r="J1099" s="6">
        <f>VLOOKUP(Table1[[#This Row],[Province]],[1]Sheet1!$A$3:$F$37,4,FALSE)</f>
        <v>1973000</v>
      </c>
      <c r="K1099">
        <v>1</v>
      </c>
      <c r="L1099" s="4">
        <v>3.9456509999999998</v>
      </c>
      <c r="M1099" s="4">
        <v>108.142867</v>
      </c>
      <c r="N1099" s="6"/>
      <c r="P1099"/>
      <c r="Q1099" s="12"/>
      <c r="R1099" s="12"/>
    </row>
    <row r="1100" spans="1:18" x14ac:dyDescent="0.2">
      <c r="A1100">
        <v>10</v>
      </c>
      <c r="B1100" t="s">
        <v>17</v>
      </c>
      <c r="C1100">
        <v>2014</v>
      </c>
      <c r="D1100">
        <v>7</v>
      </c>
      <c r="E1100" s="4">
        <v>0</v>
      </c>
      <c r="F1100" s="9">
        <v>0</v>
      </c>
      <c r="G1100" s="6">
        <v>1709</v>
      </c>
      <c r="H1100" s="9">
        <f t="shared" si="17"/>
        <v>0</v>
      </c>
      <c r="I1100" s="6">
        <v>10445</v>
      </c>
      <c r="J1100" s="6">
        <f>VLOOKUP(Table1[[#This Row],[Province]],[1]Sheet1!$A$3:$F$37,4,FALSE)</f>
        <v>1973000</v>
      </c>
      <c r="K1100">
        <v>0</v>
      </c>
      <c r="L1100" s="4">
        <v>3.9456509999999998</v>
      </c>
      <c r="M1100" s="4">
        <v>108.142867</v>
      </c>
      <c r="N1100" s="6"/>
      <c r="P1100"/>
      <c r="Q1100" s="12"/>
      <c r="R1100" s="12"/>
    </row>
    <row r="1101" spans="1:18" x14ac:dyDescent="0.2">
      <c r="A1101">
        <v>10</v>
      </c>
      <c r="B1101" t="s">
        <v>17</v>
      </c>
      <c r="C1101">
        <v>2014</v>
      </c>
      <c r="D1101">
        <v>8</v>
      </c>
      <c r="E1101" s="4">
        <v>0</v>
      </c>
      <c r="F1101" s="9">
        <v>0</v>
      </c>
      <c r="G1101" s="6">
        <v>1648</v>
      </c>
      <c r="H1101" s="9">
        <f t="shared" si="17"/>
        <v>0</v>
      </c>
      <c r="I1101" s="6">
        <v>10304</v>
      </c>
      <c r="J1101" s="6">
        <f>VLOOKUP(Table1[[#This Row],[Province]],[1]Sheet1!$A$3:$F$37,4,FALSE)</f>
        <v>1973000</v>
      </c>
      <c r="K1101">
        <v>0</v>
      </c>
      <c r="L1101" s="4">
        <v>3.9456509999999998</v>
      </c>
      <c r="M1101" s="4">
        <v>108.142867</v>
      </c>
      <c r="N1101" s="6"/>
      <c r="P1101"/>
      <c r="Q1101" s="12"/>
      <c r="R1101" s="12"/>
    </row>
    <row r="1102" spans="1:18" x14ac:dyDescent="0.2">
      <c r="A1102">
        <v>10</v>
      </c>
      <c r="B1102" t="s">
        <v>17</v>
      </c>
      <c r="C1102">
        <v>2014</v>
      </c>
      <c r="D1102">
        <v>9</v>
      </c>
      <c r="E1102" s="4">
        <v>0</v>
      </c>
      <c r="F1102" s="9">
        <v>0</v>
      </c>
      <c r="G1102" s="6">
        <v>1658</v>
      </c>
      <c r="H1102" s="9">
        <f t="shared" si="17"/>
        <v>0</v>
      </c>
      <c r="I1102" s="6">
        <v>10220</v>
      </c>
      <c r="J1102" s="6">
        <f>VLOOKUP(Table1[[#This Row],[Province]],[1]Sheet1!$A$3:$F$37,4,FALSE)</f>
        <v>1973000</v>
      </c>
      <c r="K1102">
        <v>0</v>
      </c>
      <c r="L1102" s="4">
        <v>3.9456509999999998</v>
      </c>
      <c r="M1102" s="4">
        <v>108.142867</v>
      </c>
      <c r="N1102" s="6"/>
      <c r="P1102"/>
      <c r="Q1102" s="12"/>
      <c r="R1102" s="12"/>
    </row>
    <row r="1103" spans="1:18" x14ac:dyDescent="0.2">
      <c r="A1103">
        <v>10</v>
      </c>
      <c r="B1103" t="s">
        <v>17</v>
      </c>
      <c r="C1103">
        <v>2014</v>
      </c>
      <c r="D1103">
        <v>10</v>
      </c>
      <c r="E1103" s="4">
        <v>0</v>
      </c>
      <c r="F1103" s="9">
        <v>0</v>
      </c>
      <c r="G1103" s="6">
        <v>2460</v>
      </c>
      <c r="H1103" s="9">
        <f t="shared" si="17"/>
        <v>0</v>
      </c>
      <c r="I1103" s="6">
        <v>10181</v>
      </c>
      <c r="J1103" s="6">
        <f>VLOOKUP(Table1[[#This Row],[Province]],[1]Sheet1!$A$3:$F$37,4,FALSE)</f>
        <v>1973000</v>
      </c>
      <c r="K1103">
        <v>0</v>
      </c>
      <c r="L1103" s="4">
        <v>3.9456509999999998</v>
      </c>
      <c r="M1103" s="4">
        <v>108.142867</v>
      </c>
      <c r="N1103" s="6"/>
      <c r="P1103"/>
      <c r="Q1103" s="12"/>
      <c r="R1103" s="12"/>
    </row>
    <row r="1104" spans="1:18" x14ac:dyDescent="0.2">
      <c r="A1104">
        <v>10</v>
      </c>
      <c r="B1104" t="s">
        <v>17</v>
      </c>
      <c r="C1104">
        <v>2014</v>
      </c>
      <c r="D1104">
        <v>11</v>
      </c>
      <c r="E1104" s="4">
        <v>0</v>
      </c>
      <c r="F1104" s="9">
        <v>0</v>
      </c>
      <c r="G1104" s="6">
        <v>1963</v>
      </c>
      <c r="H1104" s="9">
        <f t="shared" si="17"/>
        <v>0</v>
      </c>
      <c r="I1104" s="6">
        <v>10255</v>
      </c>
      <c r="J1104" s="6">
        <f>VLOOKUP(Table1[[#This Row],[Province]],[1]Sheet1!$A$3:$F$37,4,FALSE)</f>
        <v>1973000</v>
      </c>
      <c r="K1104">
        <v>0</v>
      </c>
      <c r="L1104" s="4">
        <v>3.9456509999999998</v>
      </c>
      <c r="M1104" s="4">
        <v>108.142867</v>
      </c>
      <c r="N1104" s="6"/>
      <c r="P1104"/>
      <c r="Q1104" s="12"/>
      <c r="R1104" s="12"/>
    </row>
    <row r="1105" spans="1:18" x14ac:dyDescent="0.2">
      <c r="A1105">
        <v>10</v>
      </c>
      <c r="B1105" t="s">
        <v>17</v>
      </c>
      <c r="C1105">
        <v>2014</v>
      </c>
      <c r="D1105">
        <v>12</v>
      </c>
      <c r="E1105" s="4">
        <v>0</v>
      </c>
      <c r="F1105" s="9">
        <v>0</v>
      </c>
      <c r="G1105" s="6">
        <v>2289</v>
      </c>
      <c r="H1105" s="9">
        <f t="shared" si="17"/>
        <v>0</v>
      </c>
      <c r="I1105" s="6">
        <v>11096</v>
      </c>
      <c r="J1105" s="6">
        <f>VLOOKUP(Table1[[#This Row],[Province]],[1]Sheet1!$A$3:$F$37,4,FALSE)</f>
        <v>1973000</v>
      </c>
      <c r="K1105">
        <v>1</v>
      </c>
      <c r="L1105" s="4">
        <v>3.9456509999999998</v>
      </c>
      <c r="M1105" s="4">
        <v>108.142867</v>
      </c>
      <c r="N1105" s="6"/>
      <c r="P1105"/>
      <c r="Q1105" s="12"/>
      <c r="R1105" s="12"/>
    </row>
    <row r="1106" spans="1:18" x14ac:dyDescent="0.2">
      <c r="A1106">
        <v>10</v>
      </c>
      <c r="B1106" t="s">
        <v>17</v>
      </c>
      <c r="C1106">
        <v>2015</v>
      </c>
      <c r="D1106">
        <v>1</v>
      </c>
      <c r="E1106" s="4">
        <v>0</v>
      </c>
      <c r="F1106" s="9">
        <v>0</v>
      </c>
      <c r="G1106" s="6">
        <v>1140</v>
      </c>
      <c r="H1106" s="9">
        <f t="shared" si="17"/>
        <v>0</v>
      </c>
      <c r="I1106" s="6">
        <v>10262</v>
      </c>
      <c r="J1106" s="6">
        <f>VLOOKUP(Table1[[#This Row],[Province]],[1]Sheet1!$A$3:$F$37,4,FALSE)</f>
        <v>1973000</v>
      </c>
      <c r="K1106">
        <v>0</v>
      </c>
      <c r="L1106" s="4">
        <v>3.9456509999999998</v>
      </c>
      <c r="M1106" s="4">
        <v>108.142867</v>
      </c>
      <c r="N1106" s="6"/>
      <c r="P1106"/>
      <c r="Q1106" s="12"/>
      <c r="R1106" s="12"/>
    </row>
    <row r="1107" spans="1:18" x14ac:dyDescent="0.2">
      <c r="A1107">
        <v>10</v>
      </c>
      <c r="B1107" t="s">
        <v>17</v>
      </c>
      <c r="C1107">
        <v>2015</v>
      </c>
      <c r="D1107">
        <v>2</v>
      </c>
      <c r="E1107" s="4">
        <v>0</v>
      </c>
      <c r="F1107" s="9">
        <v>0</v>
      </c>
      <c r="G1107" s="6">
        <v>2875</v>
      </c>
      <c r="H1107" s="9">
        <f t="shared" si="17"/>
        <v>0</v>
      </c>
      <c r="I1107" s="6">
        <v>10123</v>
      </c>
      <c r="J1107" s="6">
        <f>VLOOKUP(Table1[[#This Row],[Province]],[1]Sheet1!$A$3:$F$37,4,FALSE)</f>
        <v>1973000</v>
      </c>
      <c r="K1107">
        <v>0</v>
      </c>
      <c r="L1107" s="4">
        <v>3.9456509999999998</v>
      </c>
      <c r="M1107" s="4">
        <v>108.142867</v>
      </c>
      <c r="N1107" s="6"/>
      <c r="P1107"/>
      <c r="Q1107" s="12"/>
      <c r="R1107" s="12"/>
    </row>
    <row r="1108" spans="1:18" x14ac:dyDescent="0.2">
      <c r="A1108">
        <v>10</v>
      </c>
      <c r="B1108" t="s">
        <v>17</v>
      </c>
      <c r="C1108">
        <v>2015</v>
      </c>
      <c r="D1108">
        <v>3</v>
      </c>
      <c r="E1108" s="4">
        <v>0</v>
      </c>
      <c r="F1108" s="9">
        <v>0</v>
      </c>
      <c r="G1108" s="6">
        <v>1305</v>
      </c>
      <c r="H1108" s="9">
        <f t="shared" si="17"/>
        <v>0</v>
      </c>
      <c r="I1108" s="6">
        <v>10307</v>
      </c>
      <c r="J1108" s="6">
        <f>VLOOKUP(Table1[[#This Row],[Province]],[1]Sheet1!$A$3:$F$37,4,FALSE)</f>
        <v>1973000</v>
      </c>
      <c r="K1108">
        <v>0</v>
      </c>
      <c r="L1108" s="4">
        <v>3.9456509999999998</v>
      </c>
      <c r="M1108" s="4">
        <v>108.142867</v>
      </c>
      <c r="N1108" s="6"/>
      <c r="P1108"/>
      <c r="Q1108" s="12"/>
      <c r="R1108" s="12"/>
    </row>
    <row r="1109" spans="1:18" x14ac:dyDescent="0.2">
      <c r="A1109">
        <v>10</v>
      </c>
      <c r="B1109" t="s">
        <v>17</v>
      </c>
      <c r="C1109">
        <v>2015</v>
      </c>
      <c r="D1109">
        <v>4</v>
      </c>
      <c r="E1109" s="4">
        <v>0</v>
      </c>
      <c r="F1109" s="9">
        <v>0</v>
      </c>
      <c r="G1109" s="6">
        <v>2161</v>
      </c>
      <c r="H1109" s="9">
        <f t="shared" si="17"/>
        <v>0</v>
      </c>
      <c r="I1109" s="6">
        <v>11452</v>
      </c>
      <c r="J1109" s="6">
        <f>VLOOKUP(Table1[[#This Row],[Province]],[1]Sheet1!$A$3:$F$37,4,FALSE)</f>
        <v>1973000</v>
      </c>
      <c r="K1109">
        <v>0</v>
      </c>
      <c r="L1109" s="4">
        <v>3.9456509999999998</v>
      </c>
      <c r="M1109" s="4">
        <v>108.142867</v>
      </c>
      <c r="N1109" s="6"/>
      <c r="P1109"/>
      <c r="Q1109" s="12"/>
      <c r="R1109" s="12"/>
    </row>
    <row r="1110" spans="1:18" x14ac:dyDescent="0.2">
      <c r="A1110">
        <v>10</v>
      </c>
      <c r="B1110" t="s">
        <v>17</v>
      </c>
      <c r="C1110">
        <v>2015</v>
      </c>
      <c r="D1110">
        <v>5</v>
      </c>
      <c r="E1110" s="4">
        <v>0</v>
      </c>
      <c r="F1110" s="9">
        <v>0</v>
      </c>
      <c r="G1110" s="6">
        <v>2071</v>
      </c>
      <c r="H1110" s="9">
        <f t="shared" si="17"/>
        <v>0</v>
      </c>
      <c r="I1110" s="6">
        <v>11961</v>
      </c>
      <c r="J1110" s="6">
        <f>VLOOKUP(Table1[[#This Row],[Province]],[1]Sheet1!$A$3:$F$37,4,FALSE)</f>
        <v>1973000</v>
      </c>
      <c r="K1110">
        <v>0</v>
      </c>
      <c r="L1110" s="4">
        <v>3.9456509999999998</v>
      </c>
      <c r="M1110" s="4">
        <v>108.142867</v>
      </c>
      <c r="N1110" s="6"/>
      <c r="P1110"/>
      <c r="Q1110" s="12"/>
      <c r="R1110" s="12"/>
    </row>
    <row r="1111" spans="1:18" x14ac:dyDescent="0.2">
      <c r="A1111">
        <v>10</v>
      </c>
      <c r="B1111" t="s">
        <v>17</v>
      </c>
      <c r="C1111">
        <v>2015</v>
      </c>
      <c r="D1111">
        <v>6</v>
      </c>
      <c r="E1111" s="4">
        <v>0</v>
      </c>
      <c r="F1111" s="9">
        <v>0</v>
      </c>
      <c r="G1111" s="6">
        <v>2353</v>
      </c>
      <c r="H1111" s="9">
        <f t="shared" si="17"/>
        <v>0</v>
      </c>
      <c r="I1111" s="6">
        <v>12000</v>
      </c>
      <c r="J1111" s="6">
        <f>VLOOKUP(Table1[[#This Row],[Province]],[1]Sheet1!$A$3:$F$37,4,FALSE)</f>
        <v>1973000</v>
      </c>
      <c r="K1111">
        <v>1</v>
      </c>
      <c r="L1111" s="4">
        <v>3.9456509999999998</v>
      </c>
      <c r="M1111" s="4">
        <v>108.142867</v>
      </c>
      <c r="N1111" s="6"/>
      <c r="P1111"/>
      <c r="Q1111" s="12"/>
      <c r="R1111" s="12"/>
    </row>
    <row r="1112" spans="1:18" x14ac:dyDescent="0.2">
      <c r="A1112">
        <v>10</v>
      </c>
      <c r="B1112" t="s">
        <v>17</v>
      </c>
      <c r="C1112">
        <v>2015</v>
      </c>
      <c r="D1112">
        <v>7</v>
      </c>
      <c r="E1112" s="4">
        <v>0</v>
      </c>
      <c r="F1112" s="9">
        <v>0</v>
      </c>
      <c r="G1112" s="6">
        <v>1606</v>
      </c>
      <c r="H1112" s="9">
        <f t="shared" si="17"/>
        <v>0</v>
      </c>
      <c r="I1112" s="6">
        <v>12000</v>
      </c>
      <c r="J1112" s="6">
        <f>VLOOKUP(Table1[[#This Row],[Province]],[1]Sheet1!$A$3:$F$37,4,FALSE)</f>
        <v>1973000</v>
      </c>
      <c r="K1112">
        <v>0</v>
      </c>
      <c r="L1112" s="4">
        <v>3.9456509999999998</v>
      </c>
      <c r="M1112" s="4">
        <v>108.142867</v>
      </c>
      <c r="N1112" s="6"/>
      <c r="P1112"/>
      <c r="Q1112" s="12"/>
      <c r="R1112" s="12"/>
    </row>
    <row r="1113" spans="1:18" x14ac:dyDescent="0.2">
      <c r="A1113">
        <v>10</v>
      </c>
      <c r="B1113" t="s">
        <v>17</v>
      </c>
      <c r="C1113">
        <v>2015</v>
      </c>
      <c r="D1113">
        <v>8</v>
      </c>
      <c r="E1113" s="4">
        <v>0</v>
      </c>
      <c r="F1113" s="9">
        <v>0</v>
      </c>
      <c r="G1113" s="6">
        <v>1590</v>
      </c>
      <c r="H1113" s="9">
        <f t="shared" si="17"/>
        <v>0</v>
      </c>
      <c r="I1113" s="6">
        <v>12000</v>
      </c>
      <c r="J1113" s="6">
        <f>VLOOKUP(Table1[[#This Row],[Province]],[1]Sheet1!$A$3:$F$37,4,FALSE)</f>
        <v>1973000</v>
      </c>
      <c r="K1113">
        <v>0</v>
      </c>
      <c r="L1113" s="4">
        <v>3.9456509999999998</v>
      </c>
      <c r="M1113" s="4">
        <v>108.142867</v>
      </c>
      <c r="N1113" s="6"/>
      <c r="P1113"/>
      <c r="Q1113" s="12"/>
      <c r="R1113" s="12"/>
    </row>
    <row r="1114" spans="1:18" x14ac:dyDescent="0.2">
      <c r="A1114">
        <v>10</v>
      </c>
      <c r="B1114" t="s">
        <v>17</v>
      </c>
      <c r="C1114">
        <v>2015</v>
      </c>
      <c r="D1114">
        <v>9</v>
      </c>
      <c r="E1114" s="4">
        <v>0</v>
      </c>
      <c r="F1114" s="9">
        <v>0</v>
      </c>
      <c r="G1114" s="6">
        <v>2134</v>
      </c>
      <c r="H1114" s="9">
        <f t="shared" si="17"/>
        <v>0</v>
      </c>
      <c r="I1114" s="6">
        <v>12000</v>
      </c>
      <c r="J1114" s="6">
        <f>VLOOKUP(Table1[[#This Row],[Province]],[1]Sheet1!$A$3:$F$37,4,FALSE)</f>
        <v>1973000</v>
      </c>
      <c r="K1114">
        <v>0</v>
      </c>
      <c r="L1114" s="4">
        <v>3.9456509999999998</v>
      </c>
      <c r="M1114" s="4">
        <v>108.142867</v>
      </c>
      <c r="N1114" s="6"/>
      <c r="P1114"/>
      <c r="Q1114" s="12"/>
      <c r="R1114" s="12"/>
    </row>
    <row r="1115" spans="1:18" x14ac:dyDescent="0.2">
      <c r="A1115">
        <v>10</v>
      </c>
      <c r="B1115" t="s">
        <v>17</v>
      </c>
      <c r="C1115">
        <v>2015</v>
      </c>
      <c r="D1115">
        <v>10</v>
      </c>
      <c r="E1115" s="4">
        <v>0</v>
      </c>
      <c r="F1115" s="9">
        <v>0</v>
      </c>
      <c r="G1115" s="6">
        <v>1422</v>
      </c>
      <c r="H1115" s="9">
        <f t="shared" si="17"/>
        <v>0</v>
      </c>
      <c r="I1115" s="6">
        <v>12000</v>
      </c>
      <c r="J1115" s="6">
        <f>VLOOKUP(Table1[[#This Row],[Province]],[1]Sheet1!$A$3:$F$37,4,FALSE)</f>
        <v>1973000</v>
      </c>
      <c r="K1115">
        <v>0</v>
      </c>
      <c r="L1115" s="4">
        <v>3.9456509999999998</v>
      </c>
      <c r="M1115" s="4">
        <v>108.142867</v>
      </c>
      <c r="N1115" s="6"/>
      <c r="P1115"/>
      <c r="Q1115" s="12"/>
      <c r="R1115" s="12"/>
    </row>
    <row r="1116" spans="1:18" x14ac:dyDescent="0.2">
      <c r="A1116">
        <v>10</v>
      </c>
      <c r="B1116" t="s">
        <v>17</v>
      </c>
      <c r="C1116">
        <v>2015</v>
      </c>
      <c r="D1116">
        <v>11</v>
      </c>
      <c r="E1116" s="4">
        <v>0</v>
      </c>
      <c r="F1116" s="9">
        <v>0</v>
      </c>
      <c r="G1116" s="6">
        <v>1875</v>
      </c>
      <c r="H1116" s="9">
        <f t="shared" si="17"/>
        <v>0</v>
      </c>
      <c r="I1116" s="6">
        <v>12000</v>
      </c>
      <c r="J1116" s="6">
        <f>VLOOKUP(Table1[[#This Row],[Province]],[1]Sheet1!$A$3:$F$37,4,FALSE)</f>
        <v>1973000</v>
      </c>
      <c r="K1116">
        <v>0</v>
      </c>
      <c r="L1116" s="4">
        <v>3.9456509999999998</v>
      </c>
      <c r="M1116" s="4">
        <v>108.142867</v>
      </c>
      <c r="N1116" s="6"/>
      <c r="P1116"/>
      <c r="Q1116" s="12"/>
      <c r="R1116" s="12"/>
    </row>
    <row r="1117" spans="1:18" x14ac:dyDescent="0.2">
      <c r="A1117">
        <v>10</v>
      </c>
      <c r="B1117" t="s">
        <v>17</v>
      </c>
      <c r="C1117">
        <v>2015</v>
      </c>
      <c r="D1117">
        <v>12</v>
      </c>
      <c r="E1117" s="4">
        <v>0</v>
      </c>
      <c r="F1117" s="9">
        <v>0</v>
      </c>
      <c r="G1117" s="6">
        <v>2010</v>
      </c>
      <c r="H1117" s="9">
        <f t="shared" si="17"/>
        <v>0</v>
      </c>
      <c r="I1117" s="6">
        <v>12000</v>
      </c>
      <c r="J1117" s="6">
        <f>VLOOKUP(Table1[[#This Row],[Province]],[1]Sheet1!$A$3:$F$37,4,FALSE)</f>
        <v>1973000</v>
      </c>
      <c r="K1117">
        <v>1</v>
      </c>
      <c r="L1117" s="4">
        <v>3.9456509999999998</v>
      </c>
      <c r="M1117" s="4">
        <v>108.142867</v>
      </c>
      <c r="N1117" s="6"/>
      <c r="P1117"/>
      <c r="Q1117" s="12"/>
      <c r="R1117" s="12"/>
    </row>
    <row r="1118" spans="1:18" x14ac:dyDescent="0.2">
      <c r="A1118">
        <v>10</v>
      </c>
      <c r="B1118" t="s">
        <v>17</v>
      </c>
      <c r="C1118">
        <v>2016</v>
      </c>
      <c r="D1118">
        <v>1</v>
      </c>
      <c r="E1118" s="4">
        <v>0</v>
      </c>
      <c r="F1118" s="9">
        <v>0</v>
      </c>
      <c r="G1118" s="6">
        <v>2753</v>
      </c>
      <c r="H1118" s="9">
        <f t="shared" si="17"/>
        <v>0</v>
      </c>
      <c r="I1118" s="6">
        <v>12138</v>
      </c>
      <c r="J1118" s="6">
        <f>VLOOKUP(Table1[[#This Row],[Province]],[1]Sheet1!$A$3:$F$37,4,FALSE)</f>
        <v>1973000</v>
      </c>
      <c r="K1118">
        <v>0</v>
      </c>
      <c r="L1118" s="4">
        <v>3.9456509999999998</v>
      </c>
      <c r="M1118" s="4">
        <v>108.142867</v>
      </c>
      <c r="N1118" s="13">
        <v>4.9800000000000004</v>
      </c>
      <c r="P1118"/>
      <c r="Q1118" s="12"/>
      <c r="R1118" s="12"/>
    </row>
    <row r="1119" spans="1:18" x14ac:dyDescent="0.2">
      <c r="A1119">
        <v>10</v>
      </c>
      <c r="B1119" t="s">
        <v>17</v>
      </c>
      <c r="C1119">
        <v>2016</v>
      </c>
      <c r="D1119">
        <v>2</v>
      </c>
      <c r="E1119" s="4">
        <v>0</v>
      </c>
      <c r="F1119" s="9">
        <v>0</v>
      </c>
      <c r="G1119" s="6">
        <v>997</v>
      </c>
      <c r="H1119" s="9">
        <f t="shared" si="17"/>
        <v>0</v>
      </c>
      <c r="I1119" s="6">
        <v>12463</v>
      </c>
      <c r="J1119" s="6">
        <f>VLOOKUP(Table1[[#This Row],[Province]],[1]Sheet1!$A$3:$F$37,4,FALSE)</f>
        <v>1973000</v>
      </c>
      <c r="K1119">
        <v>0</v>
      </c>
      <c r="L1119" s="4">
        <v>3.9456509999999998</v>
      </c>
      <c r="M1119" s="4">
        <v>108.142867</v>
      </c>
      <c r="N1119" s="13">
        <v>4.9800000000000004</v>
      </c>
      <c r="P1119"/>
      <c r="Q1119" s="12"/>
      <c r="R1119" s="12"/>
    </row>
    <row r="1120" spans="1:18" x14ac:dyDescent="0.2">
      <c r="A1120">
        <v>10</v>
      </c>
      <c r="B1120" t="s">
        <v>17</v>
      </c>
      <c r="C1120">
        <v>2016</v>
      </c>
      <c r="D1120">
        <v>3</v>
      </c>
      <c r="E1120" s="4">
        <v>0</v>
      </c>
      <c r="F1120" s="9">
        <v>0</v>
      </c>
      <c r="G1120" s="6">
        <v>2753</v>
      </c>
      <c r="H1120" s="9">
        <f t="shared" si="17"/>
        <v>0</v>
      </c>
      <c r="I1120" s="6">
        <v>12500</v>
      </c>
      <c r="J1120" s="6">
        <f>VLOOKUP(Table1[[#This Row],[Province]],[1]Sheet1!$A$3:$F$37,4,FALSE)</f>
        <v>1973000</v>
      </c>
      <c r="K1120">
        <v>0</v>
      </c>
      <c r="L1120" s="4">
        <v>3.9456509999999998</v>
      </c>
      <c r="M1120" s="4">
        <v>108.142867</v>
      </c>
      <c r="N1120" s="13">
        <v>4.9800000000000004</v>
      </c>
      <c r="P1120"/>
      <c r="Q1120" s="12"/>
      <c r="R1120" s="12"/>
    </row>
    <row r="1121" spans="1:18" x14ac:dyDescent="0.2">
      <c r="A1121">
        <v>10</v>
      </c>
      <c r="B1121" t="s">
        <v>17</v>
      </c>
      <c r="C1121">
        <v>2016</v>
      </c>
      <c r="D1121">
        <v>4</v>
      </c>
      <c r="E1121" s="4">
        <v>0</v>
      </c>
      <c r="F1121" s="9">
        <v>0</v>
      </c>
      <c r="G1121" s="6">
        <v>1693</v>
      </c>
      <c r="H1121" s="9">
        <f t="shared" si="17"/>
        <v>0</v>
      </c>
      <c r="I1121" s="6">
        <v>12500</v>
      </c>
      <c r="J1121" s="6">
        <f>VLOOKUP(Table1[[#This Row],[Province]],[1]Sheet1!$A$3:$F$37,4,FALSE)</f>
        <v>1973000</v>
      </c>
      <c r="K1121">
        <v>0</v>
      </c>
      <c r="L1121" s="4">
        <v>3.9456509999999998</v>
      </c>
      <c r="M1121" s="4">
        <v>108.142867</v>
      </c>
      <c r="N1121" s="13">
        <v>4.9800000000000004</v>
      </c>
      <c r="P1121"/>
      <c r="Q1121" s="12"/>
      <c r="R1121" s="12"/>
    </row>
    <row r="1122" spans="1:18" x14ac:dyDescent="0.2">
      <c r="A1122">
        <v>10</v>
      </c>
      <c r="B1122" t="s">
        <v>17</v>
      </c>
      <c r="C1122">
        <v>2016</v>
      </c>
      <c r="D1122">
        <v>5</v>
      </c>
      <c r="E1122" s="4">
        <v>0</v>
      </c>
      <c r="F1122" s="9">
        <v>0</v>
      </c>
      <c r="G1122" s="6">
        <v>2323</v>
      </c>
      <c r="H1122" s="9">
        <f t="shared" si="17"/>
        <v>0</v>
      </c>
      <c r="I1122" s="6">
        <v>14100</v>
      </c>
      <c r="J1122" s="6">
        <f>VLOOKUP(Table1[[#This Row],[Province]],[1]Sheet1!$A$3:$F$37,4,FALSE)</f>
        <v>1973000</v>
      </c>
      <c r="K1122">
        <v>0</v>
      </c>
      <c r="L1122" s="4">
        <v>3.9456509999999998</v>
      </c>
      <c r="M1122" s="4">
        <v>108.142867</v>
      </c>
      <c r="N1122" s="13">
        <v>4.9800000000000004</v>
      </c>
      <c r="P1122"/>
      <c r="Q1122" s="12"/>
      <c r="R1122" s="12"/>
    </row>
    <row r="1123" spans="1:18" x14ac:dyDescent="0.2">
      <c r="A1123">
        <v>10</v>
      </c>
      <c r="B1123" t="s">
        <v>17</v>
      </c>
      <c r="C1123">
        <v>2016</v>
      </c>
      <c r="D1123">
        <v>6</v>
      </c>
      <c r="E1123" s="4">
        <v>0</v>
      </c>
      <c r="F1123" s="9">
        <v>0</v>
      </c>
      <c r="G1123" s="6">
        <v>2074</v>
      </c>
      <c r="H1123" s="9">
        <f t="shared" si="17"/>
        <v>0</v>
      </c>
      <c r="I1123" s="6">
        <v>14500</v>
      </c>
      <c r="J1123" s="6">
        <f>VLOOKUP(Table1[[#This Row],[Province]],[1]Sheet1!$A$3:$F$37,4,FALSE)</f>
        <v>1973000</v>
      </c>
      <c r="K1123">
        <v>1</v>
      </c>
      <c r="L1123" s="4">
        <v>3.9456509999999998</v>
      </c>
      <c r="M1123" s="4">
        <v>108.142867</v>
      </c>
      <c r="N1123" s="13">
        <v>4.9800000000000004</v>
      </c>
      <c r="P1123"/>
      <c r="Q1123" s="12"/>
      <c r="R1123" s="12"/>
    </row>
    <row r="1124" spans="1:18" x14ac:dyDescent="0.2">
      <c r="A1124">
        <v>10</v>
      </c>
      <c r="B1124" t="s">
        <v>17</v>
      </c>
      <c r="C1124">
        <v>2016</v>
      </c>
      <c r="D1124">
        <v>7</v>
      </c>
      <c r="E1124" s="4">
        <v>0</v>
      </c>
      <c r="F1124" s="9">
        <v>0</v>
      </c>
      <c r="G1124" s="6">
        <v>1979</v>
      </c>
      <c r="H1124" s="9">
        <f t="shared" si="17"/>
        <v>0</v>
      </c>
      <c r="I1124" s="6">
        <v>14758</v>
      </c>
      <c r="J1124" s="6">
        <f>VLOOKUP(Table1[[#This Row],[Province]],[1]Sheet1!$A$3:$F$37,4,FALSE)</f>
        <v>1973000</v>
      </c>
      <c r="K1124">
        <v>0</v>
      </c>
      <c r="L1124" s="4">
        <v>3.9456509999999998</v>
      </c>
      <c r="M1124" s="4">
        <v>108.142867</v>
      </c>
      <c r="N1124" s="13">
        <v>4.9800000000000004</v>
      </c>
      <c r="P1124"/>
      <c r="Q1124" s="12"/>
      <c r="R1124" s="12"/>
    </row>
    <row r="1125" spans="1:18" x14ac:dyDescent="0.2">
      <c r="A1125">
        <v>10</v>
      </c>
      <c r="B1125" t="s">
        <v>17</v>
      </c>
      <c r="C1125">
        <v>2016</v>
      </c>
      <c r="D1125">
        <v>8</v>
      </c>
      <c r="E1125" s="4">
        <v>0</v>
      </c>
      <c r="F1125" s="9">
        <v>0</v>
      </c>
      <c r="G1125" s="6">
        <v>1955</v>
      </c>
      <c r="H1125" s="9">
        <f t="shared" si="17"/>
        <v>0</v>
      </c>
      <c r="I1125" s="6">
        <v>14415</v>
      </c>
      <c r="J1125" s="6">
        <f>VLOOKUP(Table1[[#This Row],[Province]],[1]Sheet1!$A$3:$F$37,4,FALSE)</f>
        <v>1973000</v>
      </c>
      <c r="K1125">
        <v>0</v>
      </c>
      <c r="L1125" s="4">
        <v>3.9456509999999998</v>
      </c>
      <c r="M1125" s="4">
        <v>108.142867</v>
      </c>
      <c r="N1125" s="13">
        <v>4.9800000000000004</v>
      </c>
      <c r="P1125"/>
      <c r="Q1125" s="12"/>
      <c r="R1125" s="12"/>
    </row>
    <row r="1126" spans="1:18" x14ac:dyDescent="0.2">
      <c r="A1126">
        <v>10</v>
      </c>
      <c r="B1126" t="s">
        <v>17</v>
      </c>
      <c r="C1126">
        <v>2016</v>
      </c>
      <c r="D1126">
        <v>9</v>
      </c>
      <c r="E1126" s="4">
        <v>0</v>
      </c>
      <c r="F1126" s="9">
        <v>0</v>
      </c>
      <c r="G1126" s="6">
        <v>756</v>
      </c>
      <c r="H1126" s="9">
        <f t="shared" si="17"/>
        <v>0</v>
      </c>
      <c r="I1126" s="6">
        <v>13720</v>
      </c>
      <c r="J1126" s="6">
        <f>VLOOKUP(Table1[[#This Row],[Province]],[1]Sheet1!$A$3:$F$37,4,FALSE)</f>
        <v>1973000</v>
      </c>
      <c r="K1126">
        <v>0</v>
      </c>
      <c r="L1126" s="4">
        <v>3.9456509999999998</v>
      </c>
      <c r="M1126" s="4">
        <v>108.142867</v>
      </c>
      <c r="N1126" s="13">
        <v>4.9800000000000004</v>
      </c>
      <c r="P1126"/>
      <c r="Q1126" s="12"/>
      <c r="R1126" s="12"/>
    </row>
    <row r="1127" spans="1:18" x14ac:dyDescent="0.2">
      <c r="A1127">
        <v>10</v>
      </c>
      <c r="B1127" t="s">
        <v>17</v>
      </c>
      <c r="C1127">
        <v>2016</v>
      </c>
      <c r="D1127">
        <v>10</v>
      </c>
      <c r="E1127" s="4">
        <v>0</v>
      </c>
      <c r="F1127" s="9">
        <v>0</v>
      </c>
      <c r="G1127" s="6">
        <v>3301</v>
      </c>
      <c r="H1127" s="9">
        <f t="shared" si="17"/>
        <v>0</v>
      </c>
      <c r="I1127" s="6">
        <v>13214</v>
      </c>
      <c r="J1127" s="6">
        <f>VLOOKUP(Table1[[#This Row],[Province]],[1]Sheet1!$A$3:$F$37,4,FALSE)</f>
        <v>1973000</v>
      </c>
      <c r="K1127">
        <v>0</v>
      </c>
      <c r="L1127" s="4">
        <v>3.9456509999999998</v>
      </c>
      <c r="M1127" s="4">
        <v>108.142867</v>
      </c>
      <c r="N1127" s="13">
        <v>4.9800000000000004</v>
      </c>
      <c r="P1127"/>
      <c r="Q1127" s="12"/>
      <c r="R1127" s="12"/>
    </row>
    <row r="1128" spans="1:18" x14ac:dyDescent="0.2">
      <c r="A1128">
        <v>10</v>
      </c>
      <c r="B1128" t="s">
        <v>17</v>
      </c>
      <c r="C1128">
        <v>2016</v>
      </c>
      <c r="D1128">
        <v>11</v>
      </c>
      <c r="E1128" s="4">
        <v>0</v>
      </c>
      <c r="F1128" s="9">
        <v>0</v>
      </c>
      <c r="G1128" s="6">
        <v>935</v>
      </c>
      <c r="H1128" s="9">
        <f t="shared" si="17"/>
        <v>0</v>
      </c>
      <c r="I1128" s="6">
        <v>12909</v>
      </c>
      <c r="J1128" s="6">
        <f>VLOOKUP(Table1[[#This Row],[Province]],[1]Sheet1!$A$3:$F$37,4,FALSE)</f>
        <v>1973000</v>
      </c>
      <c r="K1128">
        <v>0</v>
      </c>
      <c r="L1128" s="4">
        <v>3.9456509999999998</v>
      </c>
      <c r="M1128" s="4">
        <v>108.142867</v>
      </c>
      <c r="N1128" s="13">
        <v>4.9800000000000004</v>
      </c>
      <c r="P1128"/>
      <c r="Q1128" s="12"/>
      <c r="R1128" s="12"/>
    </row>
    <row r="1129" spans="1:18" x14ac:dyDescent="0.2">
      <c r="A1129">
        <v>10</v>
      </c>
      <c r="B1129" t="s">
        <v>17</v>
      </c>
      <c r="C1129">
        <v>2016</v>
      </c>
      <c r="D1129">
        <v>12</v>
      </c>
      <c r="E1129" s="4">
        <v>0</v>
      </c>
      <c r="F1129" s="9">
        <v>0</v>
      </c>
      <c r="G1129" s="6">
        <v>935</v>
      </c>
      <c r="H1129" s="9">
        <f t="shared" si="17"/>
        <v>0</v>
      </c>
      <c r="I1129" s="6">
        <v>13000</v>
      </c>
      <c r="J1129" s="6">
        <f>VLOOKUP(Table1[[#This Row],[Province]],[1]Sheet1!$A$3:$F$37,4,FALSE)</f>
        <v>1973000</v>
      </c>
      <c r="K1129">
        <v>1</v>
      </c>
      <c r="L1129" s="4">
        <v>3.9456509999999998</v>
      </c>
      <c r="M1129" s="4">
        <v>108.142867</v>
      </c>
      <c r="N1129" s="13">
        <v>4.9800000000000004</v>
      </c>
      <c r="P1129"/>
      <c r="Q1129" s="12"/>
      <c r="R1129" s="12"/>
    </row>
    <row r="1130" spans="1:18" x14ac:dyDescent="0.2">
      <c r="A1130">
        <v>10</v>
      </c>
      <c r="B1130" t="s">
        <v>17</v>
      </c>
      <c r="C1130">
        <v>2017</v>
      </c>
      <c r="D1130">
        <v>1</v>
      </c>
      <c r="E1130" s="4">
        <v>0</v>
      </c>
      <c r="F1130" s="9">
        <v>0</v>
      </c>
      <c r="G1130" s="6">
        <v>1901</v>
      </c>
      <c r="H1130" s="9">
        <f t="shared" si="17"/>
        <v>0</v>
      </c>
      <c r="I1130" s="6">
        <v>13000</v>
      </c>
      <c r="J1130" s="6">
        <f>VLOOKUP(Table1[[#This Row],[Province]],[1]Sheet1!$A$3:$F$37,4,FALSE)</f>
        <v>1973000</v>
      </c>
      <c r="K1130">
        <v>0</v>
      </c>
      <c r="L1130" s="4">
        <v>3.9456509999999998</v>
      </c>
      <c r="M1130" s="4">
        <v>108.142867</v>
      </c>
      <c r="N1130" s="13">
        <v>1.98</v>
      </c>
      <c r="P1130"/>
      <c r="Q1130" s="12"/>
      <c r="R1130" s="12"/>
    </row>
    <row r="1131" spans="1:18" x14ac:dyDescent="0.2">
      <c r="A1131">
        <v>10</v>
      </c>
      <c r="B1131" t="s">
        <v>17</v>
      </c>
      <c r="C1131">
        <v>2017</v>
      </c>
      <c r="D1131">
        <v>2</v>
      </c>
      <c r="E1131" s="4">
        <v>0</v>
      </c>
      <c r="F1131" s="9">
        <v>0</v>
      </c>
      <c r="G1131" s="6">
        <v>1092</v>
      </c>
      <c r="H1131" s="9">
        <f t="shared" si="17"/>
        <v>0</v>
      </c>
      <c r="I1131" s="6">
        <v>12934</v>
      </c>
      <c r="J1131" s="6">
        <f>VLOOKUP(Table1[[#This Row],[Province]],[1]Sheet1!$A$3:$F$37,4,FALSE)</f>
        <v>1973000</v>
      </c>
      <c r="K1131">
        <v>0</v>
      </c>
      <c r="L1131" s="4">
        <v>3.9456509999999998</v>
      </c>
      <c r="M1131" s="4">
        <v>108.142867</v>
      </c>
      <c r="N1131" s="13">
        <v>1.98</v>
      </c>
      <c r="P1131"/>
      <c r="Q1131" s="12"/>
      <c r="R1131" s="12"/>
    </row>
    <row r="1132" spans="1:18" x14ac:dyDescent="0.2">
      <c r="A1132">
        <v>10</v>
      </c>
      <c r="B1132" t="s">
        <v>17</v>
      </c>
      <c r="C1132">
        <v>2017</v>
      </c>
      <c r="D1132">
        <v>3</v>
      </c>
      <c r="E1132" s="4">
        <v>0</v>
      </c>
      <c r="F1132" s="9">
        <v>0</v>
      </c>
      <c r="G1132" s="6">
        <v>853</v>
      </c>
      <c r="H1132" s="9">
        <f t="shared" si="17"/>
        <v>0</v>
      </c>
      <c r="I1132" s="6">
        <v>12705</v>
      </c>
      <c r="J1132" s="6">
        <f>VLOOKUP(Table1[[#This Row],[Province]],[1]Sheet1!$A$3:$F$37,4,FALSE)</f>
        <v>1973000</v>
      </c>
      <c r="K1132">
        <v>0</v>
      </c>
      <c r="L1132" s="4">
        <v>3.9456509999999998</v>
      </c>
      <c r="M1132" s="4">
        <v>108.142867</v>
      </c>
      <c r="N1132" s="13">
        <v>1.98</v>
      </c>
      <c r="P1132"/>
      <c r="Q1132" s="12"/>
      <c r="R1132" s="12"/>
    </row>
    <row r="1133" spans="1:18" x14ac:dyDescent="0.2">
      <c r="A1133">
        <v>10</v>
      </c>
      <c r="B1133" t="s">
        <v>17</v>
      </c>
      <c r="C1133">
        <v>2017</v>
      </c>
      <c r="D1133">
        <v>4</v>
      </c>
      <c r="E1133" s="4">
        <v>0</v>
      </c>
      <c r="F1133" s="9">
        <v>0</v>
      </c>
      <c r="G1133" s="6">
        <v>610</v>
      </c>
      <c r="H1133" s="9">
        <f t="shared" si="17"/>
        <v>0</v>
      </c>
      <c r="I1133" s="6">
        <v>12228</v>
      </c>
      <c r="J1133" s="6">
        <f>VLOOKUP(Table1[[#This Row],[Province]],[1]Sheet1!$A$3:$F$37,4,FALSE)</f>
        <v>1973000</v>
      </c>
      <c r="K1133">
        <v>0</v>
      </c>
      <c r="L1133" s="4">
        <v>3.9456509999999998</v>
      </c>
      <c r="M1133" s="4">
        <v>108.142867</v>
      </c>
      <c r="N1133" s="13">
        <v>1.98</v>
      </c>
      <c r="P1133"/>
      <c r="Q1133" s="12"/>
      <c r="R1133" s="12"/>
    </row>
    <row r="1134" spans="1:18" x14ac:dyDescent="0.2">
      <c r="A1134">
        <v>10</v>
      </c>
      <c r="B1134" t="s">
        <v>17</v>
      </c>
      <c r="C1134">
        <v>2017</v>
      </c>
      <c r="D1134">
        <v>5</v>
      </c>
      <c r="E1134" s="4">
        <v>0</v>
      </c>
      <c r="F1134" s="9">
        <v>0</v>
      </c>
      <c r="G1134" s="6">
        <v>587</v>
      </c>
      <c r="H1134" s="9">
        <f t="shared" si="17"/>
        <v>0</v>
      </c>
      <c r="I1134" s="6">
        <v>12313</v>
      </c>
      <c r="J1134" s="6">
        <f>VLOOKUP(Table1[[#This Row],[Province]],[1]Sheet1!$A$3:$F$37,4,FALSE)</f>
        <v>1973000</v>
      </c>
      <c r="K1134">
        <v>1</v>
      </c>
      <c r="L1134" s="4">
        <v>3.9456509999999998</v>
      </c>
      <c r="M1134" s="4">
        <v>108.142867</v>
      </c>
      <c r="N1134" s="13">
        <v>1.98</v>
      </c>
      <c r="P1134"/>
      <c r="Q1134" s="12"/>
      <c r="R1134" s="12"/>
    </row>
    <row r="1135" spans="1:18" x14ac:dyDescent="0.2">
      <c r="A1135">
        <v>10</v>
      </c>
      <c r="B1135" t="s">
        <v>17</v>
      </c>
      <c r="C1135">
        <v>2017</v>
      </c>
      <c r="D1135">
        <v>6</v>
      </c>
      <c r="E1135" s="4">
        <v>0</v>
      </c>
      <c r="F1135" s="9">
        <v>0</v>
      </c>
      <c r="G1135" s="6">
        <v>1086</v>
      </c>
      <c r="H1135" s="9">
        <f t="shared" si="17"/>
        <v>0</v>
      </c>
      <c r="I1135" s="6">
        <v>12500</v>
      </c>
      <c r="J1135" s="6">
        <f>VLOOKUP(Table1[[#This Row],[Province]],[1]Sheet1!$A$3:$F$37,4,FALSE)</f>
        <v>1973000</v>
      </c>
      <c r="K1135">
        <v>0</v>
      </c>
      <c r="L1135" s="4">
        <v>3.9456509999999998</v>
      </c>
      <c r="M1135" s="4">
        <v>108.142867</v>
      </c>
      <c r="N1135" s="13">
        <v>1.98</v>
      </c>
      <c r="P1135"/>
      <c r="Q1135" s="12"/>
      <c r="R1135" s="12"/>
    </row>
    <row r="1136" spans="1:18" x14ac:dyDescent="0.2">
      <c r="A1136">
        <v>10</v>
      </c>
      <c r="B1136" t="s">
        <v>17</v>
      </c>
      <c r="C1136">
        <v>2017</v>
      </c>
      <c r="D1136">
        <v>7</v>
      </c>
      <c r="E1136" s="4">
        <v>0</v>
      </c>
      <c r="F1136" s="9">
        <v>0</v>
      </c>
      <c r="G1136" s="6">
        <v>1209</v>
      </c>
      <c r="H1136" s="9">
        <f t="shared" si="17"/>
        <v>0</v>
      </c>
      <c r="I1136" s="6">
        <v>12500</v>
      </c>
      <c r="J1136" s="6">
        <f>VLOOKUP(Table1[[#This Row],[Province]],[1]Sheet1!$A$3:$F$37,4,FALSE)</f>
        <v>1973000</v>
      </c>
      <c r="K1136">
        <v>0</v>
      </c>
      <c r="L1136" s="4">
        <v>3.9456509999999998</v>
      </c>
      <c r="M1136" s="4">
        <v>108.142867</v>
      </c>
      <c r="N1136" s="13">
        <v>1.98</v>
      </c>
      <c r="P1136"/>
      <c r="Q1136" s="12"/>
      <c r="R1136" s="12"/>
    </row>
    <row r="1137" spans="1:18" x14ac:dyDescent="0.2">
      <c r="A1137">
        <v>10</v>
      </c>
      <c r="B1137" t="s">
        <v>17</v>
      </c>
      <c r="C1137">
        <v>2017</v>
      </c>
      <c r="D1137">
        <v>8</v>
      </c>
      <c r="E1137" s="4">
        <v>0</v>
      </c>
      <c r="F1137" s="9">
        <v>0</v>
      </c>
      <c r="G1137" s="6">
        <v>2318</v>
      </c>
      <c r="H1137" s="9">
        <f t="shared" si="17"/>
        <v>0</v>
      </c>
      <c r="I1137" s="6">
        <v>12500</v>
      </c>
      <c r="J1137" s="6">
        <f>VLOOKUP(Table1[[#This Row],[Province]],[1]Sheet1!$A$3:$F$37,4,FALSE)</f>
        <v>1973000</v>
      </c>
      <c r="K1137">
        <v>0</v>
      </c>
      <c r="L1137" s="4">
        <v>3.9456509999999998</v>
      </c>
      <c r="M1137" s="4">
        <v>108.142867</v>
      </c>
      <c r="N1137" s="13">
        <v>1.98</v>
      </c>
      <c r="P1137"/>
      <c r="Q1137" s="12"/>
      <c r="R1137" s="12"/>
    </row>
    <row r="1138" spans="1:18" x14ac:dyDescent="0.2">
      <c r="A1138">
        <v>10</v>
      </c>
      <c r="B1138" t="s">
        <v>17</v>
      </c>
      <c r="C1138">
        <v>2017</v>
      </c>
      <c r="D1138">
        <v>9</v>
      </c>
      <c r="E1138" s="4">
        <v>0</v>
      </c>
      <c r="F1138" s="9">
        <v>0</v>
      </c>
      <c r="G1138" s="6">
        <v>2246</v>
      </c>
      <c r="H1138" s="9">
        <f t="shared" si="17"/>
        <v>0</v>
      </c>
      <c r="I1138" s="6">
        <v>12056</v>
      </c>
      <c r="J1138" s="6">
        <f>VLOOKUP(Table1[[#This Row],[Province]],[1]Sheet1!$A$3:$F$37,4,FALSE)</f>
        <v>1973000</v>
      </c>
      <c r="K1138">
        <v>0</v>
      </c>
      <c r="L1138" s="4">
        <v>3.9456509999999998</v>
      </c>
      <c r="M1138" s="4">
        <v>108.142867</v>
      </c>
      <c r="N1138" s="13">
        <v>1.98</v>
      </c>
      <c r="P1138"/>
      <c r="Q1138" s="12"/>
      <c r="R1138" s="12"/>
    </row>
    <row r="1139" spans="1:18" x14ac:dyDescent="0.2">
      <c r="A1139">
        <v>10</v>
      </c>
      <c r="B1139" t="s">
        <v>17</v>
      </c>
      <c r="C1139">
        <v>2017</v>
      </c>
      <c r="D1139">
        <v>10</v>
      </c>
      <c r="E1139" s="4">
        <v>0</v>
      </c>
      <c r="F1139" s="9">
        <v>0</v>
      </c>
      <c r="G1139" s="6">
        <v>2916</v>
      </c>
      <c r="H1139" s="9">
        <f t="shared" si="17"/>
        <v>0</v>
      </c>
      <c r="I1139" s="6">
        <v>12000</v>
      </c>
      <c r="J1139" s="6">
        <f>VLOOKUP(Table1[[#This Row],[Province]],[1]Sheet1!$A$3:$F$37,4,FALSE)</f>
        <v>1973000</v>
      </c>
      <c r="K1139">
        <v>0</v>
      </c>
      <c r="L1139" s="4">
        <v>3.9456509999999998</v>
      </c>
      <c r="M1139" s="4">
        <v>108.142867</v>
      </c>
      <c r="N1139" s="13">
        <v>1.98</v>
      </c>
      <c r="P1139"/>
      <c r="Q1139" s="12"/>
      <c r="R1139" s="12"/>
    </row>
    <row r="1140" spans="1:18" x14ac:dyDescent="0.2">
      <c r="A1140">
        <v>10</v>
      </c>
      <c r="B1140" t="s">
        <v>17</v>
      </c>
      <c r="C1140">
        <v>2017</v>
      </c>
      <c r="D1140">
        <v>11</v>
      </c>
      <c r="E1140" s="4">
        <v>0</v>
      </c>
      <c r="F1140" s="9">
        <v>0</v>
      </c>
      <c r="G1140" s="6">
        <v>762</v>
      </c>
      <c r="H1140" s="9">
        <f t="shared" si="17"/>
        <v>0</v>
      </c>
      <c r="I1140" s="6">
        <v>12000</v>
      </c>
      <c r="J1140" s="6">
        <f>VLOOKUP(Table1[[#This Row],[Province]],[1]Sheet1!$A$3:$F$37,4,FALSE)</f>
        <v>1973000</v>
      </c>
      <c r="K1140">
        <v>0</v>
      </c>
      <c r="L1140" s="4">
        <v>3.9456509999999998</v>
      </c>
      <c r="M1140" s="4">
        <v>108.142867</v>
      </c>
      <c r="N1140" s="13">
        <v>1.98</v>
      </c>
      <c r="P1140"/>
      <c r="Q1140" s="12"/>
      <c r="R1140" s="12"/>
    </row>
    <row r="1141" spans="1:18" x14ac:dyDescent="0.2">
      <c r="A1141">
        <v>10</v>
      </c>
      <c r="B1141" t="s">
        <v>17</v>
      </c>
      <c r="C1141">
        <v>2017</v>
      </c>
      <c r="D1141">
        <v>12</v>
      </c>
      <c r="E1141" s="4">
        <v>0</v>
      </c>
      <c r="F1141" s="9">
        <v>0</v>
      </c>
      <c r="G1141" s="6">
        <v>1419</v>
      </c>
      <c r="H1141" s="9">
        <f t="shared" si="17"/>
        <v>0</v>
      </c>
      <c r="I1141" s="6">
        <v>12000</v>
      </c>
      <c r="J1141" s="6">
        <f>VLOOKUP(Table1[[#This Row],[Province]],[1]Sheet1!$A$3:$F$37,4,FALSE)</f>
        <v>1973000</v>
      </c>
      <c r="K1141">
        <v>1</v>
      </c>
      <c r="L1141" s="4">
        <v>3.9456509999999998</v>
      </c>
      <c r="M1141" s="4">
        <v>108.142867</v>
      </c>
      <c r="N1141" s="13">
        <v>1.98</v>
      </c>
      <c r="P1141"/>
      <c r="Q1141" s="12"/>
      <c r="R1141" s="12"/>
    </row>
    <row r="1142" spans="1:18" x14ac:dyDescent="0.2">
      <c r="A1142">
        <v>10</v>
      </c>
      <c r="B1142" t="s">
        <v>17</v>
      </c>
      <c r="C1142">
        <v>2018</v>
      </c>
      <c r="D1142">
        <v>1</v>
      </c>
      <c r="E1142" s="4">
        <v>0</v>
      </c>
      <c r="F1142" s="9">
        <v>0</v>
      </c>
      <c r="G1142" s="6">
        <v>1245</v>
      </c>
      <c r="H1142" s="9">
        <f t="shared" si="17"/>
        <v>0</v>
      </c>
      <c r="I1142" s="6">
        <v>11363</v>
      </c>
      <c r="J1142" s="6">
        <f>VLOOKUP(Table1[[#This Row],[Province]],[1]Sheet1!$A$3:$F$37,4,FALSE)</f>
        <v>1973000</v>
      </c>
      <c r="K1142">
        <v>0</v>
      </c>
      <c r="L1142" s="4">
        <v>3.9456509999999998</v>
      </c>
      <c r="M1142" s="4">
        <v>108.142867</v>
      </c>
      <c r="N1142" s="13">
        <v>4.47</v>
      </c>
      <c r="P1142"/>
      <c r="Q1142" s="12"/>
      <c r="R1142" s="12"/>
    </row>
    <row r="1143" spans="1:18" x14ac:dyDescent="0.2">
      <c r="A1143">
        <v>10</v>
      </c>
      <c r="B1143" t="s">
        <v>17</v>
      </c>
      <c r="C1143">
        <v>2018</v>
      </c>
      <c r="D1143">
        <v>2</v>
      </c>
      <c r="E1143" s="4">
        <v>0</v>
      </c>
      <c r="F1143" s="9">
        <v>0</v>
      </c>
      <c r="G1143" s="6">
        <v>2687</v>
      </c>
      <c r="H1143" s="9">
        <f t="shared" si="17"/>
        <v>0</v>
      </c>
      <c r="I1143" s="6">
        <v>11199</v>
      </c>
      <c r="J1143" s="6">
        <f>VLOOKUP(Table1[[#This Row],[Province]],[1]Sheet1!$A$3:$F$37,4,FALSE)</f>
        <v>1973000</v>
      </c>
      <c r="K1143">
        <v>0</v>
      </c>
      <c r="L1143" s="4">
        <v>3.9456509999999998</v>
      </c>
      <c r="M1143" s="4">
        <v>108.142867</v>
      </c>
      <c r="N1143" s="13">
        <v>4.47</v>
      </c>
      <c r="P1143"/>
      <c r="Q1143" s="12"/>
      <c r="R1143" s="12"/>
    </row>
    <row r="1144" spans="1:18" x14ac:dyDescent="0.2">
      <c r="A1144">
        <v>10</v>
      </c>
      <c r="B1144" t="s">
        <v>17</v>
      </c>
      <c r="C1144">
        <v>2018</v>
      </c>
      <c r="D1144">
        <v>3</v>
      </c>
      <c r="E1144" s="4">
        <v>0</v>
      </c>
      <c r="F1144" s="9">
        <v>0</v>
      </c>
      <c r="G1144" s="6">
        <v>1285</v>
      </c>
      <c r="H1144" s="9">
        <f t="shared" si="17"/>
        <v>0</v>
      </c>
      <c r="I1144" s="6">
        <v>11152</v>
      </c>
      <c r="J1144" s="6">
        <f>VLOOKUP(Table1[[#This Row],[Province]],[1]Sheet1!$A$3:$F$37,4,FALSE)</f>
        <v>1973000</v>
      </c>
      <c r="K1144">
        <v>0</v>
      </c>
      <c r="L1144" s="4">
        <v>3.9456509999999998</v>
      </c>
      <c r="M1144" s="4">
        <v>108.142867</v>
      </c>
      <c r="N1144" s="13">
        <v>4.47</v>
      </c>
      <c r="P1144"/>
      <c r="Q1144" s="12"/>
      <c r="R1144" s="12"/>
    </row>
    <row r="1145" spans="1:18" x14ac:dyDescent="0.2">
      <c r="A1145">
        <v>10</v>
      </c>
      <c r="B1145" t="s">
        <v>17</v>
      </c>
      <c r="C1145">
        <v>2018</v>
      </c>
      <c r="D1145">
        <v>4</v>
      </c>
      <c r="E1145" s="4">
        <v>0</v>
      </c>
      <c r="F1145" s="9">
        <v>0</v>
      </c>
      <c r="G1145" s="6">
        <v>2434</v>
      </c>
      <c r="H1145" s="9">
        <f t="shared" si="17"/>
        <v>0</v>
      </c>
      <c r="I1145" s="6">
        <v>11367</v>
      </c>
      <c r="J1145" s="6">
        <f>VLOOKUP(Table1[[#This Row],[Province]],[1]Sheet1!$A$3:$F$37,4,FALSE)</f>
        <v>1973000</v>
      </c>
      <c r="K1145">
        <v>0</v>
      </c>
      <c r="L1145" s="4">
        <v>3.9456509999999998</v>
      </c>
      <c r="M1145" s="4">
        <v>108.142867</v>
      </c>
      <c r="N1145" s="13">
        <v>4.47</v>
      </c>
      <c r="P1145"/>
      <c r="Q1145" s="12"/>
      <c r="R1145" s="12"/>
    </row>
    <row r="1146" spans="1:18" x14ac:dyDescent="0.2">
      <c r="A1146">
        <v>10</v>
      </c>
      <c r="B1146" t="s">
        <v>17</v>
      </c>
      <c r="C1146">
        <v>2018</v>
      </c>
      <c r="D1146">
        <v>5</v>
      </c>
      <c r="E1146" s="4">
        <v>0</v>
      </c>
      <c r="F1146" s="9">
        <v>0</v>
      </c>
      <c r="G1146" s="6">
        <v>1757</v>
      </c>
      <c r="H1146" s="9">
        <f t="shared" si="17"/>
        <v>0</v>
      </c>
      <c r="I1146" s="6">
        <v>12063</v>
      </c>
      <c r="J1146" s="6">
        <f>VLOOKUP(Table1[[#This Row],[Province]],[1]Sheet1!$A$3:$F$37,4,FALSE)</f>
        <v>1973000</v>
      </c>
      <c r="K1146">
        <v>1</v>
      </c>
      <c r="L1146" s="4">
        <v>3.9456509999999998</v>
      </c>
      <c r="M1146" s="4">
        <v>108.142867</v>
      </c>
      <c r="N1146" s="13">
        <v>4.47</v>
      </c>
      <c r="P1146"/>
      <c r="Q1146" s="12"/>
      <c r="R1146" s="12"/>
    </row>
    <row r="1147" spans="1:18" x14ac:dyDescent="0.2">
      <c r="A1147">
        <v>10</v>
      </c>
      <c r="B1147" t="s">
        <v>17</v>
      </c>
      <c r="C1147">
        <v>2018</v>
      </c>
      <c r="D1147">
        <v>6</v>
      </c>
      <c r="E1147" s="4">
        <v>0</v>
      </c>
      <c r="F1147" s="9">
        <v>0</v>
      </c>
      <c r="G1147" s="6">
        <v>1040</v>
      </c>
      <c r="H1147" s="9">
        <f t="shared" si="17"/>
        <v>0</v>
      </c>
      <c r="I1147" s="6">
        <v>12000</v>
      </c>
      <c r="J1147" s="6">
        <f>VLOOKUP(Table1[[#This Row],[Province]],[1]Sheet1!$A$3:$F$37,4,FALSE)</f>
        <v>1973000</v>
      </c>
      <c r="K1147">
        <v>0</v>
      </c>
      <c r="L1147" s="4">
        <v>3.9456509999999998</v>
      </c>
      <c r="M1147" s="4">
        <v>108.142867</v>
      </c>
      <c r="N1147" s="13">
        <v>4.47</v>
      </c>
      <c r="P1147"/>
      <c r="Q1147" s="12"/>
      <c r="R1147" s="12"/>
    </row>
    <row r="1148" spans="1:18" x14ac:dyDescent="0.2">
      <c r="A1148">
        <v>10</v>
      </c>
      <c r="B1148" t="s">
        <v>17</v>
      </c>
      <c r="C1148">
        <v>2018</v>
      </c>
      <c r="D1148">
        <v>7</v>
      </c>
      <c r="E1148" s="4">
        <v>0</v>
      </c>
      <c r="F1148" s="9">
        <v>0</v>
      </c>
      <c r="G1148" s="6">
        <v>907</v>
      </c>
      <c r="H1148" s="9">
        <f t="shared" si="17"/>
        <v>0</v>
      </c>
      <c r="I1148" s="6">
        <v>12000</v>
      </c>
      <c r="J1148" s="6">
        <f>VLOOKUP(Table1[[#This Row],[Province]],[1]Sheet1!$A$3:$F$37,4,FALSE)</f>
        <v>1973000</v>
      </c>
      <c r="K1148">
        <v>0</v>
      </c>
      <c r="L1148" s="4">
        <v>3.9456509999999998</v>
      </c>
      <c r="M1148" s="4">
        <v>108.142867</v>
      </c>
      <c r="N1148" s="13">
        <v>4.47</v>
      </c>
      <c r="P1148"/>
      <c r="Q1148" s="12"/>
      <c r="R1148" s="12"/>
    </row>
    <row r="1149" spans="1:18" x14ac:dyDescent="0.2">
      <c r="A1149">
        <v>10</v>
      </c>
      <c r="B1149" t="s">
        <v>17</v>
      </c>
      <c r="C1149">
        <v>2018</v>
      </c>
      <c r="D1149">
        <v>8</v>
      </c>
      <c r="E1149" s="4">
        <v>0</v>
      </c>
      <c r="F1149" s="9">
        <v>0</v>
      </c>
      <c r="G1149" s="6">
        <v>574</v>
      </c>
      <c r="H1149" s="9">
        <f t="shared" si="17"/>
        <v>0</v>
      </c>
      <c r="I1149" s="6">
        <v>12000</v>
      </c>
      <c r="J1149" s="6">
        <f>VLOOKUP(Table1[[#This Row],[Province]],[1]Sheet1!$A$3:$F$37,4,FALSE)</f>
        <v>1973000</v>
      </c>
      <c r="K1149">
        <v>0</v>
      </c>
      <c r="L1149" s="4">
        <v>3.9456509999999998</v>
      </c>
      <c r="M1149" s="4">
        <v>108.142867</v>
      </c>
      <c r="N1149" s="13">
        <v>4.47</v>
      </c>
      <c r="P1149"/>
      <c r="Q1149" s="12"/>
      <c r="R1149" s="12"/>
    </row>
    <row r="1150" spans="1:18" x14ac:dyDescent="0.2">
      <c r="A1150">
        <v>10</v>
      </c>
      <c r="B1150" t="s">
        <v>17</v>
      </c>
      <c r="C1150">
        <v>2018</v>
      </c>
      <c r="D1150">
        <v>9</v>
      </c>
      <c r="E1150" s="4">
        <v>0</v>
      </c>
      <c r="F1150" s="9">
        <v>0</v>
      </c>
      <c r="G1150" s="6">
        <v>178</v>
      </c>
      <c r="H1150" s="9">
        <f t="shared" si="17"/>
        <v>0</v>
      </c>
      <c r="I1150" s="6">
        <v>12000</v>
      </c>
      <c r="J1150" s="6">
        <f>VLOOKUP(Table1[[#This Row],[Province]],[1]Sheet1!$A$3:$F$37,4,FALSE)</f>
        <v>1973000</v>
      </c>
      <c r="K1150">
        <v>0</v>
      </c>
      <c r="L1150" s="4">
        <v>3.9456509999999998</v>
      </c>
      <c r="M1150" s="4">
        <v>108.142867</v>
      </c>
      <c r="N1150" s="13">
        <v>4.47</v>
      </c>
      <c r="P1150"/>
      <c r="Q1150" s="12"/>
      <c r="R1150" s="12"/>
    </row>
    <row r="1151" spans="1:18" x14ac:dyDescent="0.2">
      <c r="A1151">
        <v>10</v>
      </c>
      <c r="B1151" t="s">
        <v>17</v>
      </c>
      <c r="C1151">
        <v>2018</v>
      </c>
      <c r="D1151">
        <v>10</v>
      </c>
      <c r="E1151" s="4">
        <v>0</v>
      </c>
      <c r="F1151" s="9">
        <v>0</v>
      </c>
      <c r="G1151" s="6">
        <v>1198</v>
      </c>
      <c r="H1151" s="9">
        <f t="shared" si="17"/>
        <v>0</v>
      </c>
      <c r="I1151" s="6">
        <v>12000</v>
      </c>
      <c r="J1151" s="6">
        <f>VLOOKUP(Table1[[#This Row],[Province]],[1]Sheet1!$A$3:$F$37,4,FALSE)</f>
        <v>1973000</v>
      </c>
      <c r="K1151">
        <v>0</v>
      </c>
      <c r="L1151" s="4">
        <v>3.9456509999999998</v>
      </c>
      <c r="M1151" s="4">
        <v>108.142867</v>
      </c>
      <c r="N1151" s="13">
        <v>4.47</v>
      </c>
      <c r="P1151"/>
      <c r="Q1151" s="12"/>
      <c r="R1151" s="12"/>
    </row>
    <row r="1152" spans="1:18" x14ac:dyDescent="0.2">
      <c r="A1152">
        <v>10</v>
      </c>
      <c r="B1152" t="s">
        <v>17</v>
      </c>
      <c r="C1152">
        <v>2018</v>
      </c>
      <c r="D1152">
        <v>11</v>
      </c>
      <c r="E1152" s="4">
        <v>0</v>
      </c>
      <c r="F1152" s="9">
        <v>0</v>
      </c>
      <c r="G1152" s="6">
        <v>266</v>
      </c>
      <c r="H1152" s="9">
        <f t="shared" si="17"/>
        <v>0</v>
      </c>
      <c r="I1152" s="6">
        <v>11708</v>
      </c>
      <c r="J1152" s="6">
        <f>VLOOKUP(Table1[[#This Row],[Province]],[1]Sheet1!$A$3:$F$37,4,FALSE)</f>
        <v>1973000</v>
      </c>
      <c r="K1152">
        <v>0</v>
      </c>
      <c r="L1152" s="4">
        <v>3.9456509999999998</v>
      </c>
      <c r="M1152" s="4">
        <v>108.142867</v>
      </c>
      <c r="N1152" s="13">
        <v>4.47</v>
      </c>
      <c r="P1152"/>
      <c r="Q1152" s="12"/>
      <c r="R1152" s="12"/>
    </row>
    <row r="1153" spans="1:18" x14ac:dyDescent="0.2">
      <c r="A1153">
        <v>10</v>
      </c>
      <c r="B1153" t="s">
        <v>17</v>
      </c>
      <c r="C1153">
        <v>2018</v>
      </c>
      <c r="D1153">
        <v>12</v>
      </c>
      <c r="E1153" s="4">
        <v>0</v>
      </c>
      <c r="F1153" s="9">
        <v>0</v>
      </c>
      <c r="G1153" s="6">
        <v>530</v>
      </c>
      <c r="H1153" s="9">
        <f t="shared" si="17"/>
        <v>0</v>
      </c>
      <c r="I1153" s="6">
        <v>11570</v>
      </c>
      <c r="J1153" s="6">
        <f>VLOOKUP(Table1[[#This Row],[Province]],[1]Sheet1!$A$3:$F$37,4,FALSE)</f>
        <v>1973000</v>
      </c>
      <c r="K1153">
        <v>1</v>
      </c>
      <c r="L1153" s="4">
        <v>3.9456509999999998</v>
      </c>
      <c r="M1153" s="4">
        <v>108.142867</v>
      </c>
      <c r="N1153" s="13">
        <v>4.47</v>
      </c>
      <c r="P1153"/>
      <c r="Q1153" s="12"/>
      <c r="R1153" s="12"/>
    </row>
    <row r="1154" spans="1:18" x14ac:dyDescent="0.2">
      <c r="A1154">
        <v>10</v>
      </c>
      <c r="B1154" t="s">
        <v>17</v>
      </c>
      <c r="C1154">
        <v>2019</v>
      </c>
      <c r="D1154">
        <v>1</v>
      </c>
      <c r="E1154" s="4">
        <v>0</v>
      </c>
      <c r="F1154" s="9">
        <v>0</v>
      </c>
      <c r="G1154" s="6">
        <v>1659</v>
      </c>
      <c r="H1154" s="9">
        <f t="shared" ref="H1154:H1217" si="18">F1154+E1154</f>
        <v>0</v>
      </c>
      <c r="I1154" s="6">
        <v>11126</v>
      </c>
      <c r="J1154" s="6">
        <f>VLOOKUP(Table1[[#This Row],[Province]],[1]Sheet1!$A$3:$F$37,4,FALSE)</f>
        <v>1973000</v>
      </c>
      <c r="K1154">
        <v>0</v>
      </c>
      <c r="L1154" s="4">
        <v>3.9456509999999998</v>
      </c>
      <c r="M1154" s="4">
        <v>108.142867</v>
      </c>
      <c r="N1154" s="13">
        <v>4.83</v>
      </c>
      <c r="P1154"/>
      <c r="Q1154" s="12"/>
      <c r="R1154" s="12"/>
    </row>
    <row r="1155" spans="1:18" x14ac:dyDescent="0.2">
      <c r="A1155">
        <v>10</v>
      </c>
      <c r="B1155" t="s">
        <v>17</v>
      </c>
      <c r="C1155">
        <v>2019</v>
      </c>
      <c r="D1155">
        <v>2</v>
      </c>
      <c r="E1155" s="4">
        <v>0</v>
      </c>
      <c r="F1155" s="9">
        <v>0</v>
      </c>
      <c r="G1155" s="6">
        <v>871</v>
      </c>
      <c r="H1155" s="9">
        <f t="shared" si="18"/>
        <v>0</v>
      </c>
      <c r="I1155" s="6">
        <v>11000</v>
      </c>
      <c r="J1155" s="6">
        <f>VLOOKUP(Table1[[#This Row],[Province]],[1]Sheet1!$A$3:$F$37,4,FALSE)</f>
        <v>1973000</v>
      </c>
      <c r="K1155">
        <v>0</v>
      </c>
      <c r="L1155" s="4">
        <v>3.9456509999999998</v>
      </c>
      <c r="M1155" s="4">
        <v>108.142867</v>
      </c>
      <c r="N1155" s="13">
        <v>4.83</v>
      </c>
      <c r="P1155"/>
      <c r="Q1155" s="12"/>
      <c r="R1155" s="12"/>
    </row>
    <row r="1156" spans="1:18" x14ac:dyDescent="0.2">
      <c r="A1156">
        <v>10</v>
      </c>
      <c r="B1156" t="s">
        <v>17</v>
      </c>
      <c r="C1156">
        <v>2019</v>
      </c>
      <c r="D1156">
        <v>3</v>
      </c>
      <c r="E1156" s="4">
        <v>0</v>
      </c>
      <c r="F1156" s="9">
        <v>0</v>
      </c>
      <c r="G1156" s="6">
        <v>2894</v>
      </c>
      <c r="H1156" s="9">
        <f t="shared" si="18"/>
        <v>0</v>
      </c>
      <c r="I1156" s="6">
        <v>11116</v>
      </c>
      <c r="J1156" s="6">
        <f>VLOOKUP(Table1[[#This Row],[Province]],[1]Sheet1!$A$3:$F$37,4,FALSE)</f>
        <v>1973000</v>
      </c>
      <c r="K1156">
        <v>0</v>
      </c>
      <c r="L1156" s="4">
        <v>3.9456509999999998</v>
      </c>
      <c r="M1156" s="4">
        <v>108.142867</v>
      </c>
      <c r="N1156" s="13">
        <v>4.83</v>
      </c>
      <c r="P1156"/>
      <c r="Q1156" s="12"/>
      <c r="R1156" s="12"/>
    </row>
    <row r="1157" spans="1:18" x14ac:dyDescent="0.2">
      <c r="A1157">
        <v>10</v>
      </c>
      <c r="B1157" t="s">
        <v>17</v>
      </c>
      <c r="C1157">
        <v>2019</v>
      </c>
      <c r="D1157">
        <v>4</v>
      </c>
      <c r="E1157" s="4">
        <v>0</v>
      </c>
      <c r="F1157" s="9">
        <v>0</v>
      </c>
      <c r="G1157" s="6">
        <v>1610</v>
      </c>
      <c r="H1157" s="9">
        <f t="shared" si="18"/>
        <v>0</v>
      </c>
      <c r="I1157" s="6">
        <v>11705</v>
      </c>
      <c r="J1157" s="6">
        <f>VLOOKUP(Table1[[#This Row],[Province]],[1]Sheet1!$A$3:$F$37,4,FALSE)</f>
        <v>1973000</v>
      </c>
      <c r="K1157">
        <v>0</v>
      </c>
      <c r="L1157" s="4">
        <v>3.9456509999999998</v>
      </c>
      <c r="M1157" s="4">
        <v>108.142867</v>
      </c>
      <c r="N1157" s="13">
        <v>4.83</v>
      </c>
      <c r="P1157"/>
      <c r="Q1157" s="12"/>
      <c r="R1157" s="12"/>
    </row>
    <row r="1158" spans="1:18" x14ac:dyDescent="0.2">
      <c r="A1158">
        <v>10</v>
      </c>
      <c r="B1158" t="s">
        <v>17</v>
      </c>
      <c r="C1158">
        <v>2019</v>
      </c>
      <c r="D1158">
        <v>5</v>
      </c>
      <c r="E1158" s="4">
        <v>0</v>
      </c>
      <c r="F1158" s="9">
        <v>0</v>
      </c>
      <c r="G1158" s="6">
        <v>2228</v>
      </c>
      <c r="H1158" s="9">
        <f t="shared" si="18"/>
        <v>0</v>
      </c>
      <c r="I1158" s="6">
        <v>12503</v>
      </c>
      <c r="J1158" s="6">
        <f>VLOOKUP(Table1[[#This Row],[Province]],[1]Sheet1!$A$3:$F$37,4,FALSE)</f>
        <v>1973000</v>
      </c>
      <c r="K1158">
        <v>1</v>
      </c>
      <c r="L1158" s="4">
        <v>3.9456509999999998</v>
      </c>
      <c r="M1158" s="4">
        <v>108.142867</v>
      </c>
      <c r="N1158" s="13">
        <v>4.83</v>
      </c>
      <c r="P1158"/>
      <c r="Q1158" s="12"/>
      <c r="R1158" s="12"/>
    </row>
    <row r="1159" spans="1:18" x14ac:dyDescent="0.2">
      <c r="A1159">
        <v>10</v>
      </c>
      <c r="B1159" t="s">
        <v>17</v>
      </c>
      <c r="C1159">
        <v>2019</v>
      </c>
      <c r="D1159">
        <v>6</v>
      </c>
      <c r="E1159" s="4">
        <v>0</v>
      </c>
      <c r="F1159" s="9">
        <v>0</v>
      </c>
      <c r="G1159" s="6">
        <v>2894</v>
      </c>
      <c r="H1159" s="9">
        <f t="shared" si="18"/>
        <v>0</v>
      </c>
      <c r="I1159" s="6">
        <v>12904</v>
      </c>
      <c r="J1159" s="6">
        <f>VLOOKUP(Table1[[#This Row],[Province]],[1]Sheet1!$A$3:$F$37,4,FALSE)</f>
        <v>1973000</v>
      </c>
      <c r="K1159">
        <v>0</v>
      </c>
      <c r="L1159" s="4">
        <v>3.9456509999999998</v>
      </c>
      <c r="M1159" s="4">
        <v>108.142867</v>
      </c>
      <c r="N1159" s="13">
        <v>4.83</v>
      </c>
      <c r="P1159"/>
      <c r="Q1159" s="12"/>
      <c r="R1159" s="12"/>
    </row>
    <row r="1160" spans="1:18" x14ac:dyDescent="0.2">
      <c r="A1160">
        <v>10</v>
      </c>
      <c r="B1160" t="s">
        <v>17</v>
      </c>
      <c r="C1160">
        <v>2019</v>
      </c>
      <c r="D1160">
        <v>7</v>
      </c>
      <c r="E1160" s="4">
        <v>0</v>
      </c>
      <c r="F1160" s="9">
        <v>0</v>
      </c>
      <c r="G1160" s="6">
        <v>2375</v>
      </c>
      <c r="H1160" s="9">
        <f t="shared" si="18"/>
        <v>0</v>
      </c>
      <c r="I1160" s="6">
        <v>12500</v>
      </c>
      <c r="J1160" s="6">
        <f>VLOOKUP(Table1[[#This Row],[Province]],[1]Sheet1!$A$3:$F$37,4,FALSE)</f>
        <v>1973000</v>
      </c>
      <c r="K1160">
        <v>0</v>
      </c>
      <c r="L1160" s="4">
        <v>3.9456509999999998</v>
      </c>
      <c r="M1160" s="4">
        <v>108.142867</v>
      </c>
      <c r="N1160" s="13">
        <v>4.83</v>
      </c>
      <c r="P1160"/>
      <c r="Q1160" s="12"/>
      <c r="R1160" s="12"/>
    </row>
    <row r="1161" spans="1:18" x14ac:dyDescent="0.2">
      <c r="A1161">
        <v>10</v>
      </c>
      <c r="B1161" t="s">
        <v>17</v>
      </c>
      <c r="C1161">
        <v>2019</v>
      </c>
      <c r="D1161">
        <v>8</v>
      </c>
      <c r="E1161" s="4">
        <v>0</v>
      </c>
      <c r="F1161" s="9">
        <v>0</v>
      </c>
      <c r="G1161" s="6">
        <v>2620</v>
      </c>
      <c r="H1161" s="9">
        <f t="shared" si="18"/>
        <v>0</v>
      </c>
      <c r="I1161" s="6">
        <v>12500</v>
      </c>
      <c r="J1161" s="6">
        <f>VLOOKUP(Table1[[#This Row],[Province]],[1]Sheet1!$A$3:$F$37,4,FALSE)</f>
        <v>1973000</v>
      </c>
      <c r="K1161">
        <v>0</v>
      </c>
      <c r="L1161" s="4">
        <v>3.9456509999999998</v>
      </c>
      <c r="M1161" s="4">
        <v>108.142867</v>
      </c>
      <c r="N1161" s="13">
        <v>4.83</v>
      </c>
      <c r="P1161"/>
      <c r="Q1161" s="12"/>
      <c r="R1161" s="12"/>
    </row>
    <row r="1162" spans="1:18" x14ac:dyDescent="0.2">
      <c r="A1162">
        <v>10</v>
      </c>
      <c r="B1162" t="s">
        <v>17</v>
      </c>
      <c r="C1162">
        <v>2019</v>
      </c>
      <c r="D1162">
        <v>9</v>
      </c>
      <c r="E1162" s="4">
        <v>0</v>
      </c>
      <c r="F1162" s="9">
        <v>0</v>
      </c>
      <c r="G1162" s="6">
        <v>2442</v>
      </c>
      <c r="H1162" s="9">
        <f t="shared" si="18"/>
        <v>0</v>
      </c>
      <c r="I1162" s="6">
        <v>12500</v>
      </c>
      <c r="J1162" s="6">
        <f>VLOOKUP(Table1[[#This Row],[Province]],[1]Sheet1!$A$3:$F$37,4,FALSE)</f>
        <v>1973000</v>
      </c>
      <c r="K1162">
        <v>0</v>
      </c>
      <c r="L1162" s="4">
        <v>3.9456509999999998</v>
      </c>
      <c r="M1162" s="4">
        <v>108.142867</v>
      </c>
      <c r="N1162" s="13">
        <v>4.83</v>
      </c>
      <c r="P1162"/>
      <c r="Q1162" s="12"/>
      <c r="R1162" s="12"/>
    </row>
    <row r="1163" spans="1:18" x14ac:dyDescent="0.2">
      <c r="A1163">
        <v>10</v>
      </c>
      <c r="B1163" t="s">
        <v>17</v>
      </c>
      <c r="C1163">
        <v>2019</v>
      </c>
      <c r="D1163">
        <v>10</v>
      </c>
      <c r="E1163" s="4">
        <v>0</v>
      </c>
      <c r="F1163" s="9">
        <v>0</v>
      </c>
      <c r="G1163" s="6">
        <v>2702</v>
      </c>
      <c r="H1163" s="9">
        <f t="shared" si="18"/>
        <v>0</v>
      </c>
      <c r="I1163" s="6">
        <v>12500</v>
      </c>
      <c r="J1163" s="6">
        <f>VLOOKUP(Table1[[#This Row],[Province]],[1]Sheet1!$A$3:$F$37,4,FALSE)</f>
        <v>1973000</v>
      </c>
      <c r="K1163">
        <v>0</v>
      </c>
      <c r="L1163" s="4">
        <v>3.9456509999999998</v>
      </c>
      <c r="M1163" s="4">
        <v>108.142867</v>
      </c>
      <c r="N1163" s="13">
        <v>4.83</v>
      </c>
      <c r="P1163"/>
      <c r="Q1163" s="12"/>
      <c r="R1163" s="12"/>
    </row>
    <row r="1164" spans="1:18" x14ac:dyDescent="0.2">
      <c r="A1164">
        <v>10</v>
      </c>
      <c r="B1164" t="s">
        <v>17</v>
      </c>
      <c r="C1164">
        <v>2019</v>
      </c>
      <c r="D1164">
        <v>11</v>
      </c>
      <c r="E1164" s="4">
        <v>0</v>
      </c>
      <c r="F1164" s="9">
        <v>0</v>
      </c>
      <c r="G1164" s="6">
        <v>1761</v>
      </c>
      <c r="H1164" s="9">
        <f t="shared" si="18"/>
        <v>0</v>
      </c>
      <c r="I1164" s="6">
        <v>12928</v>
      </c>
      <c r="J1164" s="6">
        <f>VLOOKUP(Table1[[#This Row],[Province]],[1]Sheet1!$A$3:$F$37,4,FALSE)</f>
        <v>1973000</v>
      </c>
      <c r="K1164">
        <v>0</v>
      </c>
      <c r="L1164" s="4">
        <v>3.9456509999999998</v>
      </c>
      <c r="M1164" s="4">
        <v>108.142867</v>
      </c>
      <c r="N1164" s="13">
        <v>4.83</v>
      </c>
      <c r="P1164"/>
      <c r="Q1164" s="12"/>
      <c r="R1164" s="12"/>
    </row>
    <row r="1165" spans="1:18" x14ac:dyDescent="0.2">
      <c r="A1165">
        <v>10</v>
      </c>
      <c r="B1165" t="s">
        <v>17</v>
      </c>
      <c r="C1165">
        <v>2019</v>
      </c>
      <c r="D1165">
        <v>12</v>
      </c>
      <c r="E1165" s="4">
        <v>0</v>
      </c>
      <c r="F1165" s="9">
        <v>0</v>
      </c>
      <c r="G1165" s="6">
        <v>2448</v>
      </c>
      <c r="H1165" s="9">
        <f t="shared" si="18"/>
        <v>0</v>
      </c>
      <c r="I1165" s="6">
        <v>13000</v>
      </c>
      <c r="J1165" s="6">
        <f>VLOOKUP(Table1[[#This Row],[Province]],[1]Sheet1!$A$3:$F$37,4,FALSE)</f>
        <v>1973000</v>
      </c>
      <c r="K1165">
        <v>1</v>
      </c>
      <c r="L1165" s="4">
        <v>3.9456509999999998</v>
      </c>
      <c r="M1165" s="4">
        <v>108.142867</v>
      </c>
      <c r="N1165" s="13">
        <v>4.83</v>
      </c>
      <c r="P1165"/>
      <c r="Q1165" s="12"/>
      <c r="R1165" s="12"/>
    </row>
    <row r="1166" spans="1:18" x14ac:dyDescent="0.2">
      <c r="A1166">
        <v>10</v>
      </c>
      <c r="B1166" t="s">
        <v>17</v>
      </c>
      <c r="C1166">
        <v>2020</v>
      </c>
      <c r="D1166">
        <v>1</v>
      </c>
      <c r="E1166" s="4">
        <v>0</v>
      </c>
      <c r="F1166" s="9">
        <v>0</v>
      </c>
      <c r="G1166" s="6">
        <v>1823</v>
      </c>
      <c r="H1166" s="9">
        <f t="shared" si="18"/>
        <v>0</v>
      </c>
      <c r="I1166" s="6">
        <v>13000</v>
      </c>
      <c r="J1166" s="6">
        <f>VLOOKUP(Table1[[#This Row],[Province]],[1]Sheet1!$A$3:$F$37,4,FALSE)</f>
        <v>1973000</v>
      </c>
      <c r="K1166">
        <v>0</v>
      </c>
      <c r="L1166" s="4">
        <v>3.9456509999999998</v>
      </c>
      <c r="M1166" s="4">
        <v>108.142867</v>
      </c>
      <c r="N1166" s="13">
        <v>-3.8</v>
      </c>
      <c r="P1166"/>
      <c r="Q1166" s="12"/>
      <c r="R1166" s="12"/>
    </row>
    <row r="1167" spans="1:18" x14ac:dyDescent="0.2">
      <c r="A1167">
        <v>10</v>
      </c>
      <c r="B1167" t="s">
        <v>17</v>
      </c>
      <c r="C1167">
        <v>2020</v>
      </c>
      <c r="D1167">
        <v>2</v>
      </c>
      <c r="E1167" s="4">
        <v>0</v>
      </c>
      <c r="F1167" s="9">
        <v>0</v>
      </c>
      <c r="G1167" s="6">
        <v>2140</v>
      </c>
      <c r="H1167" s="9">
        <f t="shared" si="18"/>
        <v>0</v>
      </c>
      <c r="I1167" s="6">
        <v>13000</v>
      </c>
      <c r="J1167" s="6">
        <f>VLOOKUP(Table1[[#This Row],[Province]],[1]Sheet1!$A$3:$F$37,4,FALSE)</f>
        <v>1973000</v>
      </c>
      <c r="K1167">
        <v>0</v>
      </c>
      <c r="L1167" s="4">
        <v>3.9456509999999998</v>
      </c>
      <c r="M1167" s="4">
        <v>108.142867</v>
      </c>
      <c r="N1167" s="13">
        <v>-3.8</v>
      </c>
      <c r="P1167"/>
      <c r="Q1167" s="12"/>
      <c r="R1167" s="12"/>
    </row>
    <row r="1168" spans="1:18" x14ac:dyDescent="0.2">
      <c r="A1168">
        <v>10</v>
      </c>
      <c r="B1168" t="s">
        <v>17</v>
      </c>
      <c r="C1168">
        <v>2020</v>
      </c>
      <c r="D1168">
        <v>3</v>
      </c>
      <c r="E1168" s="4">
        <v>0</v>
      </c>
      <c r="F1168" s="9">
        <v>0</v>
      </c>
      <c r="G1168" s="6">
        <v>1742</v>
      </c>
      <c r="H1168" s="9">
        <f t="shared" si="18"/>
        <v>0</v>
      </c>
      <c r="I1168" s="6">
        <v>12587</v>
      </c>
      <c r="J1168" s="6">
        <f>VLOOKUP(Table1[[#This Row],[Province]],[1]Sheet1!$A$3:$F$37,4,FALSE)</f>
        <v>1973000</v>
      </c>
      <c r="K1168">
        <v>0</v>
      </c>
      <c r="L1168" s="4">
        <v>3.9456509999999998</v>
      </c>
      <c r="M1168" s="4">
        <v>108.142867</v>
      </c>
      <c r="N1168" s="13">
        <v>-3.8</v>
      </c>
      <c r="P1168"/>
      <c r="Q1168" s="12"/>
      <c r="R1168" s="12"/>
    </row>
    <row r="1169" spans="1:18" x14ac:dyDescent="0.2">
      <c r="A1169">
        <v>10</v>
      </c>
      <c r="B1169" t="s">
        <v>17</v>
      </c>
      <c r="C1169">
        <v>2020</v>
      </c>
      <c r="D1169">
        <v>4</v>
      </c>
      <c r="E1169" s="4">
        <v>0</v>
      </c>
      <c r="F1169" s="9">
        <v>0</v>
      </c>
      <c r="G1169" s="6">
        <v>1777</v>
      </c>
      <c r="H1169" s="9">
        <f t="shared" si="18"/>
        <v>0</v>
      </c>
      <c r="I1169" s="6">
        <v>12585</v>
      </c>
      <c r="J1169" s="6">
        <f>VLOOKUP(Table1[[#This Row],[Province]],[1]Sheet1!$A$3:$F$37,4,FALSE)</f>
        <v>1973000</v>
      </c>
      <c r="K1169">
        <v>1</v>
      </c>
      <c r="L1169" s="4">
        <v>3.9456509999999998</v>
      </c>
      <c r="M1169" s="4">
        <v>108.142867</v>
      </c>
      <c r="N1169" s="13">
        <v>-3.8</v>
      </c>
      <c r="P1169"/>
      <c r="Q1169" s="12"/>
      <c r="R1169" s="12"/>
    </row>
    <row r="1170" spans="1:18" x14ac:dyDescent="0.2">
      <c r="A1170">
        <v>10</v>
      </c>
      <c r="B1170" t="s">
        <v>17</v>
      </c>
      <c r="C1170">
        <v>2020</v>
      </c>
      <c r="D1170">
        <v>5</v>
      </c>
      <c r="E1170" s="4">
        <v>0</v>
      </c>
      <c r="F1170" s="9">
        <v>0</v>
      </c>
      <c r="G1170" s="6">
        <v>2057</v>
      </c>
      <c r="H1170" s="9">
        <f t="shared" si="18"/>
        <v>0</v>
      </c>
      <c r="I1170" s="6">
        <v>16850</v>
      </c>
      <c r="J1170" s="6">
        <f>VLOOKUP(Table1[[#This Row],[Province]],[1]Sheet1!$A$3:$F$37,4,FALSE)</f>
        <v>1973000</v>
      </c>
      <c r="K1170">
        <v>0</v>
      </c>
      <c r="L1170" s="4">
        <v>3.9456509999999998</v>
      </c>
      <c r="M1170" s="4">
        <v>108.142867</v>
      </c>
      <c r="N1170" s="13">
        <v>-3.8</v>
      </c>
      <c r="P1170"/>
      <c r="Q1170" s="12"/>
      <c r="R1170" s="12"/>
    </row>
    <row r="1171" spans="1:18" x14ac:dyDescent="0.2">
      <c r="A1171">
        <v>10</v>
      </c>
      <c r="B1171" t="s">
        <v>17</v>
      </c>
      <c r="C1171">
        <v>2020</v>
      </c>
      <c r="D1171">
        <v>6</v>
      </c>
      <c r="E1171" s="4">
        <v>0</v>
      </c>
      <c r="F1171" s="9">
        <v>0</v>
      </c>
      <c r="G1171" s="6">
        <v>1952</v>
      </c>
      <c r="H1171" s="9">
        <f t="shared" si="18"/>
        <v>0</v>
      </c>
      <c r="I1171" s="6">
        <v>17088</v>
      </c>
      <c r="J1171" s="6">
        <f>VLOOKUP(Table1[[#This Row],[Province]],[1]Sheet1!$A$3:$F$37,4,FALSE)</f>
        <v>1973000</v>
      </c>
      <c r="K1171">
        <v>0</v>
      </c>
      <c r="L1171" s="4">
        <v>3.9456509999999998</v>
      </c>
      <c r="M1171" s="4">
        <v>108.142867</v>
      </c>
      <c r="N1171" s="13">
        <v>-3.8</v>
      </c>
      <c r="P1171"/>
      <c r="Q1171" s="12"/>
      <c r="R1171" s="12"/>
    </row>
    <row r="1172" spans="1:18" x14ac:dyDescent="0.2">
      <c r="A1172">
        <v>10</v>
      </c>
      <c r="B1172" t="s">
        <v>17</v>
      </c>
      <c r="C1172">
        <v>2020</v>
      </c>
      <c r="D1172">
        <v>7</v>
      </c>
      <c r="E1172" s="4">
        <v>0</v>
      </c>
      <c r="F1172" s="9">
        <v>0</v>
      </c>
      <c r="G1172" s="6">
        <v>3087</v>
      </c>
      <c r="H1172" s="9">
        <f t="shared" si="18"/>
        <v>0</v>
      </c>
      <c r="I1172" s="6">
        <v>13073</v>
      </c>
      <c r="J1172" s="6">
        <f>VLOOKUP(Table1[[#This Row],[Province]],[1]Sheet1!$A$3:$F$37,4,FALSE)</f>
        <v>1973000</v>
      </c>
      <c r="K1172">
        <v>0</v>
      </c>
      <c r="L1172" s="4">
        <v>3.9456509999999998</v>
      </c>
      <c r="M1172" s="4">
        <v>108.142867</v>
      </c>
      <c r="N1172" s="13">
        <v>-3.8</v>
      </c>
      <c r="P1172"/>
      <c r="Q1172" s="12"/>
      <c r="R1172" s="12"/>
    </row>
    <row r="1173" spans="1:18" x14ac:dyDescent="0.2">
      <c r="A1173">
        <v>10</v>
      </c>
      <c r="B1173" t="s">
        <v>17</v>
      </c>
      <c r="C1173">
        <v>2020</v>
      </c>
      <c r="D1173">
        <v>8</v>
      </c>
      <c r="E1173" s="4">
        <v>0</v>
      </c>
      <c r="F1173" s="9">
        <v>0</v>
      </c>
      <c r="G1173" s="6">
        <v>1249</v>
      </c>
      <c r="H1173" s="9">
        <f t="shared" si="18"/>
        <v>0</v>
      </c>
      <c r="I1173" s="6">
        <v>11500</v>
      </c>
      <c r="J1173" s="6">
        <f>VLOOKUP(Table1[[#This Row],[Province]],[1]Sheet1!$A$3:$F$37,4,FALSE)</f>
        <v>1973000</v>
      </c>
      <c r="K1173">
        <v>0</v>
      </c>
      <c r="L1173" s="4">
        <v>3.9456509999999998</v>
      </c>
      <c r="M1173" s="4">
        <v>108.142867</v>
      </c>
      <c r="N1173" s="13">
        <v>-3.8</v>
      </c>
      <c r="P1173"/>
      <c r="Q1173" s="12"/>
      <c r="R1173" s="12"/>
    </row>
    <row r="1174" spans="1:18" x14ac:dyDescent="0.2">
      <c r="A1174">
        <v>10</v>
      </c>
      <c r="B1174" t="s">
        <v>17</v>
      </c>
      <c r="C1174">
        <v>2020</v>
      </c>
      <c r="D1174">
        <v>9</v>
      </c>
      <c r="E1174" s="4">
        <v>0</v>
      </c>
      <c r="F1174" s="9">
        <v>0</v>
      </c>
      <c r="G1174" s="6">
        <v>1870</v>
      </c>
      <c r="H1174" s="9">
        <f t="shared" si="18"/>
        <v>0</v>
      </c>
      <c r="I1174" s="6">
        <v>11500</v>
      </c>
      <c r="J1174" s="6">
        <f>VLOOKUP(Table1[[#This Row],[Province]],[1]Sheet1!$A$3:$F$37,4,FALSE)</f>
        <v>1973000</v>
      </c>
      <c r="K1174">
        <v>0</v>
      </c>
      <c r="L1174" s="4">
        <v>3.9456509999999998</v>
      </c>
      <c r="M1174" s="4">
        <v>108.142867</v>
      </c>
      <c r="N1174" s="13">
        <v>-3.8</v>
      </c>
      <c r="P1174"/>
      <c r="Q1174" s="12"/>
      <c r="R1174" s="12"/>
    </row>
    <row r="1175" spans="1:18" x14ac:dyDescent="0.2">
      <c r="A1175">
        <v>10</v>
      </c>
      <c r="B1175" t="s">
        <v>17</v>
      </c>
      <c r="C1175">
        <v>2020</v>
      </c>
      <c r="D1175">
        <v>10</v>
      </c>
      <c r="E1175" s="4">
        <v>0</v>
      </c>
      <c r="F1175" s="9">
        <v>0</v>
      </c>
      <c r="G1175" s="6">
        <v>2177</v>
      </c>
      <c r="H1175" s="9">
        <f t="shared" si="18"/>
        <v>0</v>
      </c>
      <c r="I1175" s="6">
        <v>11401</v>
      </c>
      <c r="J1175" s="6">
        <f>VLOOKUP(Table1[[#This Row],[Province]],[1]Sheet1!$A$3:$F$37,4,FALSE)</f>
        <v>1973000</v>
      </c>
      <c r="K1175">
        <v>0</v>
      </c>
      <c r="L1175" s="4">
        <v>3.9456509999999998</v>
      </c>
      <c r="M1175" s="4">
        <v>108.142867</v>
      </c>
      <c r="N1175" s="13">
        <v>-3.8</v>
      </c>
      <c r="P1175"/>
      <c r="Q1175" s="12"/>
      <c r="R1175" s="12"/>
    </row>
    <row r="1176" spans="1:18" x14ac:dyDescent="0.2">
      <c r="A1176">
        <v>10</v>
      </c>
      <c r="B1176" t="s">
        <v>17</v>
      </c>
      <c r="C1176">
        <v>2020</v>
      </c>
      <c r="D1176">
        <v>11</v>
      </c>
      <c r="E1176" s="4">
        <v>0</v>
      </c>
      <c r="F1176" s="9">
        <v>0</v>
      </c>
      <c r="G1176" s="6">
        <v>1906</v>
      </c>
      <c r="H1176" s="9">
        <f t="shared" si="18"/>
        <v>0</v>
      </c>
      <c r="I1176" s="6">
        <v>11260</v>
      </c>
      <c r="J1176" s="6">
        <f>VLOOKUP(Table1[[#This Row],[Province]],[1]Sheet1!$A$3:$F$37,4,FALSE)</f>
        <v>1973000</v>
      </c>
      <c r="K1176">
        <v>0</v>
      </c>
      <c r="L1176" s="4">
        <v>3.9456509999999998</v>
      </c>
      <c r="M1176" s="4">
        <v>108.142867</v>
      </c>
      <c r="N1176" s="13">
        <v>-3.8</v>
      </c>
      <c r="P1176"/>
      <c r="Q1176" s="12"/>
      <c r="R1176" s="12"/>
    </row>
    <row r="1177" spans="1:18" x14ac:dyDescent="0.2">
      <c r="A1177">
        <v>10</v>
      </c>
      <c r="B1177" t="s">
        <v>17</v>
      </c>
      <c r="C1177">
        <v>2020</v>
      </c>
      <c r="D1177">
        <v>12</v>
      </c>
      <c r="E1177" s="4">
        <v>0</v>
      </c>
      <c r="F1177" s="9">
        <v>0</v>
      </c>
      <c r="G1177" s="6">
        <v>2476</v>
      </c>
      <c r="H1177" s="9">
        <f t="shared" si="18"/>
        <v>0</v>
      </c>
      <c r="I1177" s="6">
        <v>11493</v>
      </c>
      <c r="J1177" s="6">
        <f>VLOOKUP(Table1[[#This Row],[Province]],[1]Sheet1!$A$3:$F$37,4,FALSE)</f>
        <v>1973000</v>
      </c>
      <c r="K1177">
        <v>1</v>
      </c>
      <c r="L1177" s="4">
        <v>3.9456509999999998</v>
      </c>
      <c r="M1177" s="4">
        <v>108.142867</v>
      </c>
      <c r="N1177" s="13">
        <v>-3.8</v>
      </c>
      <c r="P1177"/>
      <c r="Q1177" s="12"/>
      <c r="R1177" s="12"/>
    </row>
    <row r="1178" spans="1:18" x14ac:dyDescent="0.2">
      <c r="A1178">
        <v>10</v>
      </c>
      <c r="B1178" t="s">
        <v>17</v>
      </c>
      <c r="C1178">
        <v>2021</v>
      </c>
      <c r="D1178">
        <v>1</v>
      </c>
      <c r="E1178" s="4">
        <v>0</v>
      </c>
      <c r="F1178" s="9">
        <v>0</v>
      </c>
      <c r="G1178" s="6">
        <v>2682</v>
      </c>
      <c r="H1178" s="9">
        <f t="shared" si="18"/>
        <v>0</v>
      </c>
      <c r="I1178" s="6">
        <v>11500</v>
      </c>
      <c r="J1178" s="6">
        <f>VLOOKUP(Table1[[#This Row],[Province]],[1]Sheet1!$A$3:$F$37,4,FALSE)</f>
        <v>1973000</v>
      </c>
      <c r="K1178">
        <v>0</v>
      </c>
      <c r="L1178" s="4">
        <v>3.9456509999999998</v>
      </c>
      <c r="M1178" s="4">
        <v>108.142867</v>
      </c>
      <c r="N1178" s="13">
        <v>3.43</v>
      </c>
      <c r="P1178"/>
      <c r="Q1178" s="12"/>
      <c r="R1178" s="12"/>
    </row>
    <row r="1179" spans="1:18" x14ac:dyDescent="0.2">
      <c r="A1179">
        <v>10</v>
      </c>
      <c r="B1179" t="s">
        <v>17</v>
      </c>
      <c r="C1179">
        <v>2021</v>
      </c>
      <c r="D1179">
        <v>2</v>
      </c>
      <c r="E1179" s="4">
        <v>0</v>
      </c>
      <c r="F1179" s="9">
        <v>0</v>
      </c>
      <c r="G1179" s="6">
        <v>1299</v>
      </c>
      <c r="H1179" s="9">
        <f t="shared" si="18"/>
        <v>0</v>
      </c>
      <c r="I1179" s="6">
        <v>11500</v>
      </c>
      <c r="J1179" s="6">
        <f>VLOOKUP(Table1[[#This Row],[Province]],[1]Sheet1!$A$3:$F$37,4,FALSE)</f>
        <v>1973000</v>
      </c>
      <c r="K1179">
        <v>0</v>
      </c>
      <c r="L1179" s="4">
        <v>3.9456509999999998</v>
      </c>
      <c r="M1179" s="4">
        <v>108.142867</v>
      </c>
      <c r="N1179" s="13">
        <v>3.43</v>
      </c>
      <c r="P1179"/>
      <c r="Q1179" s="12"/>
      <c r="R1179" s="12"/>
    </row>
    <row r="1180" spans="1:18" x14ac:dyDescent="0.2">
      <c r="A1180">
        <v>10</v>
      </c>
      <c r="B1180" t="s">
        <v>17</v>
      </c>
      <c r="C1180">
        <v>2021</v>
      </c>
      <c r="D1180">
        <v>3</v>
      </c>
      <c r="E1180" s="4">
        <v>0</v>
      </c>
      <c r="F1180" s="9">
        <v>0</v>
      </c>
      <c r="G1180" s="6">
        <v>1527</v>
      </c>
      <c r="H1180" s="9">
        <f t="shared" si="18"/>
        <v>0</v>
      </c>
      <c r="I1180" s="6">
        <v>11500</v>
      </c>
      <c r="J1180" s="6">
        <f>VLOOKUP(Table1[[#This Row],[Province]],[1]Sheet1!$A$3:$F$37,4,FALSE)</f>
        <v>1973000</v>
      </c>
      <c r="K1180">
        <v>0</v>
      </c>
      <c r="L1180" s="4">
        <v>3.9456509999999998</v>
      </c>
      <c r="M1180" s="4">
        <v>108.142867</v>
      </c>
      <c r="N1180" s="13">
        <v>3.43</v>
      </c>
      <c r="P1180"/>
      <c r="Q1180" s="12"/>
      <c r="R1180" s="12"/>
    </row>
    <row r="1181" spans="1:18" x14ac:dyDescent="0.2">
      <c r="A1181">
        <v>10</v>
      </c>
      <c r="B1181" t="s">
        <v>17</v>
      </c>
      <c r="C1181">
        <v>2021</v>
      </c>
      <c r="D1181">
        <v>4</v>
      </c>
      <c r="E1181" s="4">
        <v>0</v>
      </c>
      <c r="F1181" s="9">
        <v>0</v>
      </c>
      <c r="G1181" s="6">
        <v>2136</v>
      </c>
      <c r="H1181" s="9">
        <f t="shared" si="18"/>
        <v>0</v>
      </c>
      <c r="I1181" s="6">
        <v>11525</v>
      </c>
      <c r="J1181" s="6">
        <f>VLOOKUP(Table1[[#This Row],[Province]],[1]Sheet1!$A$3:$F$37,4,FALSE)</f>
        <v>1973000</v>
      </c>
      <c r="K1181">
        <v>1</v>
      </c>
      <c r="L1181" s="4">
        <v>3.9456509999999998</v>
      </c>
      <c r="M1181" s="4">
        <v>108.142867</v>
      </c>
      <c r="N1181" s="13">
        <v>3.43</v>
      </c>
      <c r="P1181"/>
      <c r="Q1181" s="12"/>
      <c r="R1181" s="12"/>
    </row>
    <row r="1182" spans="1:18" x14ac:dyDescent="0.2">
      <c r="A1182">
        <v>10</v>
      </c>
      <c r="B1182" t="s">
        <v>17</v>
      </c>
      <c r="C1182">
        <v>2021</v>
      </c>
      <c r="D1182">
        <v>5</v>
      </c>
      <c r="E1182" s="4">
        <v>0</v>
      </c>
      <c r="F1182" s="9">
        <v>0</v>
      </c>
      <c r="G1182" s="6">
        <v>1889</v>
      </c>
      <c r="H1182" s="9">
        <f t="shared" si="18"/>
        <v>0</v>
      </c>
      <c r="I1182" s="6">
        <v>11540</v>
      </c>
      <c r="J1182" s="6">
        <f>VLOOKUP(Table1[[#This Row],[Province]],[1]Sheet1!$A$3:$F$37,4,FALSE)</f>
        <v>1973000</v>
      </c>
      <c r="K1182">
        <v>0</v>
      </c>
      <c r="L1182" s="4">
        <v>3.9456509999999998</v>
      </c>
      <c r="M1182" s="4">
        <v>108.142867</v>
      </c>
      <c r="N1182" s="13">
        <v>3.43</v>
      </c>
      <c r="P1182"/>
      <c r="Q1182" s="12"/>
      <c r="R1182" s="12"/>
    </row>
    <row r="1183" spans="1:18" x14ac:dyDescent="0.2">
      <c r="A1183">
        <v>10</v>
      </c>
      <c r="B1183" t="s">
        <v>17</v>
      </c>
      <c r="C1183">
        <v>2021</v>
      </c>
      <c r="D1183">
        <v>5</v>
      </c>
      <c r="E1183" s="4">
        <v>0</v>
      </c>
      <c r="F1183" s="9">
        <v>0</v>
      </c>
      <c r="G1183" s="6">
        <v>1730</v>
      </c>
      <c r="H1183" s="9">
        <f t="shared" si="18"/>
        <v>0</v>
      </c>
      <c r="I1183" s="6">
        <v>13750</v>
      </c>
      <c r="J1183" s="6">
        <f>VLOOKUP(Table1[[#This Row],[Province]],[1]Sheet1!$A$3:$F$37,4,FALSE)</f>
        <v>1973000</v>
      </c>
      <c r="K1183">
        <v>0</v>
      </c>
      <c r="L1183" s="4">
        <v>3.9456509999999998</v>
      </c>
      <c r="M1183" s="4">
        <v>108.142867</v>
      </c>
      <c r="N1183" s="13">
        <v>3.43</v>
      </c>
      <c r="P1183"/>
      <c r="Q1183" s="12"/>
      <c r="R1183" s="12"/>
    </row>
    <row r="1184" spans="1:18" x14ac:dyDescent="0.2">
      <c r="A1184">
        <v>10</v>
      </c>
      <c r="B1184" t="s">
        <v>17</v>
      </c>
      <c r="C1184">
        <v>2021</v>
      </c>
      <c r="D1184">
        <v>6</v>
      </c>
      <c r="E1184" s="4">
        <v>0</v>
      </c>
      <c r="F1184" s="9">
        <v>0</v>
      </c>
      <c r="G1184" s="6">
        <v>1179</v>
      </c>
      <c r="H1184" s="9">
        <f t="shared" si="18"/>
        <v>0</v>
      </c>
      <c r="I1184" s="6">
        <v>11288</v>
      </c>
      <c r="J1184" s="6">
        <f>VLOOKUP(Table1[[#This Row],[Province]],[1]Sheet1!$A$3:$F$37,4,FALSE)</f>
        <v>1973000</v>
      </c>
      <c r="K1184">
        <v>0</v>
      </c>
      <c r="L1184" s="4">
        <v>3.9456509999999998</v>
      </c>
      <c r="M1184" s="4">
        <v>108.142867</v>
      </c>
      <c r="N1184" s="13">
        <v>3.43</v>
      </c>
      <c r="P1184"/>
      <c r="Q1184" s="12"/>
      <c r="R1184" s="12"/>
    </row>
    <row r="1185" spans="1:18" x14ac:dyDescent="0.2">
      <c r="A1185">
        <v>10</v>
      </c>
      <c r="B1185" t="s">
        <v>17</v>
      </c>
      <c r="C1185">
        <v>2021</v>
      </c>
      <c r="D1185">
        <v>7</v>
      </c>
      <c r="E1185" s="4">
        <v>0</v>
      </c>
      <c r="F1185" s="9">
        <v>0</v>
      </c>
      <c r="G1185" s="6">
        <v>1366</v>
      </c>
      <c r="H1185" s="9">
        <f t="shared" si="18"/>
        <v>0</v>
      </c>
      <c r="I1185" s="6">
        <v>10925</v>
      </c>
      <c r="J1185" s="6">
        <f>VLOOKUP(Table1[[#This Row],[Province]],[1]Sheet1!$A$3:$F$37,4,FALSE)</f>
        <v>1973000</v>
      </c>
      <c r="K1185">
        <v>0</v>
      </c>
      <c r="L1185" s="4">
        <v>3.9456509999999998</v>
      </c>
      <c r="M1185" s="4">
        <v>108.142867</v>
      </c>
      <c r="N1185" s="13">
        <v>3.43</v>
      </c>
      <c r="P1185"/>
      <c r="Q1185" s="12"/>
      <c r="R1185" s="12"/>
    </row>
    <row r="1186" spans="1:18" x14ac:dyDescent="0.2">
      <c r="A1186">
        <v>10</v>
      </c>
      <c r="B1186" t="s">
        <v>17</v>
      </c>
      <c r="C1186">
        <v>2021</v>
      </c>
      <c r="D1186">
        <v>8</v>
      </c>
      <c r="E1186" s="4">
        <v>0</v>
      </c>
      <c r="F1186" s="9">
        <v>0</v>
      </c>
      <c r="G1186" s="6">
        <v>1113</v>
      </c>
      <c r="H1186" s="9">
        <f t="shared" si="18"/>
        <v>0</v>
      </c>
      <c r="I1186" s="6">
        <v>10740</v>
      </c>
      <c r="J1186" s="6">
        <f>VLOOKUP(Table1[[#This Row],[Province]],[1]Sheet1!$A$3:$F$37,4,FALSE)</f>
        <v>1973000</v>
      </c>
      <c r="K1186">
        <v>0</v>
      </c>
      <c r="L1186" s="4">
        <v>3.9456509999999998</v>
      </c>
      <c r="M1186" s="4">
        <v>108.142867</v>
      </c>
      <c r="N1186" s="13">
        <v>3.43</v>
      </c>
      <c r="P1186"/>
      <c r="Q1186" s="12"/>
      <c r="R1186" s="12"/>
    </row>
    <row r="1187" spans="1:18" x14ac:dyDescent="0.2">
      <c r="A1187">
        <v>10</v>
      </c>
      <c r="B1187" t="s">
        <v>17</v>
      </c>
      <c r="C1187">
        <v>2021</v>
      </c>
      <c r="D1187">
        <v>10</v>
      </c>
      <c r="E1187" s="4">
        <v>0</v>
      </c>
      <c r="F1187" s="9">
        <v>0</v>
      </c>
      <c r="G1187" s="6">
        <v>1450</v>
      </c>
      <c r="H1187" s="9">
        <f t="shared" si="18"/>
        <v>0</v>
      </c>
      <c r="I1187" s="6">
        <v>11693</v>
      </c>
      <c r="J1187" s="6">
        <f>VLOOKUP(Table1[[#This Row],[Province]],[1]Sheet1!$A$3:$F$37,4,FALSE)</f>
        <v>1973000</v>
      </c>
      <c r="K1187">
        <v>0</v>
      </c>
      <c r="L1187" s="4">
        <v>3.9456509999999998</v>
      </c>
      <c r="M1187" s="4">
        <v>108.142867</v>
      </c>
      <c r="N1187" s="13">
        <v>3.43</v>
      </c>
      <c r="P1187"/>
      <c r="Q1187" s="12"/>
      <c r="R1187" s="12"/>
    </row>
    <row r="1188" spans="1:18" x14ac:dyDescent="0.2">
      <c r="A1188">
        <v>10</v>
      </c>
      <c r="B1188" t="s">
        <v>17</v>
      </c>
      <c r="C1188">
        <v>2021</v>
      </c>
      <c r="D1188">
        <v>11</v>
      </c>
      <c r="E1188" s="4">
        <v>0</v>
      </c>
      <c r="F1188" s="9">
        <v>0</v>
      </c>
      <c r="G1188" s="6">
        <v>1069</v>
      </c>
      <c r="H1188" s="9">
        <f t="shared" si="18"/>
        <v>0</v>
      </c>
      <c r="I1188" s="6">
        <v>11220</v>
      </c>
      <c r="J1188" s="6">
        <f>VLOOKUP(Table1[[#This Row],[Province]],[1]Sheet1!$A$3:$F$37,4,FALSE)</f>
        <v>1973000</v>
      </c>
      <c r="K1188">
        <v>0</v>
      </c>
      <c r="L1188" s="4">
        <v>3.9456509999999998</v>
      </c>
      <c r="M1188" s="4">
        <v>108.142867</v>
      </c>
      <c r="N1188" s="13">
        <v>3.43</v>
      </c>
      <c r="P1188"/>
      <c r="Q1188" s="12"/>
      <c r="R1188" s="12"/>
    </row>
    <row r="1189" spans="1:18" x14ac:dyDescent="0.2">
      <c r="A1189">
        <v>10</v>
      </c>
      <c r="B1189" t="s">
        <v>17</v>
      </c>
      <c r="C1189">
        <v>2021</v>
      </c>
      <c r="D1189">
        <v>12</v>
      </c>
      <c r="E1189" s="4">
        <v>0</v>
      </c>
      <c r="F1189" s="9">
        <v>0</v>
      </c>
      <c r="G1189" s="6">
        <v>1286</v>
      </c>
      <c r="H1189" s="9">
        <f t="shared" si="18"/>
        <v>0</v>
      </c>
      <c r="I1189" s="6">
        <v>10900</v>
      </c>
      <c r="J1189" s="6">
        <f>VLOOKUP(Table1[[#This Row],[Province]],[1]Sheet1!$A$3:$F$37,4,FALSE)</f>
        <v>1973000</v>
      </c>
      <c r="K1189">
        <v>1</v>
      </c>
      <c r="L1189" s="4">
        <v>3.9456509999999998</v>
      </c>
      <c r="M1189" s="4">
        <v>108.142867</v>
      </c>
      <c r="N1189" s="13">
        <v>3.43</v>
      </c>
      <c r="P1189"/>
      <c r="Q1189" s="12"/>
      <c r="R1189" s="12"/>
    </row>
    <row r="1190" spans="1:18" x14ac:dyDescent="0.2">
      <c r="A1190">
        <v>10</v>
      </c>
      <c r="B1190" t="s">
        <v>17</v>
      </c>
      <c r="C1190">
        <v>2022</v>
      </c>
      <c r="D1190">
        <v>1</v>
      </c>
      <c r="E1190" s="6">
        <v>0</v>
      </c>
      <c r="F1190" s="9">
        <v>0</v>
      </c>
      <c r="G1190" s="6">
        <v>1009</v>
      </c>
      <c r="H1190" s="9">
        <f t="shared" si="18"/>
        <v>0</v>
      </c>
      <c r="I1190" s="6">
        <v>11840</v>
      </c>
      <c r="J1190" s="6">
        <f>VLOOKUP(Table1[[#This Row],[Province]],[1]Sheet1!$A$3:$F$37,4,FALSE)</f>
        <v>1973000</v>
      </c>
      <c r="K1190">
        <v>0</v>
      </c>
      <c r="L1190" s="4">
        <v>3.9456509999999998</v>
      </c>
      <c r="M1190" s="4">
        <v>108.142867</v>
      </c>
      <c r="N1190" s="13">
        <v>5.09</v>
      </c>
      <c r="P1190"/>
      <c r="Q1190" s="12"/>
      <c r="R1190" s="12"/>
    </row>
    <row r="1191" spans="1:18" x14ac:dyDescent="0.2">
      <c r="A1191">
        <v>10</v>
      </c>
      <c r="B1191" t="s">
        <v>17</v>
      </c>
      <c r="C1191">
        <v>2022</v>
      </c>
      <c r="D1191">
        <v>2</v>
      </c>
      <c r="E1191" s="6">
        <v>0</v>
      </c>
      <c r="F1191" s="9">
        <v>0</v>
      </c>
      <c r="G1191" s="6">
        <v>192</v>
      </c>
      <c r="H1191" s="9">
        <f t="shared" si="18"/>
        <v>0</v>
      </c>
      <c r="I1191" s="6">
        <v>11606</v>
      </c>
      <c r="J1191" s="6">
        <f>VLOOKUP(Table1[[#This Row],[Province]],[1]Sheet1!$A$3:$F$37,4,FALSE)</f>
        <v>1973000</v>
      </c>
      <c r="K1191">
        <v>0</v>
      </c>
      <c r="L1191" s="4">
        <v>3.9456509999999998</v>
      </c>
      <c r="M1191" s="4">
        <v>108.142867</v>
      </c>
      <c r="N1191" s="13">
        <v>5.09</v>
      </c>
      <c r="P1191"/>
      <c r="Q1191" s="12"/>
      <c r="R1191" s="12"/>
    </row>
    <row r="1192" spans="1:18" x14ac:dyDescent="0.2">
      <c r="A1192">
        <v>10</v>
      </c>
      <c r="B1192" t="s">
        <v>17</v>
      </c>
      <c r="C1192">
        <v>2022</v>
      </c>
      <c r="D1192">
        <v>3</v>
      </c>
      <c r="E1192" s="6">
        <v>0</v>
      </c>
      <c r="F1192" s="9">
        <v>0</v>
      </c>
      <c r="G1192" s="6">
        <v>1224</v>
      </c>
      <c r="H1192" s="9">
        <f t="shared" si="18"/>
        <v>0</v>
      </c>
      <c r="I1192" s="6">
        <v>11450</v>
      </c>
      <c r="J1192" s="6">
        <f>VLOOKUP(Table1[[#This Row],[Province]],[1]Sheet1!$A$3:$F$37,4,FALSE)</f>
        <v>1973000</v>
      </c>
      <c r="K1192">
        <v>0</v>
      </c>
      <c r="L1192" s="4">
        <v>3.9456509999999998</v>
      </c>
      <c r="M1192" s="4">
        <v>108.142867</v>
      </c>
      <c r="N1192" s="13">
        <v>5.09</v>
      </c>
      <c r="P1192"/>
      <c r="Q1192" s="12"/>
      <c r="R1192" s="12"/>
    </row>
    <row r="1193" spans="1:18" x14ac:dyDescent="0.2">
      <c r="A1193">
        <v>10</v>
      </c>
      <c r="B1193" t="s">
        <v>17</v>
      </c>
      <c r="C1193">
        <v>2022</v>
      </c>
      <c r="D1193">
        <v>4</v>
      </c>
      <c r="E1193" s="6">
        <v>0</v>
      </c>
      <c r="F1193" s="9">
        <v>0</v>
      </c>
      <c r="G1193" s="6">
        <v>1714</v>
      </c>
      <c r="H1193" s="9">
        <f t="shared" si="18"/>
        <v>0</v>
      </c>
      <c r="I1193" s="6">
        <v>11518</v>
      </c>
      <c r="J1193" s="6">
        <f>VLOOKUP(Table1[[#This Row],[Province]],[1]Sheet1!$A$3:$F$37,4,FALSE)</f>
        <v>1973000</v>
      </c>
      <c r="K1193">
        <v>1</v>
      </c>
      <c r="L1193" s="4">
        <v>3.9456509999999998</v>
      </c>
      <c r="M1193" s="4">
        <v>108.142867</v>
      </c>
      <c r="N1193" s="13">
        <v>5.09</v>
      </c>
      <c r="P1193"/>
      <c r="Q1193" s="12"/>
      <c r="R1193" s="12"/>
    </row>
    <row r="1194" spans="1:18" x14ac:dyDescent="0.2">
      <c r="A1194">
        <v>10</v>
      </c>
      <c r="B1194" t="s">
        <v>17</v>
      </c>
      <c r="C1194">
        <v>2022</v>
      </c>
      <c r="D1194">
        <v>5</v>
      </c>
      <c r="E1194" s="6">
        <v>0</v>
      </c>
      <c r="F1194" s="9">
        <v>0</v>
      </c>
      <c r="G1194" s="6">
        <v>2506</v>
      </c>
      <c r="H1194" s="9">
        <f t="shared" si="18"/>
        <v>0</v>
      </c>
      <c r="I1194" s="6">
        <v>11550</v>
      </c>
      <c r="J1194" s="6">
        <f>VLOOKUP(Table1[[#This Row],[Province]],[1]Sheet1!$A$3:$F$37,4,FALSE)</f>
        <v>1973000</v>
      </c>
      <c r="K1194">
        <v>0</v>
      </c>
      <c r="L1194" s="4">
        <v>3.9456509999999998</v>
      </c>
      <c r="M1194" s="4">
        <v>108.142867</v>
      </c>
      <c r="N1194" s="13">
        <v>5.09</v>
      </c>
      <c r="P1194"/>
      <c r="Q1194" s="12"/>
      <c r="R1194" s="12"/>
    </row>
    <row r="1195" spans="1:18" x14ac:dyDescent="0.2">
      <c r="A1195">
        <v>10</v>
      </c>
      <c r="B1195" t="s">
        <v>17</v>
      </c>
      <c r="C1195">
        <v>2022</v>
      </c>
      <c r="D1195">
        <v>6</v>
      </c>
      <c r="E1195" s="6">
        <v>0</v>
      </c>
      <c r="F1195" s="9">
        <v>0</v>
      </c>
      <c r="G1195" s="6">
        <v>1526</v>
      </c>
      <c r="H1195" s="9">
        <f t="shared" si="18"/>
        <v>0</v>
      </c>
      <c r="I1195" s="6">
        <v>11645</v>
      </c>
      <c r="J1195" s="6">
        <f>VLOOKUP(Table1[[#This Row],[Province]],[1]Sheet1!$A$3:$F$37,4,FALSE)</f>
        <v>1973000</v>
      </c>
      <c r="K1195">
        <v>0</v>
      </c>
      <c r="L1195" s="4">
        <v>3.9456509999999998</v>
      </c>
      <c r="M1195" s="4">
        <v>108.142867</v>
      </c>
      <c r="N1195" s="13">
        <v>5.09</v>
      </c>
      <c r="P1195"/>
      <c r="Q1195" s="12"/>
      <c r="R1195" s="12"/>
    </row>
    <row r="1196" spans="1:18" x14ac:dyDescent="0.2">
      <c r="A1196">
        <v>10</v>
      </c>
      <c r="B1196" t="s">
        <v>17</v>
      </c>
      <c r="C1196">
        <v>2022</v>
      </c>
      <c r="D1196">
        <v>7</v>
      </c>
      <c r="E1196" s="6">
        <v>0</v>
      </c>
      <c r="F1196" s="9">
        <v>0</v>
      </c>
      <c r="G1196" s="6">
        <v>1525</v>
      </c>
      <c r="H1196" s="9">
        <f t="shared" si="18"/>
        <v>0</v>
      </c>
      <c r="I1196" s="6">
        <v>12143</v>
      </c>
      <c r="J1196" s="6">
        <f>VLOOKUP(Table1[[#This Row],[Province]],[1]Sheet1!$A$3:$F$37,4,FALSE)</f>
        <v>1973000</v>
      </c>
      <c r="K1196">
        <v>0</v>
      </c>
      <c r="L1196" s="4">
        <v>3.9456509999999998</v>
      </c>
      <c r="M1196" s="4">
        <v>108.142867</v>
      </c>
      <c r="N1196" s="13">
        <v>5.09</v>
      </c>
      <c r="P1196"/>
      <c r="Q1196" s="12"/>
      <c r="R1196" s="12"/>
    </row>
    <row r="1197" spans="1:18" x14ac:dyDescent="0.2">
      <c r="A1197">
        <v>10</v>
      </c>
      <c r="B1197" t="s">
        <v>17</v>
      </c>
      <c r="C1197">
        <v>2022</v>
      </c>
      <c r="D1197">
        <v>8</v>
      </c>
      <c r="E1197" s="6">
        <v>0</v>
      </c>
      <c r="F1197" s="9">
        <v>0</v>
      </c>
      <c r="G1197" s="6">
        <v>1161</v>
      </c>
      <c r="H1197" s="9">
        <f t="shared" si="18"/>
        <v>0</v>
      </c>
      <c r="I1197" s="6">
        <v>13284</v>
      </c>
      <c r="J1197" s="6">
        <f>VLOOKUP(Table1[[#This Row],[Province]],[1]Sheet1!$A$3:$F$37,4,FALSE)</f>
        <v>1973000</v>
      </c>
      <c r="K1197">
        <v>0</v>
      </c>
      <c r="L1197" s="4">
        <v>3.9456509999999998</v>
      </c>
      <c r="M1197" s="4">
        <v>108.142867</v>
      </c>
      <c r="N1197" s="13">
        <v>5.09</v>
      </c>
      <c r="P1197"/>
      <c r="Q1197" s="12"/>
      <c r="R1197" s="12"/>
    </row>
    <row r="1198" spans="1:18" x14ac:dyDescent="0.2">
      <c r="A1198">
        <v>10</v>
      </c>
      <c r="B1198" t="s">
        <v>17</v>
      </c>
      <c r="C1198">
        <v>2022</v>
      </c>
      <c r="D1198">
        <v>9</v>
      </c>
      <c r="E1198" s="6">
        <v>0</v>
      </c>
      <c r="F1198" s="9">
        <v>0</v>
      </c>
      <c r="G1198" s="6">
        <v>1834</v>
      </c>
      <c r="H1198" s="9">
        <f t="shared" si="18"/>
        <v>0</v>
      </c>
      <c r="I1198" s="6">
        <v>13172</v>
      </c>
      <c r="J1198" s="6">
        <f>VLOOKUP(Table1[[#This Row],[Province]],[1]Sheet1!$A$3:$F$37,5,FALSE)</f>
        <v>2028200</v>
      </c>
      <c r="K1198">
        <v>0</v>
      </c>
      <c r="L1198" s="4">
        <v>3.9456509999999998</v>
      </c>
      <c r="M1198" s="4">
        <v>108.142867</v>
      </c>
      <c r="N1198" s="13">
        <v>5.09</v>
      </c>
      <c r="P1198"/>
      <c r="Q1198" s="12"/>
      <c r="R1198" s="12"/>
    </row>
    <row r="1199" spans="1:18" x14ac:dyDescent="0.2">
      <c r="A1199">
        <v>10</v>
      </c>
      <c r="B1199" t="s">
        <v>17</v>
      </c>
      <c r="C1199">
        <v>2022</v>
      </c>
      <c r="D1199">
        <v>10</v>
      </c>
      <c r="E1199" s="6">
        <v>0</v>
      </c>
      <c r="F1199" s="9">
        <v>0</v>
      </c>
      <c r="G1199" s="6">
        <v>1038</v>
      </c>
      <c r="H1199" s="9">
        <f t="shared" si="18"/>
        <v>0</v>
      </c>
      <c r="I1199" s="6">
        <v>13393</v>
      </c>
      <c r="J1199" s="6">
        <f>VLOOKUP(Table1[[#This Row],[Province]],[1]Sheet1!$A$3:$F$37,5,FALSE)</f>
        <v>2028200</v>
      </c>
      <c r="K1199">
        <v>0</v>
      </c>
      <c r="L1199" s="4">
        <v>3.9456509999999998</v>
      </c>
      <c r="M1199" s="4">
        <v>108.142867</v>
      </c>
      <c r="N1199" s="13">
        <v>5.09</v>
      </c>
      <c r="P1199"/>
      <c r="Q1199" s="12"/>
      <c r="R1199" s="12"/>
    </row>
    <row r="1200" spans="1:18" x14ac:dyDescent="0.2">
      <c r="A1200">
        <v>10</v>
      </c>
      <c r="B1200" t="s">
        <v>17</v>
      </c>
      <c r="C1200">
        <v>2022</v>
      </c>
      <c r="D1200">
        <v>11</v>
      </c>
      <c r="E1200" s="6">
        <v>0</v>
      </c>
      <c r="F1200" s="9">
        <v>0</v>
      </c>
      <c r="G1200" s="6">
        <v>1269</v>
      </c>
      <c r="H1200" s="9">
        <f t="shared" si="18"/>
        <v>0</v>
      </c>
      <c r="I1200" s="6">
        <v>13880</v>
      </c>
      <c r="J1200" s="6">
        <f>VLOOKUP(Table1[[#This Row],[Province]],[1]Sheet1!$A$3:$F$37,5,FALSE)</f>
        <v>2028200</v>
      </c>
      <c r="K1200">
        <v>0</v>
      </c>
      <c r="L1200" s="4">
        <v>3.9456509999999998</v>
      </c>
      <c r="M1200" s="4">
        <v>108.142867</v>
      </c>
      <c r="N1200" s="13">
        <v>5.09</v>
      </c>
      <c r="P1200"/>
      <c r="Q1200" s="12"/>
      <c r="R1200" s="12"/>
    </row>
    <row r="1201" spans="1:18" x14ac:dyDescent="0.2">
      <c r="A1201">
        <v>10</v>
      </c>
      <c r="B1201" t="s">
        <v>17</v>
      </c>
      <c r="C1201">
        <v>2022</v>
      </c>
      <c r="D1201">
        <v>12</v>
      </c>
      <c r="E1201" s="6">
        <v>0</v>
      </c>
      <c r="F1201" s="9">
        <v>0</v>
      </c>
      <c r="G1201" s="6">
        <v>2073</v>
      </c>
      <c r="H1201" s="9">
        <f t="shared" si="18"/>
        <v>0</v>
      </c>
      <c r="I1201" s="6">
        <v>13818</v>
      </c>
      <c r="J1201" s="6">
        <f>VLOOKUP(Table1[[#This Row],[Province]],[1]Sheet1!$A$3:$F$37,5,FALSE)</f>
        <v>2028200</v>
      </c>
      <c r="K1201">
        <v>1</v>
      </c>
      <c r="L1201" s="4">
        <v>3.9456509999999998</v>
      </c>
      <c r="M1201" s="4">
        <v>108.142867</v>
      </c>
      <c r="N1201" s="13">
        <v>5.09</v>
      </c>
      <c r="P1201"/>
      <c r="Q1201" s="12"/>
      <c r="R1201" s="12"/>
    </row>
    <row r="1202" spans="1:18" x14ac:dyDescent="0.2">
      <c r="A1202">
        <v>11</v>
      </c>
      <c r="B1202" t="s">
        <v>7</v>
      </c>
      <c r="C1202">
        <v>2013</v>
      </c>
      <c r="D1202">
        <v>1</v>
      </c>
      <c r="E1202" s="4">
        <v>0</v>
      </c>
      <c r="F1202" s="9">
        <v>324.279</v>
      </c>
      <c r="G1202" s="6">
        <v>6777</v>
      </c>
      <c r="H1202" s="9">
        <f t="shared" si="18"/>
        <v>324.279</v>
      </c>
      <c r="I1202" s="6">
        <v>12730</v>
      </c>
      <c r="J1202" s="6">
        <f>VLOOKUP(Table1[[#This Row],[Province]],[1]Sheet1!$A$3:$F$37,5,FALSE)</f>
        <v>10277600</v>
      </c>
      <c r="K1202">
        <v>0</v>
      </c>
      <c r="L1202" s="4">
        <v>6.1943999999999999</v>
      </c>
      <c r="M1202" s="4">
        <v>106.8229</v>
      </c>
      <c r="N1202" s="6"/>
      <c r="P1202"/>
      <c r="Q1202" s="12"/>
      <c r="R1202" s="12"/>
    </row>
    <row r="1203" spans="1:18" x14ac:dyDescent="0.2">
      <c r="A1203">
        <v>11</v>
      </c>
      <c r="B1203" t="s">
        <v>7</v>
      </c>
      <c r="C1203">
        <v>2013</v>
      </c>
      <c r="D1203">
        <v>2</v>
      </c>
      <c r="E1203" s="4">
        <v>0</v>
      </c>
      <c r="F1203" s="9">
        <v>305.52</v>
      </c>
      <c r="G1203" s="6">
        <v>6496</v>
      </c>
      <c r="H1203" s="9">
        <f t="shared" si="18"/>
        <v>305.52</v>
      </c>
      <c r="I1203" s="6">
        <v>12417</v>
      </c>
      <c r="J1203" s="6">
        <f>VLOOKUP(Table1[[#This Row],[Province]],[1]Sheet1!$A$3:$F$37,5,FALSE)</f>
        <v>10277600</v>
      </c>
      <c r="K1203">
        <v>0</v>
      </c>
      <c r="L1203" s="4">
        <v>6.1943999999999999</v>
      </c>
      <c r="M1203" s="4">
        <v>106.8229</v>
      </c>
      <c r="N1203" s="6"/>
      <c r="P1203"/>
      <c r="Q1203" s="12"/>
      <c r="R1203" s="12"/>
    </row>
    <row r="1204" spans="1:18" x14ac:dyDescent="0.2">
      <c r="A1204">
        <v>11</v>
      </c>
      <c r="B1204" t="s">
        <v>7</v>
      </c>
      <c r="C1204">
        <v>2013</v>
      </c>
      <c r="D1204">
        <v>3</v>
      </c>
      <c r="E1204" s="4">
        <v>0</v>
      </c>
      <c r="F1204" s="9">
        <v>198.56899999999999</v>
      </c>
      <c r="G1204" s="6">
        <v>6697</v>
      </c>
      <c r="H1204" s="9">
        <f t="shared" si="18"/>
        <v>198.56899999999999</v>
      </c>
      <c r="I1204" s="6">
        <v>12333</v>
      </c>
      <c r="J1204" s="6">
        <f>VLOOKUP(Table1[[#This Row],[Province]],[1]Sheet1!$A$3:$F$37,5,FALSE)</f>
        <v>10277600</v>
      </c>
      <c r="K1204">
        <v>0</v>
      </c>
      <c r="L1204" s="4">
        <v>6.1943999999999999</v>
      </c>
      <c r="M1204" s="4">
        <v>106.8229</v>
      </c>
      <c r="N1204" s="6"/>
      <c r="P1204"/>
      <c r="Q1204" s="12"/>
      <c r="R1204" s="12"/>
    </row>
    <row r="1205" spans="1:18" x14ac:dyDescent="0.2">
      <c r="A1205">
        <v>11</v>
      </c>
      <c r="B1205" t="s">
        <v>7</v>
      </c>
      <c r="C1205">
        <v>2013</v>
      </c>
      <c r="D1205">
        <v>4</v>
      </c>
      <c r="E1205" s="4">
        <v>0</v>
      </c>
      <c r="F1205" s="9">
        <v>376.55799999999999</v>
      </c>
      <c r="G1205" s="6">
        <v>8702</v>
      </c>
      <c r="H1205" s="9">
        <f t="shared" si="18"/>
        <v>376.55799999999999</v>
      </c>
      <c r="I1205" s="6">
        <v>12333</v>
      </c>
      <c r="J1205" s="6">
        <f>VLOOKUP(Table1[[#This Row],[Province]],[1]Sheet1!$A$3:$F$37,5,FALSE)</f>
        <v>10277600</v>
      </c>
      <c r="K1205">
        <v>0</v>
      </c>
      <c r="L1205" s="4">
        <v>6.1943999999999999</v>
      </c>
      <c r="M1205" s="4">
        <v>106.8229</v>
      </c>
      <c r="N1205" s="6"/>
      <c r="P1205"/>
      <c r="Q1205" s="12"/>
      <c r="R1205" s="12"/>
    </row>
    <row r="1206" spans="1:18" x14ac:dyDescent="0.2">
      <c r="A1206">
        <v>11</v>
      </c>
      <c r="B1206" t="s">
        <v>7</v>
      </c>
      <c r="C1206">
        <v>2013</v>
      </c>
      <c r="D1206">
        <v>5</v>
      </c>
      <c r="E1206" s="4">
        <v>0</v>
      </c>
      <c r="F1206" s="9">
        <v>399.10700000000003</v>
      </c>
      <c r="G1206" s="6">
        <v>10546</v>
      </c>
      <c r="H1206" s="9">
        <f t="shared" si="18"/>
        <v>399.10700000000003</v>
      </c>
      <c r="I1206" s="6">
        <v>12541</v>
      </c>
      <c r="J1206" s="6">
        <f>VLOOKUP(Table1[[#This Row],[Province]],[1]Sheet1!$A$3:$F$37,5,FALSE)</f>
        <v>10277600</v>
      </c>
      <c r="K1206">
        <v>0</v>
      </c>
      <c r="L1206" s="4">
        <v>6.1943999999999999</v>
      </c>
      <c r="M1206" s="4">
        <v>106.8229</v>
      </c>
      <c r="N1206" s="6"/>
      <c r="P1206"/>
      <c r="Q1206" s="12"/>
      <c r="R1206" s="12"/>
    </row>
    <row r="1207" spans="1:18" x14ac:dyDescent="0.2">
      <c r="A1207">
        <v>11</v>
      </c>
      <c r="B1207" t="s">
        <v>7</v>
      </c>
      <c r="C1207">
        <v>2013</v>
      </c>
      <c r="D1207">
        <v>6</v>
      </c>
      <c r="E1207" s="4">
        <v>0</v>
      </c>
      <c r="F1207" s="9">
        <v>441.13200000000001</v>
      </c>
      <c r="G1207" s="6">
        <v>8782</v>
      </c>
      <c r="H1207" s="9">
        <f t="shared" si="18"/>
        <v>441.13200000000001</v>
      </c>
      <c r="I1207" s="6">
        <v>12720</v>
      </c>
      <c r="J1207" s="6">
        <f>VLOOKUP(Table1[[#This Row],[Province]],[1]Sheet1!$A$3:$F$37,5,FALSE)</f>
        <v>10277600</v>
      </c>
      <c r="K1207">
        <v>0</v>
      </c>
      <c r="L1207" s="4">
        <v>6.1943999999999999</v>
      </c>
      <c r="M1207" s="4">
        <v>106.8229</v>
      </c>
      <c r="N1207" s="6"/>
      <c r="P1207"/>
      <c r="Q1207" s="12"/>
      <c r="R1207" s="12"/>
    </row>
    <row r="1208" spans="1:18" x14ac:dyDescent="0.2">
      <c r="A1208">
        <v>11</v>
      </c>
      <c r="B1208" t="s">
        <v>7</v>
      </c>
      <c r="C1208">
        <v>2013</v>
      </c>
      <c r="D1208">
        <v>7</v>
      </c>
      <c r="E1208" s="4">
        <v>0</v>
      </c>
      <c r="F1208" s="9">
        <v>412.94600000000003</v>
      </c>
      <c r="G1208" s="6">
        <v>15238</v>
      </c>
      <c r="H1208" s="9">
        <f t="shared" si="18"/>
        <v>412.94600000000003</v>
      </c>
      <c r="I1208" s="6">
        <v>13970</v>
      </c>
      <c r="J1208" s="6">
        <f>VLOOKUP(Table1[[#This Row],[Province]],[1]Sheet1!$A$3:$F$37,5,FALSE)</f>
        <v>10277600</v>
      </c>
      <c r="K1208">
        <v>1</v>
      </c>
      <c r="L1208" s="4">
        <v>6.1943999999999999</v>
      </c>
      <c r="M1208" s="4">
        <v>106.8229</v>
      </c>
      <c r="N1208" s="6"/>
      <c r="P1208"/>
      <c r="Q1208" s="12"/>
      <c r="R1208" s="12"/>
    </row>
    <row r="1209" spans="1:18" x14ac:dyDescent="0.2">
      <c r="A1209">
        <v>11</v>
      </c>
      <c r="B1209" t="s">
        <v>7</v>
      </c>
      <c r="C1209">
        <v>2013</v>
      </c>
      <c r="D1209">
        <v>8</v>
      </c>
      <c r="E1209" s="4">
        <v>0</v>
      </c>
      <c r="F1209" s="9">
        <v>172.9</v>
      </c>
      <c r="G1209" s="6">
        <v>5574</v>
      </c>
      <c r="H1209" s="9">
        <f t="shared" si="18"/>
        <v>172.9</v>
      </c>
      <c r="I1209" s="6">
        <v>12098</v>
      </c>
      <c r="J1209" s="6">
        <f>VLOOKUP(Table1[[#This Row],[Province]],[1]Sheet1!$A$3:$F$37,5,FALSE)</f>
        <v>10277600</v>
      </c>
      <c r="K1209">
        <v>0</v>
      </c>
      <c r="L1209" s="4">
        <v>6.1943999999999999</v>
      </c>
      <c r="M1209" s="4">
        <v>106.8229</v>
      </c>
      <c r="N1209" s="6"/>
      <c r="P1209"/>
      <c r="Q1209" s="12"/>
      <c r="R1209" s="12"/>
    </row>
    <row r="1210" spans="1:18" x14ac:dyDescent="0.2">
      <c r="A1210">
        <v>11</v>
      </c>
      <c r="B1210" t="s">
        <v>7</v>
      </c>
      <c r="C1210">
        <v>2013</v>
      </c>
      <c r="D1210">
        <v>9</v>
      </c>
      <c r="E1210" s="4">
        <v>0</v>
      </c>
      <c r="F1210" s="9">
        <v>379.49099999999999</v>
      </c>
      <c r="G1210" s="6">
        <v>11910</v>
      </c>
      <c r="H1210" s="9">
        <f t="shared" si="18"/>
        <v>379.49099999999999</v>
      </c>
      <c r="I1210" s="6">
        <v>12270</v>
      </c>
      <c r="J1210" s="6">
        <f>VLOOKUP(Table1[[#This Row],[Province]],[1]Sheet1!$A$3:$F$37,5,FALSE)</f>
        <v>10277600</v>
      </c>
      <c r="K1210">
        <v>0</v>
      </c>
      <c r="L1210" s="4">
        <v>6.1943999999999999</v>
      </c>
      <c r="M1210" s="4">
        <v>106.8229</v>
      </c>
      <c r="N1210" s="6"/>
      <c r="P1210"/>
      <c r="Q1210" s="12"/>
      <c r="R1210" s="12"/>
    </row>
    <row r="1211" spans="1:18" x14ac:dyDescent="0.2">
      <c r="A1211">
        <v>11</v>
      </c>
      <c r="B1211" t="s">
        <v>7</v>
      </c>
      <c r="C1211">
        <v>2013</v>
      </c>
      <c r="D1211">
        <v>10</v>
      </c>
      <c r="E1211" s="4">
        <v>0</v>
      </c>
      <c r="F1211" s="9">
        <v>638.78700000000003</v>
      </c>
      <c r="G1211" s="6">
        <v>9744</v>
      </c>
      <c r="H1211" s="9">
        <f t="shared" si="18"/>
        <v>638.78700000000003</v>
      </c>
      <c r="I1211" s="6">
        <v>12143</v>
      </c>
      <c r="J1211" s="6">
        <f>VLOOKUP(Table1[[#This Row],[Province]],[1]Sheet1!$A$3:$F$37,5,FALSE)</f>
        <v>10277600</v>
      </c>
      <c r="K1211">
        <v>0</v>
      </c>
      <c r="L1211" s="4">
        <v>6.1943999999999999</v>
      </c>
      <c r="M1211" s="4">
        <v>106.8229</v>
      </c>
      <c r="N1211" s="6"/>
      <c r="P1211"/>
      <c r="Q1211" s="12"/>
      <c r="R1211" s="12"/>
    </row>
    <row r="1212" spans="1:18" x14ac:dyDescent="0.2">
      <c r="A1212">
        <v>11</v>
      </c>
      <c r="B1212" t="s">
        <v>7</v>
      </c>
      <c r="C1212">
        <v>2013</v>
      </c>
      <c r="D1212">
        <v>11</v>
      </c>
      <c r="E1212" s="4">
        <v>0</v>
      </c>
      <c r="F1212" s="9">
        <v>429.23700000000002</v>
      </c>
      <c r="G1212" s="6">
        <v>7178</v>
      </c>
      <c r="H1212" s="9">
        <f t="shared" si="18"/>
        <v>429.23700000000002</v>
      </c>
      <c r="I1212" s="6">
        <v>12000</v>
      </c>
      <c r="J1212" s="6">
        <f>VLOOKUP(Table1[[#This Row],[Province]],[1]Sheet1!$A$3:$F$37,5,FALSE)</f>
        <v>10277600</v>
      </c>
      <c r="K1212">
        <v>0</v>
      </c>
      <c r="L1212" s="4">
        <v>6.1943999999999999</v>
      </c>
      <c r="M1212" s="4">
        <v>106.8229</v>
      </c>
      <c r="N1212" s="6"/>
      <c r="P1212"/>
      <c r="Q1212" s="12"/>
      <c r="R1212" s="12"/>
    </row>
    <row r="1213" spans="1:18" x14ac:dyDescent="0.2">
      <c r="A1213">
        <v>11</v>
      </c>
      <c r="B1213" t="s">
        <v>7</v>
      </c>
      <c r="C1213">
        <v>2013</v>
      </c>
      <c r="D1213">
        <v>12</v>
      </c>
      <c r="E1213" s="4">
        <v>0</v>
      </c>
      <c r="F1213" s="9">
        <v>480.17700000000002</v>
      </c>
      <c r="G1213" s="6">
        <v>9985</v>
      </c>
      <c r="H1213" s="9">
        <f t="shared" si="18"/>
        <v>480.17700000000002</v>
      </c>
      <c r="I1213" s="6">
        <v>12000</v>
      </c>
      <c r="J1213" s="6">
        <f>VLOOKUP(Table1[[#This Row],[Province]],[1]Sheet1!$A$3:$F$37,5,FALSE)</f>
        <v>10277600</v>
      </c>
      <c r="K1213">
        <v>1</v>
      </c>
      <c r="L1213" s="4">
        <v>6.1943999999999999</v>
      </c>
      <c r="M1213" s="4">
        <v>106.8229</v>
      </c>
      <c r="N1213" s="6"/>
      <c r="P1213"/>
      <c r="Q1213" s="12"/>
      <c r="R1213" s="12"/>
    </row>
    <row r="1214" spans="1:18" x14ac:dyDescent="0.2">
      <c r="A1214">
        <v>11</v>
      </c>
      <c r="B1214" t="s">
        <v>7</v>
      </c>
      <c r="C1214">
        <v>2014</v>
      </c>
      <c r="D1214">
        <v>1</v>
      </c>
      <c r="E1214" s="4">
        <v>0</v>
      </c>
      <c r="F1214" s="9">
        <v>554.86699999999996</v>
      </c>
      <c r="G1214" s="6">
        <v>6972</v>
      </c>
      <c r="H1214" s="9">
        <f t="shared" si="18"/>
        <v>554.86699999999996</v>
      </c>
      <c r="I1214" s="6">
        <v>12000</v>
      </c>
      <c r="J1214" s="6">
        <f>VLOOKUP(Table1[[#This Row],[Province]],[1]Sheet1!$A$3:$F$37,5,FALSE)</f>
        <v>10277600</v>
      </c>
      <c r="K1214">
        <v>0</v>
      </c>
      <c r="L1214" s="4">
        <v>6.1943999999999999</v>
      </c>
      <c r="M1214" s="4">
        <v>106.8229</v>
      </c>
      <c r="N1214" s="6"/>
      <c r="P1214"/>
      <c r="Q1214" s="12"/>
      <c r="R1214" s="12"/>
    </row>
    <row r="1215" spans="1:18" x14ac:dyDescent="0.2">
      <c r="A1215">
        <v>11</v>
      </c>
      <c r="B1215" t="s">
        <v>7</v>
      </c>
      <c r="C1215">
        <v>2014</v>
      </c>
      <c r="D1215">
        <v>2</v>
      </c>
      <c r="E1215" s="4">
        <v>0</v>
      </c>
      <c r="F1215" s="9">
        <v>441.86700000000002</v>
      </c>
      <c r="G1215" s="6">
        <v>6220</v>
      </c>
      <c r="H1215" s="9">
        <f t="shared" si="18"/>
        <v>441.86700000000002</v>
      </c>
      <c r="I1215" s="6">
        <v>12000</v>
      </c>
      <c r="J1215" s="6">
        <f>VLOOKUP(Table1[[#This Row],[Province]],[1]Sheet1!$A$3:$F$37,5,FALSE)</f>
        <v>10277600</v>
      </c>
      <c r="K1215">
        <v>0</v>
      </c>
      <c r="L1215" s="4">
        <v>6.1943999999999999</v>
      </c>
      <c r="M1215" s="4">
        <v>106.8229</v>
      </c>
      <c r="N1215" s="6"/>
      <c r="P1215"/>
      <c r="Q1215" s="12"/>
      <c r="R1215" s="12"/>
    </row>
    <row r="1216" spans="1:18" x14ac:dyDescent="0.2">
      <c r="A1216">
        <v>11</v>
      </c>
      <c r="B1216" t="s">
        <v>7</v>
      </c>
      <c r="C1216">
        <v>2014</v>
      </c>
      <c r="D1216">
        <v>3</v>
      </c>
      <c r="E1216" s="4">
        <v>0</v>
      </c>
      <c r="F1216" s="9">
        <v>469.71</v>
      </c>
      <c r="G1216" s="6">
        <v>6984</v>
      </c>
      <c r="H1216" s="9">
        <f t="shared" si="18"/>
        <v>469.71</v>
      </c>
      <c r="I1216" s="6">
        <v>12000</v>
      </c>
      <c r="J1216" s="6">
        <f>VLOOKUP(Table1[[#This Row],[Province]],[1]Sheet1!$A$3:$F$37,5,FALSE)</f>
        <v>10277600</v>
      </c>
      <c r="K1216">
        <v>0</v>
      </c>
      <c r="L1216" s="4">
        <v>6.1943999999999999</v>
      </c>
      <c r="M1216" s="4">
        <v>106.8229</v>
      </c>
      <c r="N1216" s="6"/>
      <c r="P1216"/>
      <c r="Q1216" s="12"/>
      <c r="R1216" s="12"/>
    </row>
    <row r="1217" spans="1:18" x14ac:dyDescent="0.2">
      <c r="A1217">
        <v>11</v>
      </c>
      <c r="B1217" t="s">
        <v>7</v>
      </c>
      <c r="C1217">
        <v>2014</v>
      </c>
      <c r="D1217">
        <v>4</v>
      </c>
      <c r="E1217" s="4">
        <v>0</v>
      </c>
      <c r="F1217" s="9">
        <v>619.154</v>
      </c>
      <c r="G1217" s="6">
        <v>8996</v>
      </c>
      <c r="H1217" s="9">
        <f t="shared" si="18"/>
        <v>619.154</v>
      </c>
      <c r="I1217" s="6">
        <v>12000</v>
      </c>
      <c r="J1217" s="6">
        <f>VLOOKUP(Table1[[#This Row],[Province]],[1]Sheet1!$A$3:$F$37,5,FALSE)</f>
        <v>10277600</v>
      </c>
      <c r="K1217">
        <v>0</v>
      </c>
      <c r="L1217" s="4">
        <v>6.1943999999999999</v>
      </c>
      <c r="M1217" s="4">
        <v>106.8229</v>
      </c>
      <c r="N1217" s="6"/>
      <c r="P1217"/>
      <c r="Q1217" s="12"/>
      <c r="R1217" s="12"/>
    </row>
    <row r="1218" spans="1:18" x14ac:dyDescent="0.2">
      <c r="A1218">
        <v>11</v>
      </c>
      <c r="B1218" t="s">
        <v>7</v>
      </c>
      <c r="C1218">
        <v>2014</v>
      </c>
      <c r="D1218">
        <v>5</v>
      </c>
      <c r="E1218" s="4">
        <v>0</v>
      </c>
      <c r="F1218" s="9">
        <v>490.36799999999999</v>
      </c>
      <c r="G1218" s="6">
        <v>10076</v>
      </c>
      <c r="H1218" s="9">
        <f t="shared" ref="H1218:H1281" si="19">F1218+E1218</f>
        <v>490.36799999999999</v>
      </c>
      <c r="I1218" s="6">
        <v>12000</v>
      </c>
      <c r="J1218" s="6">
        <f>VLOOKUP(Table1[[#This Row],[Province]],[1]Sheet1!$A$3:$F$37,5,FALSE)</f>
        <v>10277600</v>
      </c>
      <c r="K1218">
        <v>0</v>
      </c>
      <c r="L1218" s="4">
        <v>6.1943999999999999</v>
      </c>
      <c r="M1218" s="4">
        <v>106.8229</v>
      </c>
      <c r="N1218" s="6"/>
      <c r="P1218"/>
      <c r="Q1218" s="12"/>
      <c r="R1218" s="12"/>
    </row>
    <row r="1219" spans="1:18" x14ac:dyDescent="0.2">
      <c r="A1219">
        <v>11</v>
      </c>
      <c r="B1219" t="s">
        <v>7</v>
      </c>
      <c r="C1219">
        <v>2014</v>
      </c>
      <c r="D1219">
        <v>6</v>
      </c>
      <c r="E1219" s="4">
        <v>0</v>
      </c>
      <c r="F1219" s="9">
        <v>416.02600000000001</v>
      </c>
      <c r="G1219" s="6">
        <v>14340</v>
      </c>
      <c r="H1219" s="9">
        <f t="shared" si="19"/>
        <v>416.02600000000001</v>
      </c>
      <c r="I1219" s="6">
        <v>12000</v>
      </c>
      <c r="J1219" s="6">
        <f>VLOOKUP(Table1[[#This Row],[Province]],[1]Sheet1!$A$3:$F$37,5,FALSE)</f>
        <v>10277600</v>
      </c>
      <c r="K1219">
        <v>1</v>
      </c>
      <c r="L1219" s="4">
        <v>6.1943999999999999</v>
      </c>
      <c r="M1219" s="4">
        <v>106.8229</v>
      </c>
      <c r="N1219" s="6"/>
      <c r="P1219"/>
      <c r="Q1219" s="12"/>
      <c r="R1219" s="12"/>
    </row>
    <row r="1220" spans="1:18" x14ac:dyDescent="0.2">
      <c r="A1220">
        <v>11</v>
      </c>
      <c r="B1220" t="s">
        <v>7</v>
      </c>
      <c r="C1220">
        <v>2014</v>
      </c>
      <c r="D1220">
        <v>7</v>
      </c>
      <c r="E1220" s="4">
        <v>0</v>
      </c>
      <c r="F1220" s="9">
        <v>437.637</v>
      </c>
      <c r="G1220" s="6">
        <v>8996</v>
      </c>
      <c r="H1220" s="9">
        <f t="shared" si="19"/>
        <v>437.637</v>
      </c>
      <c r="I1220" s="6">
        <v>12000</v>
      </c>
      <c r="J1220" s="6">
        <f>VLOOKUP(Table1[[#This Row],[Province]],[1]Sheet1!$A$3:$F$37,5,FALSE)</f>
        <v>10277600</v>
      </c>
      <c r="K1220">
        <v>0</v>
      </c>
      <c r="L1220" s="4">
        <v>6.1943999999999999</v>
      </c>
      <c r="M1220" s="4">
        <v>106.8229</v>
      </c>
      <c r="N1220" s="6"/>
      <c r="P1220"/>
      <c r="Q1220" s="12"/>
      <c r="R1220" s="12"/>
    </row>
    <row r="1221" spans="1:18" x14ac:dyDescent="0.2">
      <c r="A1221">
        <v>11</v>
      </c>
      <c r="B1221" t="s">
        <v>7</v>
      </c>
      <c r="C1221">
        <v>2014</v>
      </c>
      <c r="D1221">
        <v>8</v>
      </c>
      <c r="E1221" s="4">
        <v>0</v>
      </c>
      <c r="F1221" s="9">
        <v>493.74400000000003</v>
      </c>
      <c r="G1221" s="6">
        <v>8672</v>
      </c>
      <c r="H1221" s="9">
        <f t="shared" si="19"/>
        <v>493.74400000000003</v>
      </c>
      <c r="I1221" s="6">
        <v>12150</v>
      </c>
      <c r="J1221" s="6">
        <f>VLOOKUP(Table1[[#This Row],[Province]],[1]Sheet1!$A$3:$F$37,5,FALSE)</f>
        <v>10277600</v>
      </c>
      <c r="K1221">
        <v>0</v>
      </c>
      <c r="L1221" s="4">
        <v>6.1943999999999999</v>
      </c>
      <c r="M1221" s="4">
        <v>106.8229</v>
      </c>
      <c r="N1221" s="6"/>
      <c r="P1221"/>
      <c r="Q1221" s="12"/>
      <c r="R1221" s="12"/>
    </row>
    <row r="1222" spans="1:18" x14ac:dyDescent="0.2">
      <c r="A1222">
        <v>11</v>
      </c>
      <c r="B1222" t="s">
        <v>7</v>
      </c>
      <c r="C1222">
        <v>2014</v>
      </c>
      <c r="D1222">
        <v>9</v>
      </c>
      <c r="E1222" s="4">
        <v>0</v>
      </c>
      <c r="F1222" s="9">
        <v>586.99900000000002</v>
      </c>
      <c r="G1222" s="6">
        <v>8728</v>
      </c>
      <c r="H1222" s="9">
        <f t="shared" si="19"/>
        <v>586.99900000000002</v>
      </c>
      <c r="I1222" s="6">
        <v>12000</v>
      </c>
      <c r="J1222" s="6">
        <f>VLOOKUP(Table1[[#This Row],[Province]],[1]Sheet1!$A$3:$F$37,5,FALSE)</f>
        <v>10277600</v>
      </c>
      <c r="K1222">
        <v>0</v>
      </c>
      <c r="L1222" s="4">
        <v>6.1943999999999999</v>
      </c>
      <c r="M1222" s="4">
        <v>106.8229</v>
      </c>
      <c r="N1222" s="6"/>
      <c r="P1222"/>
      <c r="Q1222" s="12"/>
      <c r="R1222" s="12"/>
    </row>
    <row r="1223" spans="1:18" x14ac:dyDescent="0.2">
      <c r="A1223">
        <v>11</v>
      </c>
      <c r="B1223" t="s">
        <v>7</v>
      </c>
      <c r="C1223">
        <v>2014</v>
      </c>
      <c r="D1223">
        <v>10</v>
      </c>
      <c r="E1223" s="4">
        <v>0</v>
      </c>
      <c r="F1223" s="9">
        <v>565.70399999999995</v>
      </c>
      <c r="G1223" s="6">
        <v>12948</v>
      </c>
      <c r="H1223" s="9">
        <f t="shared" si="19"/>
        <v>565.70399999999995</v>
      </c>
      <c r="I1223" s="6">
        <v>12000</v>
      </c>
      <c r="J1223" s="6">
        <f>VLOOKUP(Table1[[#This Row],[Province]],[1]Sheet1!$A$3:$F$37,5,FALSE)</f>
        <v>10277600</v>
      </c>
      <c r="K1223">
        <v>0</v>
      </c>
      <c r="L1223" s="4">
        <v>6.1943999999999999</v>
      </c>
      <c r="M1223" s="4">
        <v>106.8229</v>
      </c>
      <c r="N1223" s="6"/>
      <c r="P1223"/>
      <c r="Q1223" s="12"/>
      <c r="R1223" s="12"/>
    </row>
    <row r="1224" spans="1:18" x14ac:dyDescent="0.2">
      <c r="A1224">
        <v>11</v>
      </c>
      <c r="B1224" t="s">
        <v>7</v>
      </c>
      <c r="C1224">
        <v>2014</v>
      </c>
      <c r="D1224">
        <v>11</v>
      </c>
      <c r="E1224" s="4">
        <v>0</v>
      </c>
      <c r="F1224" s="9">
        <v>441.39800000000002</v>
      </c>
      <c r="G1224" s="6">
        <v>10332</v>
      </c>
      <c r="H1224" s="9">
        <f t="shared" si="19"/>
        <v>441.39800000000002</v>
      </c>
      <c r="I1224" s="6">
        <v>12000</v>
      </c>
      <c r="J1224" s="6">
        <f>VLOOKUP(Table1[[#This Row],[Province]],[1]Sheet1!$A$3:$F$37,5,FALSE)</f>
        <v>10277600</v>
      </c>
      <c r="K1224">
        <v>0</v>
      </c>
      <c r="L1224" s="4">
        <v>6.1943999999999999</v>
      </c>
      <c r="M1224" s="4">
        <v>106.8229</v>
      </c>
      <c r="N1224" s="6"/>
      <c r="P1224"/>
      <c r="Q1224" s="12"/>
      <c r="R1224" s="12"/>
    </row>
    <row r="1225" spans="1:18" x14ac:dyDescent="0.2">
      <c r="A1225">
        <v>11</v>
      </c>
      <c r="B1225" t="s">
        <v>7</v>
      </c>
      <c r="C1225">
        <v>2014</v>
      </c>
      <c r="D1225">
        <v>12</v>
      </c>
      <c r="E1225" s="4">
        <v>0</v>
      </c>
      <c r="F1225" s="9">
        <v>457.678</v>
      </c>
      <c r="G1225" s="6">
        <v>12048</v>
      </c>
      <c r="H1225" s="9">
        <f t="shared" si="19"/>
        <v>457.678</v>
      </c>
      <c r="I1225" s="6">
        <v>12000</v>
      </c>
      <c r="J1225" s="6">
        <f>VLOOKUP(Table1[[#This Row],[Province]],[1]Sheet1!$A$3:$F$37,5,FALSE)</f>
        <v>10277600</v>
      </c>
      <c r="K1225">
        <v>1</v>
      </c>
      <c r="L1225" s="4">
        <v>6.1943999999999999</v>
      </c>
      <c r="M1225" s="4">
        <v>106.8229</v>
      </c>
      <c r="N1225" s="6"/>
      <c r="P1225"/>
      <c r="Q1225" s="12"/>
      <c r="R1225" s="12"/>
    </row>
    <row r="1226" spans="1:18" x14ac:dyDescent="0.2">
      <c r="A1226">
        <v>11</v>
      </c>
      <c r="B1226" t="s">
        <v>7</v>
      </c>
      <c r="C1226">
        <v>2015</v>
      </c>
      <c r="D1226">
        <v>1</v>
      </c>
      <c r="E1226" s="4">
        <v>0</v>
      </c>
      <c r="F1226" s="9">
        <v>483.72699999999998</v>
      </c>
      <c r="G1226" s="6">
        <v>5892</v>
      </c>
      <c r="H1226" s="9">
        <f t="shared" si="19"/>
        <v>483.72699999999998</v>
      </c>
      <c r="I1226" s="6">
        <v>12000</v>
      </c>
      <c r="J1226" s="6">
        <f>VLOOKUP(Table1[[#This Row],[Province]],[1]Sheet1!$A$3:$F$37,5,FALSE)</f>
        <v>10277600</v>
      </c>
      <c r="K1226">
        <v>0</v>
      </c>
      <c r="L1226" s="4">
        <v>6.1943999999999999</v>
      </c>
      <c r="M1226" s="4">
        <v>106.8229</v>
      </c>
      <c r="N1226" s="6"/>
      <c r="P1226"/>
      <c r="Q1226" s="12"/>
      <c r="R1226" s="12"/>
    </row>
    <row r="1227" spans="1:18" x14ac:dyDescent="0.2">
      <c r="A1227">
        <v>11</v>
      </c>
      <c r="B1227" t="s">
        <v>7</v>
      </c>
      <c r="C1227">
        <v>2015</v>
      </c>
      <c r="D1227">
        <v>2</v>
      </c>
      <c r="E1227" s="4">
        <v>0</v>
      </c>
      <c r="F1227" s="9">
        <v>353.15499999999997</v>
      </c>
      <c r="G1227" s="6">
        <v>14861</v>
      </c>
      <c r="H1227" s="9">
        <f t="shared" si="19"/>
        <v>353.15499999999997</v>
      </c>
      <c r="I1227" s="6">
        <v>12000</v>
      </c>
      <c r="J1227" s="6">
        <f>VLOOKUP(Table1[[#This Row],[Province]],[1]Sheet1!$A$3:$F$37,5,FALSE)</f>
        <v>10277600</v>
      </c>
      <c r="K1227">
        <v>0</v>
      </c>
      <c r="L1227" s="4">
        <v>6.1943999999999999</v>
      </c>
      <c r="M1227" s="4">
        <v>106.8229</v>
      </c>
      <c r="N1227" s="6"/>
      <c r="P1227"/>
      <c r="Q1227" s="12"/>
      <c r="R1227" s="12"/>
    </row>
    <row r="1228" spans="1:18" x14ac:dyDescent="0.2">
      <c r="A1228">
        <v>11</v>
      </c>
      <c r="B1228" t="s">
        <v>7</v>
      </c>
      <c r="C1228">
        <v>2015</v>
      </c>
      <c r="D1228">
        <v>3</v>
      </c>
      <c r="E1228" s="4">
        <v>0</v>
      </c>
      <c r="F1228" s="9">
        <v>246.69</v>
      </c>
      <c r="G1228" s="6">
        <v>6743</v>
      </c>
      <c r="H1228" s="9">
        <f t="shared" si="19"/>
        <v>246.69</v>
      </c>
      <c r="I1228" s="6">
        <v>12000</v>
      </c>
      <c r="J1228" s="6">
        <f>VLOOKUP(Table1[[#This Row],[Province]],[1]Sheet1!$A$3:$F$37,5,FALSE)</f>
        <v>10277600</v>
      </c>
      <c r="K1228">
        <v>0</v>
      </c>
      <c r="L1228" s="4">
        <v>6.1943999999999999</v>
      </c>
      <c r="M1228" s="4">
        <v>106.8229</v>
      </c>
      <c r="N1228" s="6"/>
      <c r="P1228"/>
      <c r="Q1228" s="12"/>
      <c r="R1228" s="12"/>
    </row>
    <row r="1229" spans="1:18" x14ac:dyDescent="0.2">
      <c r="A1229">
        <v>11</v>
      </c>
      <c r="B1229" t="s">
        <v>7</v>
      </c>
      <c r="C1229">
        <v>2015</v>
      </c>
      <c r="D1229">
        <v>4</v>
      </c>
      <c r="E1229" s="4">
        <v>0</v>
      </c>
      <c r="F1229" s="9">
        <v>483.88900000000001</v>
      </c>
      <c r="G1229" s="6">
        <v>11171</v>
      </c>
      <c r="H1229" s="9">
        <f t="shared" si="19"/>
        <v>483.88900000000001</v>
      </c>
      <c r="I1229" s="6">
        <v>12440</v>
      </c>
      <c r="J1229" s="6">
        <f>VLOOKUP(Table1[[#This Row],[Province]],[1]Sheet1!$A$3:$F$37,5,FALSE)</f>
        <v>10277600</v>
      </c>
      <c r="K1229">
        <v>0</v>
      </c>
      <c r="L1229" s="4">
        <v>6.1943999999999999</v>
      </c>
      <c r="M1229" s="4">
        <v>106.8229</v>
      </c>
      <c r="N1229" s="6"/>
      <c r="P1229"/>
      <c r="Q1229" s="12"/>
      <c r="R1229" s="12"/>
    </row>
    <row r="1230" spans="1:18" x14ac:dyDescent="0.2">
      <c r="A1230">
        <v>11</v>
      </c>
      <c r="B1230" t="s">
        <v>7</v>
      </c>
      <c r="C1230">
        <v>2015</v>
      </c>
      <c r="D1230">
        <v>5</v>
      </c>
      <c r="E1230" s="4">
        <v>0</v>
      </c>
      <c r="F1230" s="9">
        <v>398.87099999999998</v>
      </c>
      <c r="G1230" s="6">
        <v>10704</v>
      </c>
      <c r="H1230" s="9">
        <f t="shared" si="19"/>
        <v>398.87099999999998</v>
      </c>
      <c r="I1230" s="6">
        <v>13321</v>
      </c>
      <c r="J1230" s="6">
        <f>VLOOKUP(Table1[[#This Row],[Province]],[1]Sheet1!$A$3:$F$37,5,FALSE)</f>
        <v>10277600</v>
      </c>
      <c r="K1230">
        <v>0</v>
      </c>
      <c r="L1230" s="4">
        <v>6.1943999999999999</v>
      </c>
      <c r="M1230" s="4">
        <v>106.8229</v>
      </c>
      <c r="N1230" s="6"/>
      <c r="P1230"/>
      <c r="Q1230" s="12"/>
      <c r="R1230" s="12"/>
    </row>
    <row r="1231" spans="1:18" x14ac:dyDescent="0.2">
      <c r="A1231">
        <v>11</v>
      </c>
      <c r="B1231" t="s">
        <v>7</v>
      </c>
      <c r="C1231">
        <v>2015</v>
      </c>
      <c r="D1231">
        <v>6</v>
      </c>
      <c r="E1231" s="4">
        <v>0</v>
      </c>
      <c r="F1231" s="9">
        <v>507.73500000000001</v>
      </c>
      <c r="G1231" s="6">
        <v>12164</v>
      </c>
      <c r="H1231" s="9">
        <f t="shared" si="19"/>
        <v>507.73500000000001</v>
      </c>
      <c r="I1231" s="6">
        <v>13516</v>
      </c>
      <c r="J1231" s="6">
        <f>VLOOKUP(Table1[[#This Row],[Province]],[1]Sheet1!$A$3:$F$37,5,FALSE)</f>
        <v>10277600</v>
      </c>
      <c r="K1231">
        <v>1</v>
      </c>
      <c r="L1231" s="4">
        <v>6.1943999999999999</v>
      </c>
      <c r="M1231" s="4">
        <v>106.8229</v>
      </c>
      <c r="N1231" s="6"/>
      <c r="P1231"/>
      <c r="Q1231" s="12"/>
      <c r="R1231" s="12"/>
    </row>
    <row r="1232" spans="1:18" x14ac:dyDescent="0.2">
      <c r="A1232">
        <v>11</v>
      </c>
      <c r="B1232" t="s">
        <v>7</v>
      </c>
      <c r="C1232">
        <v>2015</v>
      </c>
      <c r="D1232">
        <v>7</v>
      </c>
      <c r="E1232" s="4">
        <v>0</v>
      </c>
      <c r="F1232" s="9">
        <v>402.40100000000001</v>
      </c>
      <c r="G1232" s="6">
        <v>8303</v>
      </c>
      <c r="H1232" s="9">
        <f t="shared" si="19"/>
        <v>402.40100000000001</v>
      </c>
      <c r="I1232" s="6">
        <v>15250</v>
      </c>
      <c r="J1232" s="6">
        <f>VLOOKUP(Table1[[#This Row],[Province]],[1]Sheet1!$A$3:$F$37,5,FALSE)</f>
        <v>10277600</v>
      </c>
      <c r="K1232">
        <v>0</v>
      </c>
      <c r="L1232" s="4">
        <v>6.1943999999999999</v>
      </c>
      <c r="M1232" s="4">
        <v>106.8229</v>
      </c>
      <c r="N1232" s="6"/>
      <c r="P1232"/>
      <c r="Q1232" s="12"/>
      <c r="R1232" s="12"/>
    </row>
    <row r="1233" spans="1:18" x14ac:dyDescent="0.2">
      <c r="A1233">
        <v>11</v>
      </c>
      <c r="B1233" t="s">
        <v>7</v>
      </c>
      <c r="C1233">
        <v>2015</v>
      </c>
      <c r="D1233">
        <v>8</v>
      </c>
      <c r="E1233" s="4">
        <v>0</v>
      </c>
      <c r="F1233" s="9">
        <v>575.33600000000001</v>
      </c>
      <c r="G1233" s="6">
        <v>8218</v>
      </c>
      <c r="H1233" s="9">
        <f t="shared" si="19"/>
        <v>575.33600000000001</v>
      </c>
      <c r="I1233" s="6">
        <v>14913</v>
      </c>
      <c r="J1233" s="6">
        <f>VLOOKUP(Table1[[#This Row],[Province]],[1]Sheet1!$A$3:$F$37,5,FALSE)</f>
        <v>10277600</v>
      </c>
      <c r="K1233">
        <v>0</v>
      </c>
      <c r="L1233" s="4">
        <v>6.1943999999999999</v>
      </c>
      <c r="M1233" s="4">
        <v>106.8229</v>
      </c>
      <c r="N1233" s="6"/>
      <c r="P1233"/>
      <c r="Q1233" s="12"/>
      <c r="R1233" s="12"/>
    </row>
    <row r="1234" spans="1:18" x14ac:dyDescent="0.2">
      <c r="A1234">
        <v>11</v>
      </c>
      <c r="B1234" t="s">
        <v>7</v>
      </c>
      <c r="C1234">
        <v>2015</v>
      </c>
      <c r="D1234">
        <v>9</v>
      </c>
      <c r="E1234" s="4">
        <v>0</v>
      </c>
      <c r="F1234" s="9">
        <v>484.07900000000001</v>
      </c>
      <c r="G1234" s="6">
        <v>11029</v>
      </c>
      <c r="H1234" s="9">
        <f t="shared" si="19"/>
        <v>484.07900000000001</v>
      </c>
      <c r="I1234" s="6">
        <v>12500</v>
      </c>
      <c r="J1234" s="6">
        <f>VLOOKUP(Table1[[#This Row],[Province]],[1]Sheet1!$A$3:$F$37,5,FALSE)</f>
        <v>10277600</v>
      </c>
      <c r="K1234">
        <v>0</v>
      </c>
      <c r="L1234" s="4">
        <v>6.1943999999999999</v>
      </c>
      <c r="M1234" s="4">
        <v>106.8229</v>
      </c>
      <c r="N1234" s="6"/>
      <c r="P1234"/>
      <c r="Q1234" s="12"/>
      <c r="R1234" s="12"/>
    </row>
    <row r="1235" spans="1:18" x14ac:dyDescent="0.2">
      <c r="A1235">
        <v>11</v>
      </c>
      <c r="B1235" t="s">
        <v>7</v>
      </c>
      <c r="C1235">
        <v>2015</v>
      </c>
      <c r="D1235">
        <v>10</v>
      </c>
      <c r="E1235" s="4">
        <v>0</v>
      </c>
      <c r="F1235" s="9">
        <v>535.34</v>
      </c>
      <c r="G1235" s="6">
        <v>7351</v>
      </c>
      <c r="H1235" s="9">
        <f t="shared" si="19"/>
        <v>535.34</v>
      </c>
      <c r="I1235" s="6">
        <v>12500</v>
      </c>
      <c r="J1235" s="6">
        <f>VLOOKUP(Table1[[#This Row],[Province]],[1]Sheet1!$A$3:$F$37,5,FALSE)</f>
        <v>10277600</v>
      </c>
      <c r="K1235">
        <v>0</v>
      </c>
      <c r="L1235" s="4">
        <v>6.1943999999999999</v>
      </c>
      <c r="M1235" s="4">
        <v>106.8229</v>
      </c>
      <c r="N1235" s="6"/>
      <c r="P1235"/>
      <c r="Q1235" s="12"/>
      <c r="R1235" s="12"/>
    </row>
    <row r="1236" spans="1:18" x14ac:dyDescent="0.2">
      <c r="A1236">
        <v>11</v>
      </c>
      <c r="B1236" t="s">
        <v>7</v>
      </c>
      <c r="C1236">
        <v>2015</v>
      </c>
      <c r="D1236">
        <v>11</v>
      </c>
      <c r="E1236" s="4">
        <v>0</v>
      </c>
      <c r="F1236" s="9">
        <v>566.63800000000003</v>
      </c>
      <c r="G1236" s="6">
        <v>9693</v>
      </c>
      <c r="H1236" s="9">
        <f t="shared" si="19"/>
        <v>566.63800000000003</v>
      </c>
      <c r="I1236" s="6">
        <v>12500</v>
      </c>
      <c r="J1236" s="6">
        <f>VLOOKUP(Table1[[#This Row],[Province]],[1]Sheet1!$A$3:$F$37,5,FALSE)</f>
        <v>10277600</v>
      </c>
      <c r="K1236">
        <v>0</v>
      </c>
      <c r="L1236" s="4">
        <v>6.1943999999999999</v>
      </c>
      <c r="M1236" s="4">
        <v>106.8229</v>
      </c>
      <c r="N1236" s="6"/>
      <c r="P1236"/>
      <c r="Q1236" s="12"/>
      <c r="R1236" s="12"/>
    </row>
    <row r="1237" spans="1:18" x14ac:dyDescent="0.2">
      <c r="A1237">
        <v>11</v>
      </c>
      <c r="B1237" t="s">
        <v>7</v>
      </c>
      <c r="C1237">
        <v>2015</v>
      </c>
      <c r="D1237">
        <v>12</v>
      </c>
      <c r="E1237" s="4">
        <v>0</v>
      </c>
      <c r="F1237" s="9">
        <v>679.91200000000003</v>
      </c>
      <c r="G1237" s="6">
        <v>10390</v>
      </c>
      <c r="H1237" s="9">
        <f t="shared" si="19"/>
        <v>679.91200000000003</v>
      </c>
      <c r="I1237" s="6">
        <v>12500</v>
      </c>
      <c r="J1237" s="6">
        <f>VLOOKUP(Table1[[#This Row],[Province]],[1]Sheet1!$A$3:$F$37,5,FALSE)</f>
        <v>10277600</v>
      </c>
      <c r="K1237">
        <v>1</v>
      </c>
      <c r="L1237" s="4">
        <v>6.1943999999999999</v>
      </c>
      <c r="M1237" s="4">
        <v>106.8229</v>
      </c>
      <c r="N1237" s="6"/>
      <c r="P1237"/>
      <c r="Q1237" s="12"/>
      <c r="R1237" s="12"/>
    </row>
    <row r="1238" spans="1:18" x14ac:dyDescent="0.2">
      <c r="A1238">
        <v>11</v>
      </c>
      <c r="B1238" t="s">
        <v>7</v>
      </c>
      <c r="C1238">
        <v>2016</v>
      </c>
      <c r="D1238">
        <v>1</v>
      </c>
      <c r="E1238" s="4">
        <v>0</v>
      </c>
      <c r="F1238" s="9">
        <v>852.77</v>
      </c>
      <c r="G1238" s="6">
        <v>7794</v>
      </c>
      <c r="H1238" s="9">
        <f t="shared" si="19"/>
        <v>852.77</v>
      </c>
      <c r="I1238" s="6">
        <v>12750</v>
      </c>
      <c r="J1238" s="6">
        <f>VLOOKUP(Table1[[#This Row],[Province]],[1]Sheet1!$A$3:$F$37,5,FALSE)</f>
        <v>10277600</v>
      </c>
      <c r="K1238">
        <v>0</v>
      </c>
      <c r="L1238" s="4">
        <v>6.1943999999999999</v>
      </c>
      <c r="M1238" s="4">
        <v>106.8229</v>
      </c>
      <c r="N1238" s="13">
        <v>5.87</v>
      </c>
      <c r="P1238"/>
      <c r="Q1238" s="12"/>
      <c r="R1238" s="12"/>
    </row>
    <row r="1239" spans="1:18" x14ac:dyDescent="0.2">
      <c r="A1239">
        <v>11</v>
      </c>
      <c r="B1239" t="s">
        <v>7</v>
      </c>
      <c r="C1239">
        <v>2016</v>
      </c>
      <c r="D1239">
        <v>2</v>
      </c>
      <c r="E1239" s="4">
        <v>0</v>
      </c>
      <c r="F1239" s="9">
        <v>392.38</v>
      </c>
      <c r="G1239" s="6">
        <v>967</v>
      </c>
      <c r="H1239" s="9">
        <f t="shared" si="19"/>
        <v>392.38</v>
      </c>
      <c r="I1239" s="6">
        <v>13000</v>
      </c>
      <c r="J1239" s="6">
        <f>VLOOKUP(Table1[[#This Row],[Province]],[1]Sheet1!$A$3:$F$37,5,FALSE)</f>
        <v>10277600</v>
      </c>
      <c r="K1239">
        <v>0</v>
      </c>
      <c r="L1239" s="4">
        <v>6.1943999999999999</v>
      </c>
      <c r="M1239" s="4">
        <v>106.8229</v>
      </c>
      <c r="N1239" s="13">
        <v>5.87</v>
      </c>
      <c r="P1239"/>
      <c r="Q1239" s="12"/>
      <c r="R1239" s="12"/>
    </row>
    <row r="1240" spans="1:18" x14ac:dyDescent="0.2">
      <c r="A1240">
        <v>11</v>
      </c>
      <c r="B1240" t="s">
        <v>7</v>
      </c>
      <c r="C1240">
        <v>2016</v>
      </c>
      <c r="D1240">
        <v>3</v>
      </c>
      <c r="E1240" s="4">
        <v>0</v>
      </c>
      <c r="F1240" s="9">
        <v>594.33000000000004</v>
      </c>
      <c r="G1240" s="6">
        <v>11500</v>
      </c>
      <c r="H1240" s="9">
        <f t="shared" si="19"/>
        <v>594.33000000000004</v>
      </c>
      <c r="I1240" s="6">
        <v>12357</v>
      </c>
      <c r="J1240" s="6">
        <f>VLOOKUP(Table1[[#This Row],[Province]],[1]Sheet1!$A$3:$F$37,5,FALSE)</f>
        <v>10277600</v>
      </c>
      <c r="K1240">
        <v>0</v>
      </c>
      <c r="L1240" s="4">
        <v>6.1943999999999999</v>
      </c>
      <c r="M1240" s="4">
        <v>106.8229</v>
      </c>
      <c r="N1240" s="13">
        <v>5.87</v>
      </c>
      <c r="P1240"/>
      <c r="Q1240" s="12"/>
      <c r="R1240" s="12"/>
    </row>
    <row r="1241" spans="1:18" x14ac:dyDescent="0.2">
      <c r="A1241">
        <v>11</v>
      </c>
      <c r="B1241" t="s">
        <v>7</v>
      </c>
      <c r="C1241">
        <v>2016</v>
      </c>
      <c r="D1241">
        <v>4</v>
      </c>
      <c r="E1241" s="4">
        <v>0</v>
      </c>
      <c r="F1241" s="9">
        <v>793.19899999999996</v>
      </c>
      <c r="G1241" s="6">
        <v>12596</v>
      </c>
      <c r="H1241" s="9">
        <f t="shared" si="19"/>
        <v>793.19899999999996</v>
      </c>
      <c r="I1241" s="6">
        <v>12274</v>
      </c>
      <c r="J1241" s="6">
        <f>VLOOKUP(Table1[[#This Row],[Province]],[1]Sheet1!$A$3:$F$37,5,FALSE)</f>
        <v>10277600</v>
      </c>
      <c r="K1241">
        <v>0</v>
      </c>
      <c r="L1241" s="4">
        <v>6.1943999999999999</v>
      </c>
      <c r="M1241" s="4">
        <v>106.8229</v>
      </c>
      <c r="N1241" s="13">
        <v>5.87</v>
      </c>
      <c r="P1241"/>
      <c r="Q1241" s="12"/>
      <c r="R1241" s="12"/>
    </row>
    <row r="1242" spans="1:18" x14ac:dyDescent="0.2">
      <c r="A1242">
        <v>11</v>
      </c>
      <c r="B1242" t="s">
        <v>7</v>
      </c>
      <c r="C1242">
        <v>2016</v>
      </c>
      <c r="D1242">
        <v>5</v>
      </c>
      <c r="E1242" s="4">
        <v>0</v>
      </c>
      <c r="F1242" s="9">
        <v>869.67899999999997</v>
      </c>
      <c r="G1242" s="6">
        <v>13080</v>
      </c>
      <c r="H1242" s="9">
        <f t="shared" si="19"/>
        <v>869.67899999999997</v>
      </c>
      <c r="I1242" s="6">
        <v>14938</v>
      </c>
      <c r="J1242" s="6">
        <f>VLOOKUP(Table1[[#This Row],[Province]],[1]Sheet1!$A$3:$F$37,5,FALSE)</f>
        <v>10277600</v>
      </c>
      <c r="K1242">
        <v>0</v>
      </c>
      <c r="L1242" s="4">
        <v>6.1943999999999999</v>
      </c>
      <c r="M1242" s="4">
        <v>106.8229</v>
      </c>
      <c r="N1242" s="13">
        <v>5.87</v>
      </c>
      <c r="P1242"/>
      <c r="Q1242" s="12"/>
      <c r="R1242" s="12"/>
    </row>
    <row r="1243" spans="1:18" x14ac:dyDescent="0.2">
      <c r="A1243">
        <v>11</v>
      </c>
      <c r="B1243" t="s">
        <v>7</v>
      </c>
      <c r="C1243">
        <v>2016</v>
      </c>
      <c r="D1243">
        <v>6</v>
      </c>
      <c r="E1243" s="4">
        <v>0</v>
      </c>
      <c r="F1243" s="9">
        <v>881.78</v>
      </c>
      <c r="G1243" s="6">
        <v>10554</v>
      </c>
      <c r="H1243" s="9">
        <f t="shared" si="19"/>
        <v>881.78</v>
      </c>
      <c r="I1243" s="6">
        <v>16045</v>
      </c>
      <c r="J1243" s="6">
        <f>VLOOKUP(Table1[[#This Row],[Province]],[1]Sheet1!$A$3:$F$37,5,FALSE)</f>
        <v>10277600</v>
      </c>
      <c r="K1243">
        <v>1</v>
      </c>
      <c r="L1243" s="4">
        <v>6.1943999999999999</v>
      </c>
      <c r="M1243" s="4">
        <v>106.8229</v>
      </c>
      <c r="N1243" s="13">
        <v>5.87</v>
      </c>
      <c r="P1243"/>
      <c r="Q1243" s="12"/>
      <c r="R1243" s="12"/>
    </row>
    <row r="1244" spans="1:18" x14ac:dyDescent="0.2">
      <c r="A1244">
        <v>11</v>
      </c>
      <c r="B1244" t="s">
        <v>7</v>
      </c>
      <c r="C1244">
        <v>2016</v>
      </c>
      <c r="D1244">
        <v>7</v>
      </c>
      <c r="E1244" s="4">
        <v>0</v>
      </c>
      <c r="F1244" s="9">
        <v>650.80600000000004</v>
      </c>
      <c r="G1244" s="6">
        <v>10070</v>
      </c>
      <c r="H1244" s="9">
        <f t="shared" si="19"/>
        <v>650.80600000000004</v>
      </c>
      <c r="I1244" s="6">
        <v>16250</v>
      </c>
      <c r="J1244" s="6">
        <f>VLOOKUP(Table1[[#This Row],[Province]],[1]Sheet1!$A$3:$F$37,5,FALSE)</f>
        <v>10277600</v>
      </c>
      <c r="K1244">
        <v>0</v>
      </c>
      <c r="L1244" s="4">
        <v>6.1943999999999999</v>
      </c>
      <c r="M1244" s="4">
        <v>106.8229</v>
      </c>
      <c r="N1244" s="13">
        <v>5.87</v>
      </c>
      <c r="P1244"/>
      <c r="Q1244" s="12"/>
      <c r="R1244" s="12"/>
    </row>
    <row r="1245" spans="1:18" x14ac:dyDescent="0.2">
      <c r="A1245">
        <v>11</v>
      </c>
      <c r="B1245" t="s">
        <v>7</v>
      </c>
      <c r="C1245">
        <v>2016</v>
      </c>
      <c r="D1245">
        <v>8</v>
      </c>
      <c r="E1245" s="4">
        <v>0</v>
      </c>
      <c r="F1245" s="9">
        <v>1016.934</v>
      </c>
      <c r="G1245" s="6">
        <v>9951</v>
      </c>
      <c r="H1245" s="9">
        <f t="shared" si="19"/>
        <v>1016.934</v>
      </c>
      <c r="I1245" s="6">
        <v>16227</v>
      </c>
      <c r="J1245" s="6">
        <f>VLOOKUP(Table1[[#This Row],[Province]],[1]Sheet1!$A$3:$F$37,5,FALSE)</f>
        <v>10277600</v>
      </c>
      <c r="K1245">
        <v>0</v>
      </c>
      <c r="L1245" s="4">
        <v>6.1943999999999999</v>
      </c>
      <c r="M1245" s="4">
        <v>106.8229</v>
      </c>
      <c r="N1245" s="13">
        <v>5.87</v>
      </c>
      <c r="P1245"/>
      <c r="Q1245" s="12"/>
      <c r="R1245" s="12"/>
    </row>
    <row r="1246" spans="1:18" x14ac:dyDescent="0.2">
      <c r="A1246">
        <v>11</v>
      </c>
      <c r="B1246" t="s">
        <v>7</v>
      </c>
      <c r="C1246">
        <v>2016</v>
      </c>
      <c r="D1246">
        <v>9</v>
      </c>
      <c r="E1246" s="4">
        <v>0</v>
      </c>
      <c r="F1246" s="9">
        <v>774.74199999999996</v>
      </c>
      <c r="G1246" s="6">
        <v>3846</v>
      </c>
      <c r="H1246" s="9">
        <f t="shared" si="19"/>
        <v>774.74199999999996</v>
      </c>
      <c r="I1246" s="6">
        <v>15548</v>
      </c>
      <c r="J1246" s="6">
        <f>VLOOKUP(Table1[[#This Row],[Province]],[1]Sheet1!$A$3:$F$37,5,FALSE)</f>
        <v>10277600</v>
      </c>
      <c r="K1246">
        <v>0</v>
      </c>
      <c r="L1246" s="4">
        <v>6.1943999999999999</v>
      </c>
      <c r="M1246" s="4">
        <v>106.8229</v>
      </c>
      <c r="N1246" s="13">
        <v>5.87</v>
      </c>
      <c r="P1246"/>
      <c r="Q1246" s="12"/>
      <c r="R1246" s="12"/>
    </row>
    <row r="1247" spans="1:18" x14ac:dyDescent="0.2">
      <c r="A1247">
        <v>11</v>
      </c>
      <c r="B1247" t="s">
        <v>7</v>
      </c>
      <c r="C1247">
        <v>2016</v>
      </c>
      <c r="D1247">
        <v>10</v>
      </c>
      <c r="E1247" s="4">
        <v>0</v>
      </c>
      <c r="F1247" s="9">
        <v>644.11099999999999</v>
      </c>
      <c r="G1247" s="6">
        <v>16801</v>
      </c>
      <c r="H1247" s="9">
        <f t="shared" si="19"/>
        <v>644.11099999999999</v>
      </c>
      <c r="I1247" s="6">
        <v>14976</v>
      </c>
      <c r="J1247" s="6">
        <f>VLOOKUP(Table1[[#This Row],[Province]],[1]Sheet1!$A$3:$F$37,5,FALSE)</f>
        <v>10277600</v>
      </c>
      <c r="K1247">
        <v>0</v>
      </c>
      <c r="L1247" s="4">
        <v>6.1943999999999999</v>
      </c>
      <c r="M1247" s="4">
        <v>106.8229</v>
      </c>
      <c r="N1247" s="13">
        <v>5.87</v>
      </c>
      <c r="P1247"/>
      <c r="Q1247" s="12"/>
      <c r="R1247" s="12"/>
    </row>
    <row r="1248" spans="1:18" x14ac:dyDescent="0.2">
      <c r="A1248">
        <v>11</v>
      </c>
      <c r="B1248" t="s">
        <v>7</v>
      </c>
      <c r="C1248">
        <v>2016</v>
      </c>
      <c r="D1248">
        <v>11</v>
      </c>
      <c r="E1248" s="4">
        <v>0</v>
      </c>
      <c r="F1248" s="9">
        <v>798.97500000000002</v>
      </c>
      <c r="G1248" s="6">
        <v>4757</v>
      </c>
      <c r="H1248" s="9">
        <f t="shared" si="19"/>
        <v>798.97500000000002</v>
      </c>
      <c r="I1248" s="6">
        <v>14455</v>
      </c>
      <c r="J1248" s="6">
        <f>VLOOKUP(Table1[[#This Row],[Province]],[1]Sheet1!$A$3:$F$37,5,FALSE)</f>
        <v>10277600</v>
      </c>
      <c r="K1248">
        <v>0</v>
      </c>
      <c r="L1248" s="4">
        <v>6.1943999999999999</v>
      </c>
      <c r="M1248" s="4">
        <v>106.8229</v>
      </c>
      <c r="N1248" s="13">
        <v>5.87</v>
      </c>
      <c r="P1248"/>
      <c r="Q1248" s="12"/>
      <c r="R1248" s="12"/>
    </row>
    <row r="1249" spans="1:18" x14ac:dyDescent="0.2">
      <c r="A1249">
        <v>11</v>
      </c>
      <c r="B1249" t="s">
        <v>7</v>
      </c>
      <c r="C1249">
        <v>2016</v>
      </c>
      <c r="D1249">
        <v>12</v>
      </c>
      <c r="E1249" s="4">
        <v>0</v>
      </c>
      <c r="F1249" s="9">
        <v>580.77599999999995</v>
      </c>
      <c r="G1249" s="6">
        <v>4761</v>
      </c>
      <c r="H1249" s="9">
        <f t="shared" si="19"/>
        <v>580.77599999999995</v>
      </c>
      <c r="I1249" s="6">
        <v>13900</v>
      </c>
      <c r="J1249" s="6">
        <f>VLOOKUP(Table1[[#This Row],[Province]],[1]Sheet1!$A$3:$F$37,5,FALSE)</f>
        <v>10277600</v>
      </c>
      <c r="K1249">
        <v>1</v>
      </c>
      <c r="L1249" s="4">
        <v>6.1943999999999999</v>
      </c>
      <c r="M1249" s="4">
        <v>106.8229</v>
      </c>
      <c r="N1249" s="13">
        <v>5.87</v>
      </c>
      <c r="P1249"/>
      <c r="Q1249" s="12"/>
      <c r="R1249" s="12"/>
    </row>
    <row r="1250" spans="1:18" x14ac:dyDescent="0.2">
      <c r="A1250">
        <v>11</v>
      </c>
      <c r="B1250" t="s">
        <v>7</v>
      </c>
      <c r="C1250">
        <v>2017</v>
      </c>
      <c r="D1250">
        <v>1</v>
      </c>
      <c r="E1250" s="4">
        <v>0</v>
      </c>
      <c r="F1250" s="9">
        <v>493.471</v>
      </c>
      <c r="G1250" s="6">
        <v>9411</v>
      </c>
      <c r="H1250" s="9">
        <f t="shared" si="19"/>
        <v>493.471</v>
      </c>
      <c r="I1250" s="6">
        <v>13500</v>
      </c>
      <c r="J1250" s="6">
        <f>VLOOKUP(Table1[[#This Row],[Province]],[1]Sheet1!$A$3:$F$37,5,FALSE)</f>
        <v>10277600</v>
      </c>
      <c r="K1250">
        <v>0</v>
      </c>
      <c r="L1250" s="4">
        <v>6.1943999999999999</v>
      </c>
      <c r="M1250" s="4">
        <v>106.8229</v>
      </c>
      <c r="N1250" s="13">
        <v>6.2</v>
      </c>
      <c r="P1250"/>
      <c r="Q1250" s="12"/>
      <c r="R1250" s="12"/>
    </row>
    <row r="1251" spans="1:18" x14ac:dyDescent="0.2">
      <c r="A1251">
        <v>11</v>
      </c>
      <c r="B1251" t="s">
        <v>7</v>
      </c>
      <c r="C1251">
        <v>2017</v>
      </c>
      <c r="D1251">
        <v>2</v>
      </c>
      <c r="E1251" s="4">
        <v>0</v>
      </c>
      <c r="F1251" s="9">
        <v>473.55200000000002</v>
      </c>
      <c r="G1251" s="6">
        <v>5407</v>
      </c>
      <c r="H1251" s="9">
        <f t="shared" si="19"/>
        <v>473.55200000000002</v>
      </c>
      <c r="I1251" s="6">
        <v>13553</v>
      </c>
      <c r="J1251" s="6">
        <f>VLOOKUP(Table1[[#This Row],[Province]],[1]Sheet1!$A$3:$F$37,5,FALSE)</f>
        <v>10277600</v>
      </c>
      <c r="K1251">
        <v>0</v>
      </c>
      <c r="L1251" s="4">
        <v>6.1943999999999999</v>
      </c>
      <c r="M1251" s="4">
        <v>106.8229</v>
      </c>
      <c r="N1251" s="13">
        <v>6.2</v>
      </c>
      <c r="P1251"/>
      <c r="Q1251" s="12"/>
      <c r="R1251" s="12"/>
    </row>
    <row r="1252" spans="1:18" x14ac:dyDescent="0.2">
      <c r="A1252">
        <v>11</v>
      </c>
      <c r="B1252" t="s">
        <v>7</v>
      </c>
      <c r="C1252">
        <v>2017</v>
      </c>
      <c r="D1252">
        <v>3</v>
      </c>
      <c r="E1252" s="4">
        <v>0</v>
      </c>
      <c r="F1252" s="9">
        <v>755.625</v>
      </c>
      <c r="G1252" s="6">
        <v>4225</v>
      </c>
      <c r="H1252" s="9">
        <f t="shared" si="19"/>
        <v>755.625</v>
      </c>
      <c r="I1252" s="6">
        <v>13477</v>
      </c>
      <c r="J1252" s="6">
        <f>VLOOKUP(Table1[[#This Row],[Province]],[1]Sheet1!$A$3:$F$37,5,FALSE)</f>
        <v>10277600</v>
      </c>
      <c r="K1252">
        <v>0</v>
      </c>
      <c r="L1252" s="4">
        <v>6.1943999999999999</v>
      </c>
      <c r="M1252" s="4">
        <v>106.8229</v>
      </c>
      <c r="N1252" s="13">
        <v>6.2</v>
      </c>
      <c r="P1252"/>
      <c r="Q1252" s="12"/>
      <c r="R1252" s="12"/>
    </row>
    <row r="1253" spans="1:18" x14ac:dyDescent="0.2">
      <c r="A1253">
        <v>11</v>
      </c>
      <c r="B1253" t="s">
        <v>7</v>
      </c>
      <c r="C1253">
        <v>2017</v>
      </c>
      <c r="D1253">
        <v>4</v>
      </c>
      <c r="E1253" s="4">
        <v>0</v>
      </c>
      <c r="F1253" s="9">
        <v>648.66200000000003</v>
      </c>
      <c r="G1253" s="6">
        <v>3018</v>
      </c>
      <c r="H1253" s="9">
        <f t="shared" si="19"/>
        <v>648.66200000000003</v>
      </c>
      <c r="I1253" s="6">
        <v>13029</v>
      </c>
      <c r="J1253" s="6">
        <f>VLOOKUP(Table1[[#This Row],[Province]],[1]Sheet1!$A$3:$F$37,5,FALSE)</f>
        <v>10277600</v>
      </c>
      <c r="K1253">
        <v>0</v>
      </c>
      <c r="L1253" s="4">
        <v>6.1943999999999999</v>
      </c>
      <c r="M1253" s="4">
        <v>106.8229</v>
      </c>
      <c r="N1253" s="13">
        <v>6.2</v>
      </c>
      <c r="P1253"/>
      <c r="Q1253" s="12"/>
      <c r="R1253" s="12"/>
    </row>
    <row r="1254" spans="1:18" x14ac:dyDescent="0.2">
      <c r="A1254">
        <v>11</v>
      </c>
      <c r="B1254" t="s">
        <v>7</v>
      </c>
      <c r="C1254">
        <v>2017</v>
      </c>
      <c r="D1254">
        <v>5</v>
      </c>
      <c r="E1254" s="4">
        <v>0</v>
      </c>
      <c r="F1254" s="9">
        <v>1564.3910000000001</v>
      </c>
      <c r="G1254" s="6">
        <v>2907</v>
      </c>
      <c r="H1254" s="9">
        <f t="shared" si="19"/>
        <v>1564.3910000000001</v>
      </c>
      <c r="I1254" s="6">
        <v>13013</v>
      </c>
      <c r="J1254" s="6">
        <f>VLOOKUP(Table1[[#This Row],[Province]],[1]Sheet1!$A$3:$F$37,5,FALSE)</f>
        <v>10277600</v>
      </c>
      <c r="K1254">
        <v>1</v>
      </c>
      <c r="L1254" s="4">
        <v>6.1943999999999999</v>
      </c>
      <c r="M1254" s="4">
        <v>106.8229</v>
      </c>
      <c r="N1254" s="13">
        <v>6.2</v>
      </c>
      <c r="P1254"/>
      <c r="Q1254" s="12"/>
      <c r="R1254" s="12"/>
    </row>
    <row r="1255" spans="1:18" x14ac:dyDescent="0.2">
      <c r="A1255">
        <v>11</v>
      </c>
      <c r="B1255" t="s">
        <v>7</v>
      </c>
      <c r="C1255">
        <v>2017</v>
      </c>
      <c r="D1255">
        <v>6</v>
      </c>
      <c r="E1255" s="4">
        <v>0</v>
      </c>
      <c r="F1255" s="9">
        <v>514.59199999999998</v>
      </c>
      <c r="G1255" s="6">
        <v>5377</v>
      </c>
      <c r="H1255" s="9">
        <f t="shared" si="19"/>
        <v>514.59199999999998</v>
      </c>
      <c r="I1255" s="6">
        <v>13100</v>
      </c>
      <c r="J1255" s="6">
        <f>VLOOKUP(Table1[[#This Row],[Province]],[1]Sheet1!$A$3:$F$37,5,FALSE)</f>
        <v>10277600</v>
      </c>
      <c r="K1255">
        <v>0</v>
      </c>
      <c r="L1255" s="4">
        <v>6.1943999999999999</v>
      </c>
      <c r="M1255" s="4">
        <v>106.8229</v>
      </c>
      <c r="N1255" s="13">
        <v>6.2</v>
      </c>
      <c r="P1255"/>
      <c r="Q1255" s="12"/>
      <c r="R1255" s="12"/>
    </row>
    <row r="1256" spans="1:18" x14ac:dyDescent="0.2">
      <c r="A1256">
        <v>11</v>
      </c>
      <c r="B1256" t="s">
        <v>7</v>
      </c>
      <c r="C1256">
        <v>2017</v>
      </c>
      <c r="D1256">
        <v>7</v>
      </c>
      <c r="E1256" s="4">
        <v>0</v>
      </c>
      <c r="F1256" s="9">
        <v>668.65</v>
      </c>
      <c r="G1256" s="6">
        <v>5986</v>
      </c>
      <c r="H1256" s="9">
        <f t="shared" si="19"/>
        <v>668.65</v>
      </c>
      <c r="I1256" s="6">
        <v>12690</v>
      </c>
      <c r="J1256" s="6">
        <f>VLOOKUP(Table1[[#This Row],[Province]],[1]Sheet1!$A$3:$F$37,5,FALSE)</f>
        <v>10277600</v>
      </c>
      <c r="K1256">
        <v>0</v>
      </c>
      <c r="L1256" s="4">
        <v>6.1943999999999999</v>
      </c>
      <c r="M1256" s="4">
        <v>106.8229</v>
      </c>
      <c r="N1256" s="13">
        <v>6.2</v>
      </c>
      <c r="P1256"/>
      <c r="Q1256" s="12"/>
      <c r="R1256" s="12"/>
    </row>
    <row r="1257" spans="1:18" x14ac:dyDescent="0.2">
      <c r="A1257">
        <v>11</v>
      </c>
      <c r="B1257" t="s">
        <v>7</v>
      </c>
      <c r="C1257">
        <v>2017</v>
      </c>
      <c r="D1257">
        <v>8</v>
      </c>
      <c r="E1257" s="4">
        <v>0</v>
      </c>
      <c r="F1257" s="9">
        <v>813.51300000000003</v>
      </c>
      <c r="G1257" s="6">
        <v>11474</v>
      </c>
      <c r="H1257" s="9">
        <f t="shared" si="19"/>
        <v>813.51300000000003</v>
      </c>
      <c r="I1257" s="6">
        <v>12955</v>
      </c>
      <c r="J1257" s="6">
        <f>VLOOKUP(Table1[[#This Row],[Province]],[1]Sheet1!$A$3:$F$37,5,FALSE)</f>
        <v>10277600</v>
      </c>
      <c r="K1257">
        <v>0</v>
      </c>
      <c r="L1257" s="4">
        <v>6.1943999999999999</v>
      </c>
      <c r="M1257" s="4">
        <v>106.8229</v>
      </c>
      <c r="N1257" s="13">
        <v>6.2</v>
      </c>
      <c r="P1257"/>
      <c r="Q1257" s="12"/>
      <c r="R1257" s="12"/>
    </row>
    <row r="1258" spans="1:18" x14ac:dyDescent="0.2">
      <c r="A1258">
        <v>11</v>
      </c>
      <c r="B1258" t="s">
        <v>7</v>
      </c>
      <c r="C1258">
        <v>2017</v>
      </c>
      <c r="D1258">
        <v>9</v>
      </c>
      <c r="E1258" s="4">
        <v>0</v>
      </c>
      <c r="F1258" s="9">
        <v>577.52200000000005</v>
      </c>
      <c r="G1258" s="6">
        <v>11119</v>
      </c>
      <c r="H1258" s="9">
        <f t="shared" si="19"/>
        <v>577.52200000000005</v>
      </c>
      <c r="I1258" s="6">
        <v>12500</v>
      </c>
      <c r="J1258" s="6">
        <f>VLOOKUP(Table1[[#This Row],[Province]],[1]Sheet1!$A$3:$F$37,5,FALSE)</f>
        <v>10277600</v>
      </c>
      <c r="K1258">
        <v>0</v>
      </c>
      <c r="L1258" s="4">
        <v>6.1943999999999999</v>
      </c>
      <c r="M1258" s="4">
        <v>106.8229</v>
      </c>
      <c r="N1258" s="13">
        <v>6.2</v>
      </c>
      <c r="P1258"/>
      <c r="Q1258" s="12"/>
      <c r="R1258" s="12"/>
    </row>
    <row r="1259" spans="1:18" x14ac:dyDescent="0.2">
      <c r="A1259">
        <v>11</v>
      </c>
      <c r="B1259" t="s">
        <v>7</v>
      </c>
      <c r="C1259">
        <v>2017</v>
      </c>
      <c r="D1259">
        <v>10</v>
      </c>
      <c r="E1259" s="4">
        <v>0</v>
      </c>
      <c r="F1259" s="9">
        <v>709.68200000000002</v>
      </c>
      <c r="G1259" s="6">
        <v>14433</v>
      </c>
      <c r="H1259" s="9">
        <f t="shared" si="19"/>
        <v>709.68200000000002</v>
      </c>
      <c r="I1259" s="6">
        <v>12670</v>
      </c>
      <c r="J1259" s="6">
        <f>VLOOKUP(Table1[[#This Row],[Province]],[1]Sheet1!$A$3:$F$37,5,FALSE)</f>
        <v>10277600</v>
      </c>
      <c r="K1259">
        <v>0</v>
      </c>
      <c r="L1259" s="4">
        <v>6.1943999999999999</v>
      </c>
      <c r="M1259" s="4">
        <v>106.8229</v>
      </c>
      <c r="N1259" s="13">
        <v>6.2</v>
      </c>
      <c r="P1259"/>
      <c r="Q1259" s="12"/>
      <c r="R1259" s="12"/>
    </row>
    <row r="1260" spans="1:18" x14ac:dyDescent="0.2">
      <c r="A1260">
        <v>11</v>
      </c>
      <c r="B1260" t="s">
        <v>7</v>
      </c>
      <c r="C1260">
        <v>2017</v>
      </c>
      <c r="D1260">
        <v>11</v>
      </c>
      <c r="E1260" s="4">
        <v>0</v>
      </c>
      <c r="F1260" s="9">
        <v>803.13400000000001</v>
      </c>
      <c r="G1260" s="6">
        <v>3772</v>
      </c>
      <c r="H1260" s="9">
        <f t="shared" si="19"/>
        <v>803.13400000000001</v>
      </c>
      <c r="I1260" s="6">
        <v>12989</v>
      </c>
      <c r="J1260" s="6">
        <f>VLOOKUP(Table1[[#This Row],[Province]],[1]Sheet1!$A$3:$F$37,5,FALSE)</f>
        <v>10277600</v>
      </c>
      <c r="K1260">
        <v>0</v>
      </c>
      <c r="L1260" s="4">
        <v>6.1943999999999999</v>
      </c>
      <c r="M1260" s="4">
        <v>106.8229</v>
      </c>
      <c r="N1260" s="13">
        <v>6.2</v>
      </c>
      <c r="P1260"/>
      <c r="Q1260" s="12"/>
      <c r="R1260" s="12"/>
    </row>
    <row r="1261" spans="1:18" x14ac:dyDescent="0.2">
      <c r="A1261">
        <v>11</v>
      </c>
      <c r="B1261" t="s">
        <v>7</v>
      </c>
      <c r="C1261">
        <v>2017</v>
      </c>
      <c r="D1261">
        <v>12</v>
      </c>
      <c r="E1261" s="4">
        <v>0</v>
      </c>
      <c r="F1261" s="9">
        <v>726.71500000000003</v>
      </c>
      <c r="G1261" s="6">
        <v>7026</v>
      </c>
      <c r="H1261" s="9">
        <f t="shared" si="19"/>
        <v>726.71500000000003</v>
      </c>
      <c r="I1261" s="6">
        <v>12222</v>
      </c>
      <c r="J1261" s="6">
        <f>VLOOKUP(Table1[[#This Row],[Province]],[1]Sheet1!$A$3:$F$37,5,FALSE)</f>
        <v>10277600</v>
      </c>
      <c r="K1261">
        <v>1</v>
      </c>
      <c r="L1261" s="4">
        <v>6.1943999999999999</v>
      </c>
      <c r="M1261" s="4">
        <v>106.8229</v>
      </c>
      <c r="N1261" s="13">
        <v>6.2</v>
      </c>
      <c r="P1261"/>
      <c r="Q1261" s="12"/>
      <c r="R1261" s="12"/>
    </row>
    <row r="1262" spans="1:18" x14ac:dyDescent="0.2">
      <c r="A1262">
        <v>11</v>
      </c>
      <c r="B1262" t="s">
        <v>7</v>
      </c>
      <c r="C1262">
        <v>2018</v>
      </c>
      <c r="D1262">
        <v>1</v>
      </c>
      <c r="E1262" s="4">
        <v>0</v>
      </c>
      <c r="F1262" s="9">
        <v>548.59199999999998</v>
      </c>
      <c r="G1262" s="6">
        <v>5796</v>
      </c>
      <c r="H1262" s="9">
        <f t="shared" si="19"/>
        <v>548.59199999999998</v>
      </c>
      <c r="I1262" s="6">
        <v>11818</v>
      </c>
      <c r="J1262" s="6">
        <f>VLOOKUP(Table1[[#This Row],[Province]],[1]Sheet1!$A$3:$F$37,5,FALSE)</f>
        <v>10277600</v>
      </c>
      <c r="K1262">
        <v>0</v>
      </c>
      <c r="L1262" s="4">
        <v>6.1943999999999999</v>
      </c>
      <c r="M1262" s="4">
        <v>106.8229</v>
      </c>
      <c r="N1262" s="13">
        <v>6.11</v>
      </c>
      <c r="P1262"/>
      <c r="Q1262" s="12"/>
      <c r="R1262" s="12"/>
    </row>
    <row r="1263" spans="1:18" x14ac:dyDescent="0.2">
      <c r="A1263">
        <v>11</v>
      </c>
      <c r="B1263" t="s">
        <v>7</v>
      </c>
      <c r="C1263">
        <v>2018</v>
      </c>
      <c r="D1263">
        <v>2</v>
      </c>
      <c r="E1263" s="4">
        <v>0</v>
      </c>
      <c r="F1263" s="9">
        <v>373.46800000000002</v>
      </c>
      <c r="G1263" s="6">
        <v>7256</v>
      </c>
      <c r="H1263" s="9">
        <f t="shared" si="19"/>
        <v>373.46800000000002</v>
      </c>
      <c r="I1263" s="6">
        <v>11755</v>
      </c>
      <c r="J1263" s="6">
        <f>VLOOKUP(Table1[[#This Row],[Province]],[1]Sheet1!$A$3:$F$37,5,FALSE)</f>
        <v>10277600</v>
      </c>
      <c r="K1263">
        <v>0</v>
      </c>
      <c r="L1263" s="4">
        <v>6.1943999999999999</v>
      </c>
      <c r="M1263" s="4">
        <v>106.8229</v>
      </c>
      <c r="N1263" s="13">
        <v>6.11</v>
      </c>
      <c r="P1263"/>
      <c r="Q1263" s="12"/>
      <c r="R1263" s="12"/>
    </row>
    <row r="1264" spans="1:18" x14ac:dyDescent="0.2">
      <c r="A1264">
        <v>11</v>
      </c>
      <c r="B1264" t="s">
        <v>7</v>
      </c>
      <c r="C1264">
        <v>2018</v>
      </c>
      <c r="D1264">
        <v>3</v>
      </c>
      <c r="E1264" s="4">
        <v>0</v>
      </c>
      <c r="F1264" s="9">
        <v>675.26700000000005</v>
      </c>
      <c r="G1264" s="6">
        <v>9533</v>
      </c>
      <c r="H1264" s="9">
        <f t="shared" si="19"/>
        <v>675.26700000000005</v>
      </c>
      <c r="I1264" s="6">
        <v>11981</v>
      </c>
      <c r="J1264" s="6">
        <f>VLOOKUP(Table1[[#This Row],[Province]],[1]Sheet1!$A$3:$F$37,5,FALSE)</f>
        <v>10277600</v>
      </c>
      <c r="K1264">
        <v>0</v>
      </c>
      <c r="L1264" s="4">
        <v>6.1943999999999999</v>
      </c>
      <c r="M1264" s="4">
        <v>106.8229</v>
      </c>
      <c r="N1264" s="13">
        <v>6.11</v>
      </c>
      <c r="P1264"/>
      <c r="Q1264" s="12"/>
      <c r="R1264" s="12"/>
    </row>
    <row r="1265" spans="1:18" x14ac:dyDescent="0.2">
      <c r="A1265">
        <v>11</v>
      </c>
      <c r="B1265" t="s">
        <v>7</v>
      </c>
      <c r="C1265">
        <v>2018</v>
      </c>
      <c r="D1265">
        <v>4</v>
      </c>
      <c r="E1265" s="4">
        <v>0</v>
      </c>
      <c r="F1265" s="9">
        <v>628.97</v>
      </c>
      <c r="G1265" s="6">
        <v>6230</v>
      </c>
      <c r="H1265" s="9">
        <f t="shared" si="19"/>
        <v>628.97</v>
      </c>
      <c r="I1265" s="6">
        <v>12000</v>
      </c>
      <c r="J1265" s="6">
        <f>VLOOKUP(Table1[[#This Row],[Province]],[1]Sheet1!$A$3:$F$37,5,FALSE)</f>
        <v>10277600</v>
      </c>
      <c r="K1265">
        <v>0</v>
      </c>
      <c r="L1265" s="4">
        <v>6.1943999999999999</v>
      </c>
      <c r="M1265" s="4">
        <v>106.8229</v>
      </c>
      <c r="N1265" s="13">
        <v>6.11</v>
      </c>
      <c r="P1265"/>
      <c r="Q1265" s="12"/>
      <c r="R1265" s="12"/>
    </row>
    <row r="1266" spans="1:18" x14ac:dyDescent="0.2">
      <c r="A1266">
        <v>11</v>
      </c>
      <c r="B1266" t="s">
        <v>7</v>
      </c>
      <c r="C1266">
        <v>2018</v>
      </c>
      <c r="D1266">
        <v>5</v>
      </c>
      <c r="E1266" s="4">
        <v>0</v>
      </c>
      <c r="F1266" s="9">
        <v>1104.8430000000001</v>
      </c>
      <c r="G1266" s="6">
        <v>15804</v>
      </c>
      <c r="H1266" s="9">
        <f t="shared" si="19"/>
        <v>1104.8430000000001</v>
      </c>
      <c r="I1266" s="6">
        <v>12088</v>
      </c>
      <c r="J1266" s="6">
        <f>VLOOKUP(Table1[[#This Row],[Province]],[1]Sheet1!$A$3:$F$37,5,FALSE)</f>
        <v>10277600</v>
      </c>
      <c r="K1266">
        <v>1</v>
      </c>
      <c r="L1266" s="4">
        <v>6.1943999999999999</v>
      </c>
      <c r="M1266" s="4">
        <v>106.8229</v>
      </c>
      <c r="N1266" s="13">
        <v>6.11</v>
      </c>
      <c r="P1266"/>
      <c r="Q1266" s="12"/>
      <c r="R1266" s="12"/>
    </row>
    <row r="1267" spans="1:18" x14ac:dyDescent="0.2">
      <c r="A1267">
        <v>11</v>
      </c>
      <c r="B1267" t="s">
        <v>7</v>
      </c>
      <c r="C1267">
        <v>2018</v>
      </c>
      <c r="D1267">
        <v>6</v>
      </c>
      <c r="E1267" s="4">
        <v>0</v>
      </c>
      <c r="F1267" s="9">
        <v>320.495</v>
      </c>
      <c r="G1267" s="6">
        <v>6072</v>
      </c>
      <c r="H1267" s="9">
        <f t="shared" si="19"/>
        <v>320.495</v>
      </c>
      <c r="I1267" s="6">
        <v>12000</v>
      </c>
      <c r="J1267" s="6">
        <f>VLOOKUP(Table1[[#This Row],[Province]],[1]Sheet1!$A$3:$F$37,5,FALSE)</f>
        <v>10277600</v>
      </c>
      <c r="K1267">
        <v>0</v>
      </c>
      <c r="L1267" s="4">
        <v>6.1943999999999999</v>
      </c>
      <c r="M1267" s="4">
        <v>106.8229</v>
      </c>
      <c r="N1267" s="13">
        <v>6.11</v>
      </c>
      <c r="P1267"/>
      <c r="Q1267" s="12"/>
      <c r="R1267" s="12"/>
    </row>
    <row r="1268" spans="1:18" x14ac:dyDescent="0.2">
      <c r="A1268">
        <v>11</v>
      </c>
      <c r="B1268" t="s">
        <v>7</v>
      </c>
      <c r="C1268">
        <v>2018</v>
      </c>
      <c r="D1268">
        <v>7</v>
      </c>
      <c r="E1268" s="4">
        <v>0</v>
      </c>
      <c r="F1268" s="9">
        <v>927.36</v>
      </c>
      <c r="G1268" s="6">
        <v>13105</v>
      </c>
      <c r="H1268" s="9">
        <f t="shared" si="19"/>
        <v>927.36</v>
      </c>
      <c r="I1268" s="6">
        <v>12000</v>
      </c>
      <c r="J1268" s="6">
        <f>VLOOKUP(Table1[[#This Row],[Province]],[1]Sheet1!$A$3:$F$37,5,FALSE)</f>
        <v>10277600</v>
      </c>
      <c r="K1268">
        <v>0</v>
      </c>
      <c r="L1268" s="4">
        <v>6.1943999999999999</v>
      </c>
      <c r="M1268" s="4">
        <v>106.8229</v>
      </c>
      <c r="N1268" s="13">
        <v>6.11</v>
      </c>
      <c r="P1268"/>
      <c r="Q1268" s="12"/>
      <c r="R1268" s="12"/>
    </row>
    <row r="1269" spans="1:18" x14ac:dyDescent="0.2">
      <c r="A1269">
        <v>11</v>
      </c>
      <c r="B1269" t="s">
        <v>7</v>
      </c>
      <c r="C1269">
        <v>2018</v>
      </c>
      <c r="D1269">
        <v>8</v>
      </c>
      <c r="E1269" s="4">
        <v>0</v>
      </c>
      <c r="F1269" s="9">
        <v>707.05399999999997</v>
      </c>
      <c r="G1269" s="6">
        <v>6265</v>
      </c>
      <c r="H1269" s="9">
        <f t="shared" si="19"/>
        <v>707.05399999999997</v>
      </c>
      <c r="I1269" s="6">
        <v>11220</v>
      </c>
      <c r="J1269" s="6">
        <f>VLOOKUP(Table1[[#This Row],[Province]],[1]Sheet1!$A$3:$F$37,5,FALSE)</f>
        <v>10277600</v>
      </c>
      <c r="K1269">
        <v>0</v>
      </c>
      <c r="L1269" s="4">
        <v>6.1943999999999999</v>
      </c>
      <c r="M1269" s="4">
        <v>106.8229</v>
      </c>
      <c r="N1269" s="13">
        <v>6.11</v>
      </c>
      <c r="P1269"/>
      <c r="Q1269" s="12"/>
      <c r="R1269" s="12"/>
    </row>
    <row r="1270" spans="1:18" x14ac:dyDescent="0.2">
      <c r="A1270">
        <v>11</v>
      </c>
      <c r="B1270" t="s">
        <v>7</v>
      </c>
      <c r="C1270">
        <v>2018</v>
      </c>
      <c r="D1270">
        <v>9</v>
      </c>
      <c r="E1270" s="4">
        <v>0</v>
      </c>
      <c r="F1270" s="9">
        <v>599.673</v>
      </c>
      <c r="G1270" s="6">
        <v>11871</v>
      </c>
      <c r="H1270" s="9">
        <f t="shared" si="19"/>
        <v>599.673</v>
      </c>
      <c r="I1270" s="6">
        <v>11000</v>
      </c>
      <c r="J1270" s="6">
        <f>VLOOKUP(Table1[[#This Row],[Province]],[1]Sheet1!$A$3:$F$37,5,FALSE)</f>
        <v>10277600</v>
      </c>
      <c r="K1270">
        <v>0</v>
      </c>
      <c r="L1270" s="4">
        <v>6.1943999999999999</v>
      </c>
      <c r="M1270" s="4">
        <v>106.8229</v>
      </c>
      <c r="N1270" s="13">
        <v>6.11</v>
      </c>
      <c r="P1270"/>
      <c r="Q1270" s="12"/>
      <c r="R1270" s="12"/>
    </row>
    <row r="1271" spans="1:18" x14ac:dyDescent="0.2">
      <c r="A1271">
        <v>11</v>
      </c>
      <c r="B1271" t="s">
        <v>7</v>
      </c>
      <c r="C1271">
        <v>2018</v>
      </c>
      <c r="D1271">
        <v>10</v>
      </c>
      <c r="E1271" s="4">
        <v>0</v>
      </c>
      <c r="F1271" s="9">
        <v>920.40499999999997</v>
      </c>
      <c r="G1271" s="6">
        <v>8567</v>
      </c>
      <c r="H1271" s="9">
        <f t="shared" si="19"/>
        <v>920.40499999999997</v>
      </c>
      <c r="I1271" s="6">
        <v>11000</v>
      </c>
      <c r="J1271" s="6">
        <f>VLOOKUP(Table1[[#This Row],[Province]],[1]Sheet1!$A$3:$F$37,5,FALSE)</f>
        <v>10277600</v>
      </c>
      <c r="K1271">
        <v>0</v>
      </c>
      <c r="L1271" s="4">
        <v>6.1943999999999999</v>
      </c>
      <c r="M1271" s="4">
        <v>106.8229</v>
      </c>
      <c r="N1271" s="13">
        <v>6.11</v>
      </c>
      <c r="P1271"/>
      <c r="Q1271" s="12"/>
      <c r="R1271" s="12"/>
    </row>
    <row r="1272" spans="1:18" x14ac:dyDescent="0.2">
      <c r="A1272">
        <v>11</v>
      </c>
      <c r="B1272" t="s">
        <v>7</v>
      </c>
      <c r="C1272">
        <v>2018</v>
      </c>
      <c r="D1272">
        <v>11</v>
      </c>
      <c r="E1272" s="4">
        <v>0</v>
      </c>
      <c r="F1272" s="9">
        <v>919.51400000000001</v>
      </c>
      <c r="G1272" s="6">
        <v>5071</v>
      </c>
      <c r="H1272" s="9">
        <f t="shared" si="19"/>
        <v>919.51400000000001</v>
      </c>
      <c r="I1272" s="6">
        <v>11313</v>
      </c>
      <c r="J1272" s="6">
        <f>VLOOKUP(Table1[[#This Row],[Province]],[1]Sheet1!$A$3:$F$37,5,FALSE)</f>
        <v>10277600</v>
      </c>
      <c r="K1272">
        <v>0</v>
      </c>
      <c r="L1272" s="4">
        <v>6.1943999999999999</v>
      </c>
      <c r="M1272" s="4">
        <v>106.8229</v>
      </c>
      <c r="N1272" s="13">
        <v>6.11</v>
      </c>
      <c r="P1272"/>
      <c r="Q1272" s="12"/>
      <c r="R1272" s="12"/>
    </row>
    <row r="1273" spans="1:18" x14ac:dyDescent="0.2">
      <c r="A1273">
        <v>11</v>
      </c>
      <c r="B1273" t="s">
        <v>7</v>
      </c>
      <c r="C1273">
        <v>2018</v>
      </c>
      <c r="D1273">
        <v>12</v>
      </c>
      <c r="E1273" s="4">
        <v>0</v>
      </c>
      <c r="F1273" s="9">
        <v>586.88300000000004</v>
      </c>
      <c r="G1273" s="6">
        <v>4422</v>
      </c>
      <c r="H1273" s="9">
        <f t="shared" si="19"/>
        <v>586.88300000000004</v>
      </c>
      <c r="I1273" s="6">
        <v>11063</v>
      </c>
      <c r="J1273" s="6">
        <f>VLOOKUP(Table1[[#This Row],[Province]],[1]Sheet1!$A$3:$F$37,5,FALSE)</f>
        <v>10277600</v>
      </c>
      <c r="K1273">
        <v>1</v>
      </c>
      <c r="L1273" s="4">
        <v>6.1943999999999999</v>
      </c>
      <c r="M1273" s="4">
        <v>106.8229</v>
      </c>
      <c r="N1273" s="13">
        <v>6.11</v>
      </c>
      <c r="P1273"/>
      <c r="Q1273" s="12"/>
      <c r="R1273" s="12"/>
    </row>
    <row r="1274" spans="1:18" x14ac:dyDescent="0.2">
      <c r="A1274">
        <v>11</v>
      </c>
      <c r="B1274" t="s">
        <v>7</v>
      </c>
      <c r="C1274">
        <v>2019</v>
      </c>
      <c r="D1274">
        <v>1</v>
      </c>
      <c r="E1274" s="4">
        <v>0</v>
      </c>
      <c r="F1274" s="9">
        <v>900.96500000000003</v>
      </c>
      <c r="G1274" s="6">
        <v>2793</v>
      </c>
      <c r="H1274" s="9">
        <f t="shared" si="19"/>
        <v>900.96500000000003</v>
      </c>
      <c r="I1274" s="6">
        <v>11078</v>
      </c>
      <c r="J1274" s="6">
        <f>VLOOKUP(Table1[[#This Row],[Province]],[1]Sheet1!$A$3:$F$37,5,FALSE)</f>
        <v>10277600</v>
      </c>
      <c r="K1274">
        <v>0</v>
      </c>
      <c r="L1274" s="4">
        <v>6.1943999999999999</v>
      </c>
      <c r="M1274" s="4">
        <v>106.8229</v>
      </c>
      <c r="N1274" s="13">
        <v>5.82</v>
      </c>
      <c r="P1274"/>
      <c r="Q1274" s="12"/>
      <c r="R1274" s="12"/>
    </row>
    <row r="1275" spans="1:18" x14ac:dyDescent="0.2">
      <c r="A1275">
        <v>11</v>
      </c>
      <c r="B1275" t="s">
        <v>7</v>
      </c>
      <c r="C1275">
        <v>2019</v>
      </c>
      <c r="D1275">
        <v>2</v>
      </c>
      <c r="E1275" s="4">
        <v>0</v>
      </c>
      <c r="F1275" s="9">
        <v>669.84699999999998</v>
      </c>
      <c r="G1275" s="6">
        <v>867</v>
      </c>
      <c r="H1275" s="9">
        <f t="shared" si="19"/>
        <v>669.84699999999998</v>
      </c>
      <c r="I1275" s="6">
        <v>11034</v>
      </c>
      <c r="J1275" s="6">
        <f>VLOOKUP(Table1[[#This Row],[Province]],[1]Sheet1!$A$3:$F$37,5,FALSE)</f>
        <v>10277600</v>
      </c>
      <c r="K1275">
        <v>0</v>
      </c>
      <c r="L1275" s="4">
        <v>6.1943999999999999</v>
      </c>
      <c r="M1275" s="4">
        <v>106.8229</v>
      </c>
      <c r="N1275" s="13">
        <v>5.82</v>
      </c>
      <c r="P1275"/>
      <c r="Q1275" s="12"/>
      <c r="R1275" s="12"/>
    </row>
    <row r="1276" spans="1:18" x14ac:dyDescent="0.2">
      <c r="A1276">
        <v>11</v>
      </c>
      <c r="B1276" t="s">
        <v>7</v>
      </c>
      <c r="C1276">
        <v>2019</v>
      </c>
      <c r="D1276">
        <v>3</v>
      </c>
      <c r="E1276" s="4">
        <v>0</v>
      </c>
      <c r="F1276" s="9">
        <v>873.17399999999998</v>
      </c>
      <c r="G1276" s="6">
        <v>5828</v>
      </c>
      <c r="H1276" s="9">
        <f t="shared" si="19"/>
        <v>873.17399999999998</v>
      </c>
      <c r="I1276" s="6">
        <v>11281</v>
      </c>
      <c r="J1276" s="6">
        <f>VLOOKUP(Table1[[#This Row],[Province]],[1]Sheet1!$A$3:$F$37,5,FALSE)</f>
        <v>10277600</v>
      </c>
      <c r="K1276">
        <v>0</v>
      </c>
      <c r="L1276" s="4">
        <v>6.1943999999999999</v>
      </c>
      <c r="M1276" s="4">
        <v>106.8229</v>
      </c>
      <c r="N1276" s="13">
        <v>5.82</v>
      </c>
      <c r="P1276"/>
      <c r="Q1276" s="12"/>
      <c r="R1276" s="12"/>
    </row>
    <row r="1277" spans="1:18" x14ac:dyDescent="0.2">
      <c r="A1277">
        <v>11</v>
      </c>
      <c r="B1277" t="s">
        <v>7</v>
      </c>
      <c r="C1277">
        <v>2019</v>
      </c>
      <c r="D1277">
        <v>4</v>
      </c>
      <c r="E1277" s="4">
        <v>0</v>
      </c>
      <c r="F1277" s="9">
        <v>1236.451</v>
      </c>
      <c r="G1277" s="6">
        <v>1292</v>
      </c>
      <c r="H1277" s="9">
        <f t="shared" si="19"/>
        <v>1236.451</v>
      </c>
      <c r="I1277" s="6">
        <v>12000</v>
      </c>
      <c r="J1277" s="6">
        <f>VLOOKUP(Table1[[#This Row],[Province]],[1]Sheet1!$A$3:$F$37,5,FALSE)</f>
        <v>10277600</v>
      </c>
      <c r="K1277">
        <v>0</v>
      </c>
      <c r="L1277" s="4">
        <v>6.1943999999999999</v>
      </c>
      <c r="M1277" s="4">
        <v>106.8229</v>
      </c>
      <c r="N1277" s="13">
        <v>5.82</v>
      </c>
      <c r="P1277"/>
      <c r="Q1277" s="12"/>
      <c r="R1277" s="12"/>
    </row>
    <row r="1278" spans="1:18" x14ac:dyDescent="0.2">
      <c r="A1278">
        <v>11</v>
      </c>
      <c r="B1278" t="s">
        <v>7</v>
      </c>
      <c r="C1278">
        <v>2019</v>
      </c>
      <c r="D1278">
        <v>5</v>
      </c>
      <c r="E1278" s="4">
        <v>0</v>
      </c>
      <c r="F1278" s="9">
        <v>978.745</v>
      </c>
      <c r="G1278" s="6">
        <v>2577</v>
      </c>
      <c r="H1278" s="9">
        <f t="shared" si="19"/>
        <v>978.745</v>
      </c>
      <c r="I1278" s="6">
        <v>12748</v>
      </c>
      <c r="J1278" s="6">
        <f>VLOOKUP(Table1[[#This Row],[Province]],[1]Sheet1!$A$3:$F$37,5,FALSE)</f>
        <v>10277600</v>
      </c>
      <c r="K1278">
        <v>1</v>
      </c>
      <c r="L1278" s="4">
        <v>6.1943999999999999</v>
      </c>
      <c r="M1278" s="4">
        <v>106.8229</v>
      </c>
      <c r="N1278" s="13">
        <v>5.82</v>
      </c>
      <c r="P1278"/>
      <c r="Q1278" s="12"/>
      <c r="R1278" s="12"/>
    </row>
    <row r="1279" spans="1:18" x14ac:dyDescent="0.2">
      <c r="A1279">
        <v>11</v>
      </c>
      <c r="B1279" t="s">
        <v>7</v>
      </c>
      <c r="C1279">
        <v>2019</v>
      </c>
      <c r="D1279">
        <v>6</v>
      </c>
      <c r="E1279" s="4">
        <v>0</v>
      </c>
      <c r="F1279" s="9">
        <v>391.19799999999998</v>
      </c>
      <c r="G1279" s="6">
        <v>7973</v>
      </c>
      <c r="H1279" s="9">
        <f t="shared" si="19"/>
        <v>391.19799999999998</v>
      </c>
      <c r="I1279" s="6">
        <v>12982</v>
      </c>
      <c r="J1279" s="6">
        <f>VLOOKUP(Table1[[#This Row],[Province]],[1]Sheet1!$A$3:$F$37,5,FALSE)</f>
        <v>10277600</v>
      </c>
      <c r="K1279">
        <v>0</v>
      </c>
      <c r="L1279" s="4">
        <v>6.1943999999999999</v>
      </c>
      <c r="M1279" s="4">
        <v>106.8229</v>
      </c>
      <c r="N1279" s="13">
        <v>5.82</v>
      </c>
      <c r="P1279"/>
      <c r="Q1279" s="12"/>
      <c r="R1279" s="12"/>
    </row>
    <row r="1280" spans="1:18" x14ac:dyDescent="0.2">
      <c r="A1280">
        <v>11</v>
      </c>
      <c r="B1280" t="s">
        <v>7</v>
      </c>
      <c r="C1280">
        <v>2019</v>
      </c>
      <c r="D1280">
        <v>7</v>
      </c>
      <c r="E1280" s="4">
        <v>0</v>
      </c>
      <c r="F1280" s="9">
        <v>895.66899999999998</v>
      </c>
      <c r="G1280" s="6">
        <v>4187</v>
      </c>
      <c r="H1280" s="9">
        <f t="shared" si="19"/>
        <v>895.66899999999998</v>
      </c>
      <c r="I1280" s="6">
        <v>13000</v>
      </c>
      <c r="J1280" s="6">
        <f>VLOOKUP(Table1[[#This Row],[Province]],[1]Sheet1!$A$3:$F$37,5,FALSE)</f>
        <v>10277600</v>
      </c>
      <c r="K1280">
        <v>0</v>
      </c>
      <c r="L1280" s="4">
        <v>6.1943999999999999</v>
      </c>
      <c r="M1280" s="4">
        <v>106.8229</v>
      </c>
      <c r="N1280" s="13">
        <v>5.82</v>
      </c>
      <c r="P1280"/>
      <c r="Q1280" s="12"/>
      <c r="R1280" s="12"/>
    </row>
    <row r="1281" spans="1:18" x14ac:dyDescent="0.2">
      <c r="A1281">
        <v>11</v>
      </c>
      <c r="B1281" t="s">
        <v>7</v>
      </c>
      <c r="C1281">
        <v>2019</v>
      </c>
      <c r="D1281">
        <v>8</v>
      </c>
      <c r="E1281" s="4">
        <v>0</v>
      </c>
      <c r="F1281" s="9">
        <v>719.03399999999999</v>
      </c>
      <c r="G1281" s="6">
        <v>13907</v>
      </c>
      <c r="H1281" s="9">
        <f t="shared" si="19"/>
        <v>719.03399999999999</v>
      </c>
      <c r="I1281" s="6">
        <v>13000</v>
      </c>
      <c r="J1281" s="6">
        <f>VLOOKUP(Table1[[#This Row],[Province]],[1]Sheet1!$A$3:$F$37,5,FALSE)</f>
        <v>10277600</v>
      </c>
      <c r="K1281">
        <v>0</v>
      </c>
      <c r="L1281" s="4">
        <v>6.1943999999999999</v>
      </c>
      <c r="M1281" s="4">
        <v>106.8229</v>
      </c>
      <c r="N1281" s="13">
        <v>5.82</v>
      </c>
      <c r="P1281"/>
      <c r="Q1281" s="12"/>
      <c r="R1281" s="12"/>
    </row>
    <row r="1282" spans="1:18" x14ac:dyDescent="0.2">
      <c r="A1282">
        <v>11</v>
      </c>
      <c r="B1282" t="s">
        <v>7</v>
      </c>
      <c r="C1282">
        <v>2019</v>
      </c>
      <c r="D1282">
        <v>9</v>
      </c>
      <c r="E1282" s="4">
        <v>0</v>
      </c>
      <c r="F1282" s="9">
        <v>762.44200000000001</v>
      </c>
      <c r="G1282" s="6">
        <v>7735</v>
      </c>
      <c r="H1282" s="9">
        <f t="shared" ref="H1282:H1345" si="20">F1282+E1282</f>
        <v>762.44200000000001</v>
      </c>
      <c r="I1282" s="6">
        <v>13000</v>
      </c>
      <c r="J1282" s="6">
        <f>VLOOKUP(Table1[[#This Row],[Province]],[1]Sheet1!$A$3:$F$37,5,FALSE)</f>
        <v>10277600</v>
      </c>
      <c r="K1282">
        <v>0</v>
      </c>
      <c r="L1282" s="4">
        <v>6.1943999999999999</v>
      </c>
      <c r="M1282" s="4">
        <v>106.8229</v>
      </c>
      <c r="N1282" s="13">
        <v>5.82</v>
      </c>
      <c r="P1282"/>
      <c r="Q1282" s="12"/>
      <c r="R1282" s="12"/>
    </row>
    <row r="1283" spans="1:18" x14ac:dyDescent="0.2">
      <c r="A1283">
        <v>11</v>
      </c>
      <c r="B1283" t="s">
        <v>7</v>
      </c>
      <c r="C1283">
        <v>2019</v>
      </c>
      <c r="D1283">
        <v>10</v>
      </c>
      <c r="E1283" s="4">
        <v>0</v>
      </c>
      <c r="F1283" s="9">
        <v>1276.806</v>
      </c>
      <c r="G1283" s="6">
        <v>10705</v>
      </c>
      <c r="H1283" s="9">
        <f t="shared" si="20"/>
        <v>1276.806</v>
      </c>
      <c r="I1283" s="6">
        <v>13000</v>
      </c>
      <c r="J1283" s="6">
        <f>VLOOKUP(Table1[[#This Row],[Province]],[1]Sheet1!$A$3:$F$37,5,FALSE)</f>
        <v>10277600</v>
      </c>
      <c r="K1283">
        <v>0</v>
      </c>
      <c r="L1283" s="4">
        <v>6.1943999999999999</v>
      </c>
      <c r="M1283" s="4">
        <v>106.8229</v>
      </c>
      <c r="N1283" s="13">
        <v>5.82</v>
      </c>
      <c r="P1283"/>
      <c r="Q1283" s="12"/>
      <c r="R1283" s="12"/>
    </row>
    <row r="1284" spans="1:18" x14ac:dyDescent="0.2">
      <c r="A1284">
        <v>11</v>
      </c>
      <c r="B1284" t="s">
        <v>7</v>
      </c>
      <c r="C1284">
        <v>2019</v>
      </c>
      <c r="D1284">
        <v>11</v>
      </c>
      <c r="E1284" s="4">
        <v>0</v>
      </c>
      <c r="F1284" s="9">
        <v>1041.5989999999999</v>
      </c>
      <c r="G1284" s="6">
        <v>13904</v>
      </c>
      <c r="H1284" s="9">
        <f t="shared" si="20"/>
        <v>1041.5989999999999</v>
      </c>
      <c r="I1284" s="6">
        <v>12707</v>
      </c>
      <c r="J1284" s="6">
        <f>VLOOKUP(Table1[[#This Row],[Province]],[1]Sheet1!$A$3:$F$37,5,FALSE)</f>
        <v>10277600</v>
      </c>
      <c r="K1284">
        <v>0</v>
      </c>
      <c r="L1284" s="4">
        <v>6.1943999999999999</v>
      </c>
      <c r="M1284" s="4">
        <v>106.8229</v>
      </c>
      <c r="N1284" s="13">
        <v>5.82</v>
      </c>
      <c r="P1284"/>
      <c r="Q1284" s="12"/>
      <c r="R1284" s="12"/>
    </row>
    <row r="1285" spans="1:18" x14ac:dyDescent="0.2">
      <c r="A1285">
        <v>11</v>
      </c>
      <c r="B1285" t="s">
        <v>7</v>
      </c>
      <c r="C1285">
        <v>2019</v>
      </c>
      <c r="D1285">
        <v>12</v>
      </c>
      <c r="E1285" s="4">
        <v>0</v>
      </c>
      <c r="F1285" s="9">
        <v>900.57500000000005</v>
      </c>
      <c r="G1285" s="6">
        <v>11413</v>
      </c>
      <c r="H1285" s="9">
        <f t="shared" si="20"/>
        <v>900.57500000000005</v>
      </c>
      <c r="I1285" s="6">
        <v>13000</v>
      </c>
      <c r="J1285" s="6">
        <f>VLOOKUP(Table1[[#This Row],[Province]],[1]Sheet1!$A$3:$F$37,5,FALSE)</f>
        <v>10277600</v>
      </c>
      <c r="K1285">
        <v>1</v>
      </c>
      <c r="L1285" s="4">
        <v>6.1943999999999999</v>
      </c>
      <c r="M1285" s="4">
        <v>106.8229</v>
      </c>
      <c r="N1285" s="13">
        <v>5.82</v>
      </c>
      <c r="P1285"/>
      <c r="Q1285" s="12"/>
      <c r="R1285" s="12"/>
    </row>
    <row r="1286" spans="1:18" x14ac:dyDescent="0.2">
      <c r="A1286">
        <v>11</v>
      </c>
      <c r="B1286" t="s">
        <v>7</v>
      </c>
      <c r="C1286">
        <v>2020</v>
      </c>
      <c r="D1286">
        <v>1</v>
      </c>
      <c r="E1286" s="4">
        <v>0</v>
      </c>
      <c r="F1286" s="9">
        <v>1103.2629999999999</v>
      </c>
      <c r="G1286" s="6">
        <v>12494</v>
      </c>
      <c r="H1286" s="9">
        <f t="shared" si="20"/>
        <v>1103.2629999999999</v>
      </c>
      <c r="I1286" s="6">
        <v>13290</v>
      </c>
      <c r="J1286" s="6">
        <f>VLOOKUP(Table1[[#This Row],[Province]],[1]Sheet1!$A$3:$F$37,5,FALSE)</f>
        <v>10277600</v>
      </c>
      <c r="K1286">
        <v>0</v>
      </c>
      <c r="L1286" s="4">
        <v>6.1943999999999999</v>
      </c>
      <c r="M1286" s="4">
        <v>106.8229</v>
      </c>
      <c r="N1286" s="13">
        <v>-2.39</v>
      </c>
      <c r="P1286"/>
      <c r="Q1286" s="12"/>
      <c r="R1286" s="12"/>
    </row>
    <row r="1287" spans="1:18" x14ac:dyDescent="0.2">
      <c r="A1287">
        <v>11</v>
      </c>
      <c r="B1287" t="s">
        <v>7</v>
      </c>
      <c r="C1287">
        <v>2020</v>
      </c>
      <c r="D1287">
        <v>2</v>
      </c>
      <c r="E1287" s="4">
        <v>0</v>
      </c>
      <c r="F1287" s="9">
        <v>400.63200000000001</v>
      </c>
      <c r="G1287" s="6">
        <v>11645</v>
      </c>
      <c r="H1287" s="9">
        <f t="shared" si="20"/>
        <v>400.63200000000001</v>
      </c>
      <c r="I1287" s="6">
        <v>14116</v>
      </c>
      <c r="J1287" s="6">
        <f>VLOOKUP(Table1[[#This Row],[Province]],[1]Sheet1!$A$3:$F$37,5,FALSE)</f>
        <v>10277600</v>
      </c>
      <c r="K1287">
        <v>0</v>
      </c>
      <c r="L1287" s="4">
        <v>6.1943999999999999</v>
      </c>
      <c r="M1287" s="4">
        <v>106.8229</v>
      </c>
      <c r="N1287" s="13">
        <v>-2.39</v>
      </c>
      <c r="P1287"/>
      <c r="Q1287" s="12"/>
      <c r="R1287" s="12"/>
    </row>
    <row r="1288" spans="1:18" x14ac:dyDescent="0.2">
      <c r="A1288">
        <v>11</v>
      </c>
      <c r="B1288" t="s">
        <v>7</v>
      </c>
      <c r="C1288">
        <v>2020</v>
      </c>
      <c r="D1288">
        <v>3</v>
      </c>
      <c r="E1288" s="4">
        <v>0</v>
      </c>
      <c r="F1288" s="9">
        <v>978.80200000000002</v>
      </c>
      <c r="G1288" s="6">
        <v>12883</v>
      </c>
      <c r="H1288" s="9">
        <f t="shared" si="20"/>
        <v>978.80200000000002</v>
      </c>
      <c r="I1288" s="6">
        <v>16382</v>
      </c>
      <c r="J1288" s="6">
        <f>VLOOKUP(Table1[[#This Row],[Province]],[1]Sheet1!$A$3:$F$37,5,FALSE)</f>
        <v>10277600</v>
      </c>
      <c r="K1288">
        <v>0</v>
      </c>
      <c r="L1288" s="4">
        <v>6.1943999999999999</v>
      </c>
      <c r="M1288" s="4">
        <v>106.8229</v>
      </c>
      <c r="N1288" s="13">
        <v>-2.39</v>
      </c>
      <c r="P1288"/>
      <c r="Q1288" s="12"/>
      <c r="R1288" s="12"/>
    </row>
    <row r="1289" spans="1:18" x14ac:dyDescent="0.2">
      <c r="A1289">
        <v>11</v>
      </c>
      <c r="B1289" t="s">
        <v>7</v>
      </c>
      <c r="C1289">
        <v>2020</v>
      </c>
      <c r="D1289">
        <v>4</v>
      </c>
      <c r="E1289" s="4">
        <v>0</v>
      </c>
      <c r="F1289" s="9">
        <v>775.45299999999997</v>
      </c>
      <c r="G1289" s="6">
        <v>8395</v>
      </c>
      <c r="H1289" s="9">
        <f t="shared" si="20"/>
        <v>775.45299999999997</v>
      </c>
      <c r="I1289" s="6">
        <v>17234</v>
      </c>
      <c r="J1289" s="6">
        <f>VLOOKUP(Table1[[#This Row],[Province]],[1]Sheet1!$A$3:$F$37,5,FALSE)</f>
        <v>10277600</v>
      </c>
      <c r="K1289">
        <v>1</v>
      </c>
      <c r="L1289" s="4">
        <v>6.1943999999999999</v>
      </c>
      <c r="M1289" s="4">
        <v>106.8229</v>
      </c>
      <c r="N1289" s="13">
        <v>-2.39</v>
      </c>
      <c r="P1289"/>
      <c r="Q1289" s="12"/>
      <c r="R1289" s="12"/>
    </row>
    <row r="1290" spans="1:18" x14ac:dyDescent="0.2">
      <c r="A1290">
        <v>11</v>
      </c>
      <c r="B1290" t="s">
        <v>7</v>
      </c>
      <c r="C1290">
        <v>2020</v>
      </c>
      <c r="D1290">
        <v>5</v>
      </c>
      <c r="E1290" s="4">
        <v>0</v>
      </c>
      <c r="F1290" s="9">
        <v>296.666</v>
      </c>
      <c r="G1290" s="6">
        <v>11673</v>
      </c>
      <c r="H1290" s="9">
        <f t="shared" si="20"/>
        <v>296.666</v>
      </c>
      <c r="I1290" s="6">
        <v>16790</v>
      </c>
      <c r="J1290" s="6">
        <f>VLOOKUP(Table1[[#This Row],[Province]],[1]Sheet1!$A$3:$F$37,5,FALSE)</f>
        <v>10277600</v>
      </c>
      <c r="K1290">
        <v>0</v>
      </c>
      <c r="L1290" s="4">
        <v>6.1943999999999999</v>
      </c>
      <c r="M1290" s="4">
        <v>106.8229</v>
      </c>
      <c r="N1290" s="13">
        <v>-2.39</v>
      </c>
      <c r="P1290"/>
      <c r="Q1290" s="12"/>
      <c r="R1290" s="12"/>
    </row>
    <row r="1291" spans="1:18" x14ac:dyDescent="0.2">
      <c r="A1291">
        <v>11</v>
      </c>
      <c r="B1291" t="s">
        <v>7</v>
      </c>
      <c r="C1291">
        <v>2020</v>
      </c>
      <c r="D1291">
        <v>6</v>
      </c>
      <c r="E1291" s="4">
        <v>0</v>
      </c>
      <c r="F1291" s="9">
        <v>738.42499999999995</v>
      </c>
      <c r="G1291" s="6">
        <v>9379</v>
      </c>
      <c r="H1291" s="9">
        <f t="shared" si="20"/>
        <v>738.42499999999995</v>
      </c>
      <c r="I1291" s="6">
        <v>14482</v>
      </c>
      <c r="J1291" s="6">
        <f>VLOOKUP(Table1[[#This Row],[Province]],[1]Sheet1!$A$3:$F$37,5,FALSE)</f>
        <v>10277600</v>
      </c>
      <c r="K1291">
        <v>0</v>
      </c>
      <c r="L1291" s="4">
        <v>6.1943999999999999</v>
      </c>
      <c r="M1291" s="4">
        <v>106.8229</v>
      </c>
      <c r="N1291" s="13">
        <v>-2.39</v>
      </c>
      <c r="P1291"/>
      <c r="Q1291" s="12"/>
      <c r="R1291" s="12"/>
    </row>
    <row r="1292" spans="1:18" x14ac:dyDescent="0.2">
      <c r="A1292">
        <v>11</v>
      </c>
      <c r="B1292" t="s">
        <v>7</v>
      </c>
      <c r="C1292">
        <v>2020</v>
      </c>
      <c r="D1292">
        <v>7</v>
      </c>
      <c r="E1292" s="4">
        <v>0</v>
      </c>
      <c r="F1292" s="9">
        <v>1234.4390000000001</v>
      </c>
      <c r="G1292" s="6">
        <v>11008</v>
      </c>
      <c r="H1292" s="9">
        <f t="shared" si="20"/>
        <v>1234.4390000000001</v>
      </c>
      <c r="I1292" s="6">
        <v>13346</v>
      </c>
      <c r="J1292" s="6">
        <f>VLOOKUP(Table1[[#This Row],[Province]],[1]Sheet1!$A$3:$F$37,5,FALSE)</f>
        <v>10277600</v>
      </c>
      <c r="K1292">
        <v>0</v>
      </c>
      <c r="L1292" s="4">
        <v>6.1943999999999999</v>
      </c>
      <c r="M1292" s="4">
        <v>106.8229</v>
      </c>
      <c r="N1292" s="13">
        <v>-2.39</v>
      </c>
      <c r="P1292"/>
      <c r="Q1292" s="12"/>
      <c r="R1292" s="12"/>
    </row>
    <row r="1293" spans="1:18" x14ac:dyDescent="0.2">
      <c r="A1293">
        <v>11</v>
      </c>
      <c r="B1293" t="s">
        <v>7</v>
      </c>
      <c r="C1293">
        <v>2020</v>
      </c>
      <c r="D1293">
        <v>8</v>
      </c>
      <c r="E1293" s="4">
        <v>0</v>
      </c>
      <c r="F1293" s="9">
        <v>1616.82</v>
      </c>
      <c r="G1293" s="6">
        <v>8960</v>
      </c>
      <c r="H1293" s="9">
        <f t="shared" si="20"/>
        <v>1616.82</v>
      </c>
      <c r="I1293" s="6">
        <v>12770</v>
      </c>
      <c r="J1293" s="6">
        <f>VLOOKUP(Table1[[#This Row],[Province]],[1]Sheet1!$A$3:$F$37,5,FALSE)</f>
        <v>10277600</v>
      </c>
      <c r="K1293">
        <v>0</v>
      </c>
      <c r="L1293" s="4">
        <v>6.1943999999999999</v>
      </c>
      <c r="M1293" s="4">
        <v>106.8229</v>
      </c>
      <c r="N1293" s="13">
        <v>-2.39</v>
      </c>
      <c r="P1293"/>
      <c r="Q1293" s="12"/>
      <c r="R1293" s="12"/>
    </row>
    <row r="1294" spans="1:18" x14ac:dyDescent="0.2">
      <c r="A1294">
        <v>11</v>
      </c>
      <c r="B1294" t="s">
        <v>7</v>
      </c>
      <c r="C1294">
        <v>2020</v>
      </c>
      <c r="D1294">
        <v>9</v>
      </c>
      <c r="E1294" s="4">
        <v>0</v>
      </c>
      <c r="F1294" s="9">
        <v>1433.2619999999999</v>
      </c>
      <c r="G1294" s="6">
        <v>9144</v>
      </c>
      <c r="H1294" s="9">
        <f t="shared" si="20"/>
        <v>1433.2619999999999</v>
      </c>
      <c r="I1294" s="6">
        <v>12508</v>
      </c>
      <c r="J1294" s="6">
        <f>VLOOKUP(Table1[[#This Row],[Province]],[1]Sheet1!$A$3:$F$37,5,FALSE)</f>
        <v>10277600</v>
      </c>
      <c r="K1294">
        <v>0</v>
      </c>
      <c r="L1294" s="4">
        <v>6.1943999999999999</v>
      </c>
      <c r="M1294" s="4">
        <v>106.8229</v>
      </c>
      <c r="N1294" s="13">
        <v>-2.39</v>
      </c>
      <c r="P1294"/>
      <c r="Q1294" s="12"/>
      <c r="R1294" s="12"/>
    </row>
    <row r="1295" spans="1:18" x14ac:dyDescent="0.2">
      <c r="A1295">
        <v>11</v>
      </c>
      <c r="B1295" t="s">
        <v>7</v>
      </c>
      <c r="C1295">
        <v>2020</v>
      </c>
      <c r="D1295">
        <v>10</v>
      </c>
      <c r="E1295" s="4">
        <v>0</v>
      </c>
      <c r="F1295" s="9">
        <v>1560.67</v>
      </c>
      <c r="G1295" s="6">
        <v>10580</v>
      </c>
      <c r="H1295" s="9">
        <f t="shared" si="20"/>
        <v>1560.67</v>
      </c>
      <c r="I1295" s="6">
        <v>12463</v>
      </c>
      <c r="J1295" s="6">
        <f>VLOOKUP(Table1[[#This Row],[Province]],[1]Sheet1!$A$3:$F$37,5,FALSE)</f>
        <v>10277600</v>
      </c>
      <c r="K1295">
        <v>0</v>
      </c>
      <c r="L1295" s="4">
        <v>6.1943999999999999</v>
      </c>
      <c r="M1295" s="4">
        <v>106.8229</v>
      </c>
      <c r="N1295" s="13">
        <v>-2.39</v>
      </c>
      <c r="P1295"/>
      <c r="Q1295" s="12"/>
      <c r="R1295" s="12"/>
    </row>
    <row r="1296" spans="1:18" x14ac:dyDescent="0.2">
      <c r="A1296">
        <v>11</v>
      </c>
      <c r="B1296" t="s">
        <v>7</v>
      </c>
      <c r="C1296">
        <v>2020</v>
      </c>
      <c r="D1296">
        <v>11</v>
      </c>
      <c r="E1296" s="4">
        <v>0</v>
      </c>
      <c r="F1296" s="9">
        <v>2265.6439999999998</v>
      </c>
      <c r="G1296" s="6">
        <v>10041</v>
      </c>
      <c r="H1296" s="9">
        <f t="shared" si="20"/>
        <v>2265.6439999999998</v>
      </c>
      <c r="I1296" s="6">
        <v>12838</v>
      </c>
      <c r="J1296" s="6">
        <f>VLOOKUP(Table1[[#This Row],[Province]],[1]Sheet1!$A$3:$F$37,5,FALSE)</f>
        <v>10277600</v>
      </c>
      <c r="K1296">
        <v>0</v>
      </c>
      <c r="L1296" s="4">
        <v>6.1943999999999999</v>
      </c>
      <c r="M1296" s="4">
        <v>106.8229</v>
      </c>
      <c r="N1296" s="13">
        <v>-2.39</v>
      </c>
      <c r="P1296"/>
      <c r="Q1296" s="12"/>
      <c r="R1296" s="12"/>
    </row>
    <row r="1297" spans="1:18" x14ac:dyDescent="0.2">
      <c r="A1297">
        <v>11</v>
      </c>
      <c r="B1297" t="s">
        <v>7</v>
      </c>
      <c r="C1297">
        <v>2020</v>
      </c>
      <c r="D1297">
        <v>12</v>
      </c>
      <c r="E1297" s="4">
        <v>0</v>
      </c>
      <c r="F1297" s="9">
        <v>1636.5550000000001</v>
      </c>
      <c r="G1297" s="6">
        <v>15882</v>
      </c>
      <c r="H1297" s="9">
        <f t="shared" si="20"/>
        <v>1636.5550000000001</v>
      </c>
      <c r="I1297" s="6">
        <v>12943</v>
      </c>
      <c r="J1297" s="6">
        <f>VLOOKUP(Table1[[#This Row],[Province]],[1]Sheet1!$A$3:$F$37,5,FALSE)</f>
        <v>10277600</v>
      </c>
      <c r="K1297">
        <v>1</v>
      </c>
      <c r="L1297" s="4">
        <v>6.1943999999999999</v>
      </c>
      <c r="M1297" s="4">
        <v>106.8229</v>
      </c>
      <c r="N1297" s="13">
        <v>-2.39</v>
      </c>
      <c r="P1297"/>
      <c r="Q1297" s="12"/>
      <c r="R1297" s="12"/>
    </row>
    <row r="1298" spans="1:18" x14ac:dyDescent="0.2">
      <c r="A1298">
        <v>11</v>
      </c>
      <c r="B1298" t="s">
        <v>7</v>
      </c>
      <c r="C1298">
        <v>2021</v>
      </c>
      <c r="D1298">
        <v>1</v>
      </c>
      <c r="E1298" s="4">
        <v>0</v>
      </c>
      <c r="F1298" s="9">
        <v>1974.2560000000001</v>
      </c>
      <c r="G1298" s="6">
        <v>6391</v>
      </c>
      <c r="H1298" s="9">
        <f t="shared" si="20"/>
        <v>1974.2560000000001</v>
      </c>
      <c r="I1298" s="6">
        <v>12898</v>
      </c>
      <c r="J1298" s="6">
        <f>VLOOKUP(Table1[[#This Row],[Province]],[1]Sheet1!$A$3:$F$37,5,FALSE)</f>
        <v>10277600</v>
      </c>
      <c r="K1298">
        <v>0</v>
      </c>
      <c r="L1298" s="4">
        <v>6.1943999999999999</v>
      </c>
      <c r="M1298" s="4">
        <v>106.8229</v>
      </c>
      <c r="N1298" s="13">
        <v>3.55</v>
      </c>
      <c r="P1298"/>
      <c r="Q1298" s="12"/>
      <c r="R1298" s="12"/>
    </row>
    <row r="1299" spans="1:18" x14ac:dyDescent="0.2">
      <c r="A1299">
        <v>11</v>
      </c>
      <c r="B1299" t="s">
        <v>7</v>
      </c>
      <c r="C1299">
        <v>2021</v>
      </c>
      <c r="D1299">
        <v>2</v>
      </c>
      <c r="E1299" s="4">
        <v>0</v>
      </c>
      <c r="F1299" s="9">
        <v>1147.2070000000001</v>
      </c>
      <c r="G1299" s="6">
        <v>9569</v>
      </c>
      <c r="H1299" s="9">
        <f t="shared" si="20"/>
        <v>1147.2070000000001</v>
      </c>
      <c r="I1299" s="6">
        <v>12804</v>
      </c>
      <c r="J1299" s="6">
        <f>VLOOKUP(Table1[[#This Row],[Province]],[1]Sheet1!$A$3:$F$37,5,FALSE)</f>
        <v>10277600</v>
      </c>
      <c r="K1299">
        <v>0</v>
      </c>
      <c r="L1299" s="4">
        <v>6.1943999999999999</v>
      </c>
      <c r="M1299" s="4">
        <v>106.8229</v>
      </c>
      <c r="N1299" s="13">
        <v>3.55</v>
      </c>
      <c r="P1299"/>
      <c r="Q1299" s="12"/>
      <c r="R1299" s="12"/>
    </row>
    <row r="1300" spans="1:18" x14ac:dyDescent="0.2">
      <c r="A1300">
        <v>11</v>
      </c>
      <c r="B1300" t="s">
        <v>7</v>
      </c>
      <c r="C1300">
        <v>2021</v>
      </c>
      <c r="D1300">
        <v>3</v>
      </c>
      <c r="E1300" s="4">
        <v>0</v>
      </c>
      <c r="F1300" s="9">
        <v>918.98400000000004</v>
      </c>
      <c r="G1300" s="6">
        <v>11145</v>
      </c>
      <c r="H1300" s="9">
        <f t="shared" si="20"/>
        <v>918.98400000000004</v>
      </c>
      <c r="I1300" s="6">
        <v>12500</v>
      </c>
      <c r="J1300" s="6">
        <f>VLOOKUP(Table1[[#This Row],[Province]],[1]Sheet1!$A$3:$F$37,5,FALSE)</f>
        <v>10277600</v>
      </c>
      <c r="K1300">
        <v>0</v>
      </c>
      <c r="L1300" s="4">
        <v>6.1943999999999999</v>
      </c>
      <c r="M1300" s="4">
        <v>106.8229</v>
      </c>
      <c r="N1300" s="13">
        <v>3.55</v>
      </c>
      <c r="P1300"/>
      <c r="Q1300" s="12"/>
      <c r="R1300" s="12"/>
    </row>
    <row r="1301" spans="1:18" x14ac:dyDescent="0.2">
      <c r="A1301">
        <v>11</v>
      </c>
      <c r="B1301" t="s">
        <v>7</v>
      </c>
      <c r="C1301">
        <v>2021</v>
      </c>
      <c r="D1301">
        <v>4</v>
      </c>
      <c r="E1301" s="4">
        <v>0</v>
      </c>
      <c r="F1301" s="9">
        <v>1284.1990000000001</v>
      </c>
      <c r="G1301" s="6">
        <v>9756</v>
      </c>
      <c r="H1301" s="9">
        <f t="shared" si="20"/>
        <v>1284.1990000000001</v>
      </c>
      <c r="I1301" s="6">
        <v>14075</v>
      </c>
      <c r="J1301" s="6">
        <f>VLOOKUP(Table1[[#This Row],[Province]],[1]Sheet1!$A$3:$F$37,5,FALSE)</f>
        <v>10277600</v>
      </c>
      <c r="K1301">
        <v>1</v>
      </c>
      <c r="L1301" s="4">
        <v>6.1943999999999999</v>
      </c>
      <c r="M1301" s="4">
        <v>106.8229</v>
      </c>
      <c r="N1301" s="13">
        <v>3.55</v>
      </c>
      <c r="P1301"/>
      <c r="Q1301" s="12"/>
      <c r="R1301" s="12"/>
    </row>
    <row r="1302" spans="1:18" x14ac:dyDescent="0.2">
      <c r="A1302">
        <v>11</v>
      </c>
      <c r="B1302" t="s">
        <v>7</v>
      </c>
      <c r="C1302">
        <v>2021</v>
      </c>
      <c r="D1302">
        <v>5</v>
      </c>
      <c r="E1302" s="4">
        <v>0</v>
      </c>
      <c r="F1302" s="9">
        <v>580.73500000000001</v>
      </c>
      <c r="G1302" s="6">
        <v>12674</v>
      </c>
      <c r="H1302" s="9">
        <f t="shared" si="20"/>
        <v>580.73500000000001</v>
      </c>
      <c r="I1302" s="6">
        <v>14000</v>
      </c>
      <c r="J1302" s="6">
        <f>VLOOKUP(Table1[[#This Row],[Province]],[1]Sheet1!$A$3:$F$37,5,FALSE)</f>
        <v>10277600</v>
      </c>
      <c r="K1302">
        <v>0</v>
      </c>
      <c r="L1302" s="4">
        <v>6.1943999999999999</v>
      </c>
      <c r="M1302" s="4">
        <v>106.8229</v>
      </c>
      <c r="N1302" s="13">
        <v>3.55</v>
      </c>
      <c r="P1302"/>
      <c r="Q1302" s="12"/>
      <c r="R1302" s="12"/>
    </row>
    <row r="1303" spans="1:18" x14ac:dyDescent="0.2">
      <c r="A1303">
        <v>11</v>
      </c>
      <c r="B1303" t="s">
        <v>7</v>
      </c>
      <c r="C1303">
        <v>2021</v>
      </c>
      <c r="D1303">
        <v>6</v>
      </c>
      <c r="E1303" s="4">
        <v>0</v>
      </c>
      <c r="F1303" s="9">
        <v>1701.88</v>
      </c>
      <c r="G1303" s="6">
        <v>13378</v>
      </c>
      <c r="H1303" s="9">
        <f t="shared" si="20"/>
        <v>1701.88</v>
      </c>
      <c r="I1303" s="6">
        <v>14150</v>
      </c>
      <c r="J1303" s="6">
        <f>VLOOKUP(Table1[[#This Row],[Province]],[1]Sheet1!$A$3:$F$37,5,FALSE)</f>
        <v>10277600</v>
      </c>
      <c r="K1303">
        <v>0</v>
      </c>
      <c r="L1303" s="4">
        <v>6.1943999999999999</v>
      </c>
      <c r="M1303" s="4">
        <v>106.8229</v>
      </c>
      <c r="N1303" s="13">
        <v>3.55</v>
      </c>
      <c r="P1303"/>
      <c r="Q1303" s="12"/>
      <c r="R1303" s="12"/>
    </row>
    <row r="1304" spans="1:18" x14ac:dyDescent="0.2">
      <c r="A1304">
        <v>11</v>
      </c>
      <c r="B1304" t="s">
        <v>7</v>
      </c>
      <c r="C1304">
        <v>2021</v>
      </c>
      <c r="D1304">
        <v>7</v>
      </c>
      <c r="E1304" s="4">
        <v>0</v>
      </c>
      <c r="F1304" s="9">
        <v>1501.664</v>
      </c>
      <c r="G1304" s="6">
        <v>6477</v>
      </c>
      <c r="H1304" s="9">
        <f t="shared" si="20"/>
        <v>1501.664</v>
      </c>
      <c r="I1304" s="6">
        <v>14200</v>
      </c>
      <c r="J1304" s="6">
        <f>VLOOKUP(Table1[[#This Row],[Province]],[1]Sheet1!$A$3:$F$37,5,FALSE)</f>
        <v>10277600</v>
      </c>
      <c r="K1304">
        <v>0</v>
      </c>
      <c r="L1304" s="4">
        <v>6.1943999999999999</v>
      </c>
      <c r="M1304" s="4">
        <v>106.8229</v>
      </c>
      <c r="N1304" s="13">
        <v>3.55</v>
      </c>
      <c r="P1304"/>
      <c r="Q1304" s="12"/>
      <c r="R1304" s="12"/>
    </row>
    <row r="1305" spans="1:18" x14ac:dyDescent="0.2">
      <c r="A1305">
        <v>11</v>
      </c>
      <c r="B1305" t="s">
        <v>7</v>
      </c>
      <c r="C1305">
        <v>2021</v>
      </c>
      <c r="D1305">
        <v>8</v>
      </c>
      <c r="E1305" s="4">
        <v>0</v>
      </c>
      <c r="F1305" s="9">
        <v>1980.259</v>
      </c>
      <c r="G1305" s="6">
        <v>7617</v>
      </c>
      <c r="H1305" s="9">
        <f t="shared" si="20"/>
        <v>1980.259</v>
      </c>
      <c r="I1305" s="6">
        <v>14310</v>
      </c>
      <c r="J1305" s="6">
        <f>VLOOKUP(Table1[[#This Row],[Province]],[1]Sheet1!$A$3:$F$37,5,FALSE)</f>
        <v>10277600</v>
      </c>
      <c r="K1305">
        <v>0</v>
      </c>
      <c r="L1305" s="4">
        <v>6.1943999999999999</v>
      </c>
      <c r="M1305" s="4">
        <v>106.8229</v>
      </c>
      <c r="N1305" s="13">
        <v>3.55</v>
      </c>
      <c r="P1305"/>
      <c r="Q1305" s="12"/>
      <c r="R1305" s="12"/>
    </row>
    <row r="1306" spans="1:18" x14ac:dyDescent="0.2">
      <c r="A1306">
        <v>11</v>
      </c>
      <c r="B1306" t="s">
        <v>7</v>
      </c>
      <c r="C1306">
        <v>2021</v>
      </c>
      <c r="D1306">
        <v>9</v>
      </c>
      <c r="E1306" s="4">
        <v>0</v>
      </c>
      <c r="F1306" s="9">
        <v>1115.6659999999999</v>
      </c>
      <c r="G1306" s="6">
        <v>10651</v>
      </c>
      <c r="H1306" s="9">
        <f t="shared" si="20"/>
        <v>1115.6659999999999</v>
      </c>
      <c r="I1306" s="6">
        <v>14150</v>
      </c>
      <c r="J1306" s="6">
        <f>VLOOKUP(Table1[[#This Row],[Province]],[1]Sheet1!$A$3:$F$37,5,FALSE)</f>
        <v>10277600</v>
      </c>
      <c r="K1306">
        <v>0</v>
      </c>
      <c r="L1306" s="4">
        <v>6.1943999999999999</v>
      </c>
      <c r="M1306" s="4">
        <v>106.8229</v>
      </c>
      <c r="N1306" s="13">
        <v>3.55</v>
      </c>
      <c r="P1306"/>
      <c r="Q1306" s="12"/>
      <c r="R1306" s="12"/>
    </row>
    <row r="1307" spans="1:18" x14ac:dyDescent="0.2">
      <c r="A1307">
        <v>11</v>
      </c>
      <c r="B1307" t="s">
        <v>7</v>
      </c>
      <c r="C1307">
        <v>2021</v>
      </c>
      <c r="D1307">
        <v>10</v>
      </c>
      <c r="E1307" s="4">
        <v>0</v>
      </c>
      <c r="F1307" s="9">
        <v>1892.6780000000001</v>
      </c>
      <c r="G1307" s="6">
        <v>9419</v>
      </c>
      <c r="H1307" s="9">
        <f t="shared" si="20"/>
        <v>1892.6780000000001</v>
      </c>
      <c r="I1307" s="6">
        <v>14008</v>
      </c>
      <c r="J1307" s="6">
        <f>VLOOKUP(Table1[[#This Row],[Province]],[1]Sheet1!$A$3:$F$37,5,FALSE)</f>
        <v>10277600</v>
      </c>
      <c r="K1307">
        <v>0</v>
      </c>
      <c r="L1307" s="4">
        <v>6.1943999999999999</v>
      </c>
      <c r="M1307" s="4">
        <v>106.8229</v>
      </c>
      <c r="N1307" s="13">
        <v>3.55</v>
      </c>
      <c r="P1307"/>
      <c r="Q1307" s="12"/>
      <c r="R1307" s="12"/>
    </row>
    <row r="1308" spans="1:18" x14ac:dyDescent="0.2">
      <c r="A1308">
        <v>11</v>
      </c>
      <c r="B1308" t="s">
        <v>7</v>
      </c>
      <c r="C1308">
        <v>2021</v>
      </c>
      <c r="D1308">
        <v>11</v>
      </c>
      <c r="E1308" s="4">
        <v>0</v>
      </c>
      <c r="F1308" s="9">
        <v>2139.8229999999999</v>
      </c>
      <c r="G1308" s="6">
        <v>5881</v>
      </c>
      <c r="H1308" s="9">
        <f t="shared" si="20"/>
        <v>2139.8229999999999</v>
      </c>
      <c r="I1308" s="6">
        <v>14000</v>
      </c>
      <c r="J1308" s="6">
        <f>VLOOKUP(Table1[[#This Row],[Province]],[1]Sheet1!$A$3:$F$37,5,FALSE)</f>
        <v>10277600</v>
      </c>
      <c r="K1308">
        <v>0</v>
      </c>
      <c r="L1308" s="4">
        <v>6.1943999999999999</v>
      </c>
      <c r="M1308" s="4">
        <v>106.8229</v>
      </c>
      <c r="N1308" s="13">
        <v>3.55</v>
      </c>
      <c r="P1308"/>
      <c r="Q1308" s="12"/>
      <c r="R1308" s="12"/>
    </row>
    <row r="1309" spans="1:18" x14ac:dyDescent="0.2">
      <c r="A1309">
        <v>11</v>
      </c>
      <c r="B1309" t="s">
        <v>7</v>
      </c>
      <c r="C1309">
        <v>2021</v>
      </c>
      <c r="D1309">
        <v>12</v>
      </c>
      <c r="E1309" s="4">
        <v>0</v>
      </c>
      <c r="F1309" s="9">
        <v>2140.2719999999999</v>
      </c>
      <c r="G1309" s="6">
        <v>6815</v>
      </c>
      <c r="H1309" s="9">
        <f t="shared" si="20"/>
        <v>2140.2719999999999</v>
      </c>
      <c r="I1309" s="6">
        <v>13963</v>
      </c>
      <c r="J1309" s="6">
        <f>VLOOKUP(Table1[[#This Row],[Province]],[1]Sheet1!$A$3:$F$37,5,FALSE)</f>
        <v>10277600</v>
      </c>
      <c r="K1309">
        <v>1</v>
      </c>
      <c r="L1309" s="4">
        <v>6.1943999999999999</v>
      </c>
      <c r="M1309" s="4">
        <v>106.8229</v>
      </c>
      <c r="N1309" s="13">
        <v>3.55</v>
      </c>
      <c r="P1309"/>
      <c r="Q1309" s="12"/>
      <c r="R1309" s="12"/>
    </row>
    <row r="1310" spans="1:18" x14ac:dyDescent="0.2">
      <c r="A1310">
        <v>11</v>
      </c>
      <c r="B1310" t="s">
        <v>7</v>
      </c>
      <c r="C1310">
        <v>2022</v>
      </c>
      <c r="D1310">
        <v>1</v>
      </c>
      <c r="E1310" s="6">
        <v>0</v>
      </c>
      <c r="F1310" s="9">
        <v>2104.9499999999998</v>
      </c>
      <c r="G1310" s="6">
        <v>5520</v>
      </c>
      <c r="H1310" s="9">
        <f t="shared" si="20"/>
        <v>2104.9499999999998</v>
      </c>
      <c r="I1310" s="6">
        <v>14320</v>
      </c>
      <c r="J1310" s="6">
        <f>VLOOKUP(Table1[[#This Row],[Province]],[1]Sheet1!$A$3:$F$37,5,FALSE)</f>
        <v>10277600</v>
      </c>
      <c r="K1310">
        <v>0</v>
      </c>
      <c r="L1310" s="4">
        <v>6.1943999999999999</v>
      </c>
      <c r="M1310" s="4">
        <v>106.8229</v>
      </c>
      <c r="N1310" s="13">
        <v>5.25</v>
      </c>
      <c r="P1310"/>
      <c r="Q1310" s="12"/>
      <c r="R1310" s="12"/>
    </row>
    <row r="1311" spans="1:18" x14ac:dyDescent="0.2">
      <c r="A1311">
        <v>11</v>
      </c>
      <c r="B1311" t="s">
        <v>7</v>
      </c>
      <c r="C1311">
        <v>2022</v>
      </c>
      <c r="D1311">
        <v>3</v>
      </c>
      <c r="E1311" s="6">
        <v>0</v>
      </c>
      <c r="F1311" s="9">
        <v>1910.6610000000001</v>
      </c>
      <c r="G1311" s="6">
        <v>7193</v>
      </c>
      <c r="H1311" s="9">
        <f t="shared" si="20"/>
        <v>1910.6610000000001</v>
      </c>
      <c r="I1311" s="6">
        <v>14186</v>
      </c>
      <c r="J1311" s="6">
        <f>VLOOKUP(Table1[[#This Row],[Province]],[1]Sheet1!$A$3:$F$37,5,FALSE)</f>
        <v>10277600</v>
      </c>
      <c r="K1311">
        <v>0</v>
      </c>
      <c r="L1311" s="4">
        <v>6.1943999999999999</v>
      </c>
      <c r="M1311" s="4">
        <v>106.8229</v>
      </c>
      <c r="N1311" s="13">
        <v>5.25</v>
      </c>
      <c r="P1311"/>
      <c r="Q1311" s="12"/>
      <c r="R1311" s="12"/>
    </row>
    <row r="1312" spans="1:18" x14ac:dyDescent="0.2">
      <c r="A1312">
        <v>11</v>
      </c>
      <c r="B1312" t="s">
        <v>7</v>
      </c>
      <c r="C1312">
        <v>2022</v>
      </c>
      <c r="D1312">
        <v>4</v>
      </c>
      <c r="E1312" s="6">
        <v>0</v>
      </c>
      <c r="F1312" s="9">
        <v>2260.509</v>
      </c>
      <c r="G1312" s="6">
        <v>5305</v>
      </c>
      <c r="H1312" s="9">
        <f t="shared" si="20"/>
        <v>2260.509</v>
      </c>
      <c r="I1312" s="6">
        <v>14984</v>
      </c>
      <c r="J1312" s="6">
        <f>VLOOKUP(Table1[[#This Row],[Province]],[1]Sheet1!$A$3:$F$37,5,FALSE)</f>
        <v>10277600</v>
      </c>
      <c r="K1312">
        <v>1</v>
      </c>
      <c r="L1312" s="4">
        <v>6.1943999999999999</v>
      </c>
      <c r="M1312" s="4">
        <v>106.8229</v>
      </c>
      <c r="N1312" s="13">
        <v>5.25</v>
      </c>
      <c r="P1312"/>
      <c r="Q1312" s="12"/>
      <c r="R1312" s="12"/>
    </row>
    <row r="1313" spans="1:18" x14ac:dyDescent="0.2">
      <c r="A1313">
        <v>11</v>
      </c>
      <c r="B1313" t="s">
        <v>7</v>
      </c>
      <c r="C1313">
        <v>2022</v>
      </c>
      <c r="D1313">
        <v>5</v>
      </c>
      <c r="E1313" s="6">
        <v>0</v>
      </c>
      <c r="F1313" s="9">
        <v>1609.0930000000001</v>
      </c>
      <c r="G1313" s="6">
        <v>8584</v>
      </c>
      <c r="H1313" s="9">
        <f t="shared" si="20"/>
        <v>1609.0930000000001</v>
      </c>
      <c r="I1313" s="6">
        <v>14100</v>
      </c>
      <c r="J1313" s="6">
        <f>VLOOKUP(Table1[[#This Row],[Province]],[1]Sheet1!$A$3:$F$37,5,FALSE)</f>
        <v>10277600</v>
      </c>
      <c r="K1313">
        <v>0</v>
      </c>
      <c r="L1313" s="4">
        <v>6.1943999999999999</v>
      </c>
      <c r="M1313" s="4">
        <v>106.8229</v>
      </c>
      <c r="N1313" s="13">
        <v>5.25</v>
      </c>
      <c r="P1313"/>
      <c r="Q1313" s="12"/>
      <c r="R1313" s="12"/>
    </row>
    <row r="1314" spans="1:18" x14ac:dyDescent="0.2">
      <c r="A1314">
        <v>11</v>
      </c>
      <c r="B1314" t="s">
        <v>7</v>
      </c>
      <c r="C1314">
        <v>2022</v>
      </c>
      <c r="D1314">
        <v>5</v>
      </c>
      <c r="E1314" s="6">
        <v>0</v>
      </c>
      <c r="F1314" s="9">
        <v>1609.0930000000001</v>
      </c>
      <c r="G1314" s="6">
        <v>6379</v>
      </c>
      <c r="H1314" s="9">
        <f t="shared" si="20"/>
        <v>1609.0930000000001</v>
      </c>
      <c r="I1314" s="6">
        <v>15350</v>
      </c>
      <c r="J1314" s="6">
        <f>VLOOKUP(Table1[[#This Row],[Province]],[1]Sheet1!$A$3:$F$37,5,FALSE)</f>
        <v>10277600</v>
      </c>
      <c r="K1314">
        <v>0</v>
      </c>
      <c r="L1314" s="4">
        <v>6.1943999999999999</v>
      </c>
      <c r="M1314" s="4">
        <v>106.8229</v>
      </c>
      <c r="N1314" s="13">
        <v>5.25</v>
      </c>
      <c r="P1314"/>
      <c r="Q1314" s="12"/>
      <c r="R1314" s="12"/>
    </row>
    <row r="1315" spans="1:18" x14ac:dyDescent="0.2">
      <c r="A1315">
        <v>11</v>
      </c>
      <c r="B1315" t="s">
        <v>7</v>
      </c>
      <c r="C1315">
        <v>2022</v>
      </c>
      <c r="D1315">
        <v>6</v>
      </c>
      <c r="E1315" s="6">
        <v>0</v>
      </c>
      <c r="F1315" s="9">
        <v>2446.4699999999998</v>
      </c>
      <c r="G1315" s="6">
        <v>4944</v>
      </c>
      <c r="H1315" s="9">
        <f t="shared" si="20"/>
        <v>2446.4699999999998</v>
      </c>
      <c r="I1315" s="6">
        <v>15348</v>
      </c>
      <c r="J1315" s="6">
        <f>VLOOKUP(Table1[[#This Row],[Province]],[1]Sheet1!$A$3:$F$37,5,FALSE)</f>
        <v>10277600</v>
      </c>
      <c r="K1315">
        <v>0</v>
      </c>
      <c r="L1315" s="4">
        <v>6.1943999999999999</v>
      </c>
      <c r="M1315" s="4">
        <v>106.8229</v>
      </c>
      <c r="N1315" s="13">
        <v>5.25</v>
      </c>
      <c r="P1315"/>
      <c r="Q1315" s="12"/>
      <c r="R1315" s="12"/>
    </row>
    <row r="1316" spans="1:18" x14ac:dyDescent="0.2">
      <c r="A1316">
        <v>11</v>
      </c>
      <c r="B1316" t="s">
        <v>7</v>
      </c>
      <c r="C1316">
        <v>2022</v>
      </c>
      <c r="D1316">
        <v>7</v>
      </c>
      <c r="E1316" s="6">
        <v>0</v>
      </c>
      <c r="F1316" s="9">
        <v>3051.3960000000002</v>
      </c>
      <c r="G1316" s="6">
        <v>942</v>
      </c>
      <c r="H1316" s="9">
        <f t="shared" si="20"/>
        <v>3051.3960000000002</v>
      </c>
      <c r="I1316" s="6">
        <v>15160</v>
      </c>
      <c r="J1316" s="6">
        <f>VLOOKUP(Table1[[#This Row],[Province]],[1]Sheet1!$A$3:$F$37,5,FALSE)</f>
        <v>10277600</v>
      </c>
      <c r="K1316">
        <v>0</v>
      </c>
      <c r="L1316" s="4">
        <v>6.1943999999999999</v>
      </c>
      <c r="M1316" s="4">
        <v>106.8229</v>
      </c>
      <c r="N1316" s="13">
        <v>5.25</v>
      </c>
      <c r="P1316"/>
      <c r="Q1316" s="12"/>
      <c r="R1316" s="12"/>
    </row>
    <row r="1317" spans="1:18" x14ac:dyDescent="0.2">
      <c r="A1317">
        <v>11</v>
      </c>
      <c r="B1317" t="s">
        <v>7</v>
      </c>
      <c r="C1317">
        <v>2022</v>
      </c>
      <c r="D1317">
        <v>8</v>
      </c>
      <c r="E1317" s="6">
        <v>0</v>
      </c>
      <c r="F1317" s="9">
        <v>3382.2489999999998</v>
      </c>
      <c r="G1317" s="6">
        <v>5995</v>
      </c>
      <c r="H1317" s="9">
        <f t="shared" si="20"/>
        <v>3382.2489999999998</v>
      </c>
      <c r="I1317" s="6">
        <v>15136</v>
      </c>
      <c r="J1317" s="6">
        <f>VLOOKUP(Table1[[#This Row],[Province]],[1]Sheet1!$A$3:$F$37,5,FALSE)</f>
        <v>10277600</v>
      </c>
      <c r="K1317">
        <v>0</v>
      </c>
      <c r="L1317" s="4">
        <v>6.1943999999999999</v>
      </c>
      <c r="M1317" s="4">
        <v>106.8229</v>
      </c>
      <c r="N1317" s="13">
        <v>5.25</v>
      </c>
      <c r="P1317"/>
      <c r="Q1317" s="12"/>
      <c r="R1317" s="12"/>
    </row>
    <row r="1318" spans="1:18" x14ac:dyDescent="0.2">
      <c r="A1318">
        <v>11</v>
      </c>
      <c r="B1318" t="s">
        <v>7</v>
      </c>
      <c r="C1318">
        <v>2022</v>
      </c>
      <c r="D1318">
        <v>9</v>
      </c>
      <c r="E1318" s="6">
        <v>0</v>
      </c>
      <c r="F1318" s="9">
        <v>3736.6179999999999</v>
      </c>
      <c r="G1318" s="6">
        <v>8398</v>
      </c>
      <c r="H1318" s="9">
        <f t="shared" si="20"/>
        <v>3736.6179999999999</v>
      </c>
      <c r="I1318" s="6">
        <v>14457</v>
      </c>
      <c r="J1318" s="6">
        <f>VLOOKUP(Table1[[#This Row],[Province]],[1]Sheet1!$A$3:$F$37,5,FALSE)</f>
        <v>10277600</v>
      </c>
      <c r="K1318">
        <v>0</v>
      </c>
      <c r="L1318" s="4">
        <v>6.1943999999999999</v>
      </c>
      <c r="M1318" s="4">
        <v>106.8229</v>
      </c>
      <c r="N1318" s="13">
        <v>5.25</v>
      </c>
      <c r="P1318"/>
      <c r="Q1318" s="12"/>
      <c r="R1318" s="12"/>
    </row>
    <row r="1319" spans="1:18" x14ac:dyDescent="0.2">
      <c r="A1319">
        <v>11</v>
      </c>
      <c r="B1319" t="s">
        <v>7</v>
      </c>
      <c r="C1319">
        <v>2022</v>
      </c>
      <c r="D1319">
        <v>10</v>
      </c>
      <c r="E1319" s="6">
        <v>0</v>
      </c>
      <c r="F1319" s="9">
        <v>3368.2649999999999</v>
      </c>
      <c r="G1319" s="6">
        <v>12278</v>
      </c>
      <c r="H1319" s="9">
        <f t="shared" si="20"/>
        <v>3368.2649999999999</v>
      </c>
      <c r="I1319" s="6">
        <v>14461</v>
      </c>
      <c r="J1319" s="6">
        <f>VLOOKUP(Table1[[#This Row],[Province]],[1]Sheet1!$A$3:$F$37,5,FALSE)</f>
        <v>10277600</v>
      </c>
      <c r="K1319">
        <v>0</v>
      </c>
      <c r="L1319" s="4">
        <v>6.1943999999999999</v>
      </c>
      <c r="M1319" s="4">
        <v>106.8229</v>
      </c>
      <c r="N1319" s="13">
        <v>5.25</v>
      </c>
      <c r="P1319"/>
      <c r="Q1319" s="12"/>
      <c r="R1319" s="12"/>
    </row>
    <row r="1320" spans="1:18" x14ac:dyDescent="0.2">
      <c r="A1320">
        <v>11</v>
      </c>
      <c r="B1320" t="s">
        <v>7</v>
      </c>
      <c r="C1320">
        <v>2022</v>
      </c>
      <c r="D1320">
        <v>11</v>
      </c>
      <c r="E1320" s="6">
        <v>0</v>
      </c>
      <c r="F1320" s="9">
        <v>3709.03</v>
      </c>
      <c r="G1320" s="6">
        <v>7475</v>
      </c>
      <c r="H1320" s="9">
        <f t="shared" si="20"/>
        <v>3709.03</v>
      </c>
      <c r="I1320" s="6">
        <v>15145</v>
      </c>
      <c r="J1320" s="6">
        <f>VLOOKUP(Table1[[#This Row],[Province]],[1]Sheet1!$A$3:$F$37,5,FALSE)</f>
        <v>10277600</v>
      </c>
      <c r="K1320">
        <v>0</v>
      </c>
      <c r="L1320" s="4">
        <v>6.1943999999999999</v>
      </c>
      <c r="M1320" s="4">
        <v>106.8229</v>
      </c>
      <c r="N1320" s="13">
        <v>5.25</v>
      </c>
      <c r="P1320"/>
      <c r="Q1320" s="12"/>
      <c r="R1320" s="12"/>
    </row>
    <row r="1321" spans="1:18" x14ac:dyDescent="0.2">
      <c r="A1321">
        <v>11</v>
      </c>
      <c r="B1321" t="s">
        <v>7</v>
      </c>
      <c r="C1321">
        <v>2022</v>
      </c>
      <c r="D1321">
        <v>12</v>
      </c>
      <c r="E1321" s="6">
        <v>0</v>
      </c>
      <c r="F1321" s="9">
        <v>2629.5279999999998</v>
      </c>
      <c r="G1321" s="6">
        <v>7471</v>
      </c>
      <c r="H1321" s="9">
        <f t="shared" si="20"/>
        <v>2629.5279999999998</v>
      </c>
      <c r="I1321" s="6">
        <v>15141</v>
      </c>
      <c r="J1321" s="6">
        <f>VLOOKUP(Table1[[#This Row],[Province]],[1]Sheet1!$A$3:$F$37,5,FALSE)</f>
        <v>10277600</v>
      </c>
      <c r="K1321">
        <v>1</v>
      </c>
      <c r="L1321" s="4">
        <v>6.1943999999999999</v>
      </c>
      <c r="M1321" s="4">
        <v>106.8229</v>
      </c>
      <c r="N1321" s="13">
        <v>5.25</v>
      </c>
      <c r="P1321"/>
      <c r="Q1321" s="12"/>
      <c r="R1321" s="12"/>
    </row>
    <row r="1322" spans="1:18" x14ac:dyDescent="0.2">
      <c r="A1322">
        <v>12</v>
      </c>
      <c r="B1322" t="s">
        <v>9</v>
      </c>
      <c r="C1322">
        <v>2013</v>
      </c>
      <c r="D1322">
        <v>1</v>
      </c>
      <c r="E1322" s="4">
        <v>0</v>
      </c>
      <c r="F1322" s="9">
        <v>0</v>
      </c>
      <c r="G1322" s="6">
        <v>30792</v>
      </c>
      <c r="H1322" s="9">
        <f t="shared" si="20"/>
        <v>0</v>
      </c>
      <c r="I1322" s="6">
        <v>12000</v>
      </c>
      <c r="J1322" s="6">
        <f>VLOOKUP(Table1[[#This Row],[Province]],[1]Sheet1!$A$3:$F$37,5,FALSE)</f>
        <v>47379400</v>
      </c>
      <c r="K1322">
        <v>0</v>
      </c>
      <c r="L1322" s="4">
        <v>7.0909110000000002</v>
      </c>
      <c r="M1322" s="4">
        <v>107.668887</v>
      </c>
      <c r="N1322" s="6"/>
      <c r="P1322"/>
      <c r="Q1322" s="12"/>
      <c r="R1322" s="12"/>
    </row>
    <row r="1323" spans="1:18" x14ac:dyDescent="0.2">
      <c r="A1323">
        <v>12</v>
      </c>
      <c r="B1323" t="s">
        <v>9</v>
      </c>
      <c r="C1323">
        <v>2013</v>
      </c>
      <c r="D1323">
        <v>2</v>
      </c>
      <c r="E1323" s="4">
        <v>0</v>
      </c>
      <c r="F1323" s="9">
        <v>0</v>
      </c>
      <c r="G1323" s="6">
        <v>29516</v>
      </c>
      <c r="H1323" s="9">
        <f t="shared" si="20"/>
        <v>0</v>
      </c>
      <c r="I1323" s="6">
        <v>12000</v>
      </c>
      <c r="J1323" s="6">
        <f>VLOOKUP(Table1[[#This Row],[Province]],[1]Sheet1!$A$3:$F$37,5,FALSE)</f>
        <v>47379400</v>
      </c>
      <c r="K1323">
        <v>0</v>
      </c>
      <c r="L1323" s="4">
        <v>7.0909110000000002</v>
      </c>
      <c r="M1323" s="4">
        <v>107.668887</v>
      </c>
      <c r="N1323" s="6"/>
      <c r="P1323"/>
      <c r="Q1323" s="12"/>
      <c r="R1323" s="12"/>
    </row>
    <row r="1324" spans="1:18" x14ac:dyDescent="0.2">
      <c r="A1324">
        <v>12</v>
      </c>
      <c r="B1324" t="s">
        <v>9</v>
      </c>
      <c r="C1324">
        <v>2013</v>
      </c>
      <c r="D1324">
        <v>3</v>
      </c>
      <c r="E1324" s="4">
        <v>0</v>
      </c>
      <c r="F1324" s="9">
        <v>0</v>
      </c>
      <c r="G1324" s="6">
        <v>30427</v>
      </c>
      <c r="H1324" s="9">
        <f t="shared" si="20"/>
        <v>0</v>
      </c>
      <c r="I1324" s="6">
        <v>11727</v>
      </c>
      <c r="J1324" s="6">
        <f>VLOOKUP(Table1[[#This Row],[Province]],[1]Sheet1!$A$3:$F$37,5,FALSE)</f>
        <v>47379400</v>
      </c>
      <c r="K1324">
        <v>0</v>
      </c>
      <c r="L1324" s="4">
        <v>7.0909110000000002</v>
      </c>
      <c r="M1324" s="4">
        <v>107.668887</v>
      </c>
      <c r="N1324" s="6"/>
      <c r="P1324"/>
      <c r="Q1324" s="12"/>
      <c r="R1324" s="12"/>
    </row>
    <row r="1325" spans="1:18" x14ac:dyDescent="0.2">
      <c r="A1325">
        <v>12</v>
      </c>
      <c r="B1325" t="s">
        <v>9</v>
      </c>
      <c r="C1325">
        <v>2013</v>
      </c>
      <c r="D1325">
        <v>4</v>
      </c>
      <c r="E1325" s="4">
        <v>0</v>
      </c>
      <c r="F1325" s="9">
        <v>0</v>
      </c>
      <c r="G1325" s="6">
        <v>39537</v>
      </c>
      <c r="H1325" s="9">
        <f t="shared" si="20"/>
        <v>0</v>
      </c>
      <c r="I1325" s="6">
        <v>11700</v>
      </c>
      <c r="J1325" s="6">
        <f>VLOOKUP(Table1[[#This Row],[Province]],[1]Sheet1!$A$3:$F$37,5,FALSE)</f>
        <v>47379400</v>
      </c>
      <c r="K1325">
        <v>0</v>
      </c>
      <c r="L1325" s="4">
        <v>7.0909110000000002</v>
      </c>
      <c r="M1325" s="4">
        <v>107.668887</v>
      </c>
      <c r="N1325" s="6"/>
      <c r="P1325"/>
      <c r="Q1325" s="12"/>
      <c r="R1325" s="12"/>
    </row>
    <row r="1326" spans="1:18" x14ac:dyDescent="0.2">
      <c r="A1326">
        <v>12</v>
      </c>
      <c r="B1326" t="s">
        <v>9</v>
      </c>
      <c r="C1326">
        <v>2013</v>
      </c>
      <c r="D1326">
        <v>5</v>
      </c>
      <c r="E1326" s="4">
        <v>13145</v>
      </c>
      <c r="F1326" s="9">
        <v>0</v>
      </c>
      <c r="G1326" s="6">
        <v>47919</v>
      </c>
      <c r="H1326" s="9">
        <f t="shared" si="20"/>
        <v>13145</v>
      </c>
      <c r="I1326" s="6">
        <v>11700</v>
      </c>
      <c r="J1326" s="6">
        <f>VLOOKUP(Table1[[#This Row],[Province]],[1]Sheet1!$A$3:$F$37,5,FALSE)</f>
        <v>47379400</v>
      </c>
      <c r="K1326">
        <v>0</v>
      </c>
      <c r="L1326" s="4">
        <v>7.0909110000000002</v>
      </c>
      <c r="M1326" s="4">
        <v>107.668887</v>
      </c>
      <c r="N1326" s="6"/>
      <c r="P1326"/>
      <c r="Q1326" s="12"/>
      <c r="R1326" s="12"/>
    </row>
    <row r="1327" spans="1:18" x14ac:dyDescent="0.2">
      <c r="A1327">
        <v>12</v>
      </c>
      <c r="B1327" t="s">
        <v>9</v>
      </c>
      <c r="C1327">
        <v>2013</v>
      </c>
      <c r="D1327">
        <v>6</v>
      </c>
      <c r="E1327" s="4">
        <v>21810</v>
      </c>
      <c r="F1327" s="9">
        <v>0</v>
      </c>
      <c r="G1327" s="6">
        <v>39902</v>
      </c>
      <c r="H1327" s="9">
        <f t="shared" si="20"/>
        <v>21810</v>
      </c>
      <c r="I1327" s="6">
        <v>11832</v>
      </c>
      <c r="J1327" s="6">
        <f>VLOOKUP(Table1[[#This Row],[Province]],[1]Sheet1!$A$3:$F$37,5,FALSE)</f>
        <v>47379400</v>
      </c>
      <c r="K1327">
        <v>0</v>
      </c>
      <c r="L1327" s="4">
        <v>7.0909110000000002</v>
      </c>
      <c r="M1327" s="4">
        <v>107.668887</v>
      </c>
      <c r="N1327" s="6"/>
      <c r="P1327"/>
      <c r="Q1327" s="12"/>
      <c r="R1327" s="12"/>
    </row>
    <row r="1328" spans="1:18" x14ac:dyDescent="0.2">
      <c r="A1328">
        <v>12</v>
      </c>
      <c r="B1328" t="s">
        <v>9</v>
      </c>
      <c r="C1328">
        <v>2013</v>
      </c>
      <c r="D1328">
        <v>7</v>
      </c>
      <c r="E1328" s="4">
        <v>26999</v>
      </c>
      <c r="F1328" s="9">
        <v>0</v>
      </c>
      <c r="G1328" s="6">
        <v>69236</v>
      </c>
      <c r="H1328" s="9">
        <f t="shared" si="20"/>
        <v>26999</v>
      </c>
      <c r="I1328" s="6">
        <v>13309</v>
      </c>
      <c r="J1328" s="6">
        <f>VLOOKUP(Table1[[#This Row],[Province]],[1]Sheet1!$A$3:$F$37,5,FALSE)</f>
        <v>47379400</v>
      </c>
      <c r="K1328">
        <v>1</v>
      </c>
      <c r="L1328" s="4">
        <v>7.0909110000000002</v>
      </c>
      <c r="M1328" s="4">
        <v>107.668887</v>
      </c>
      <c r="N1328" s="6"/>
      <c r="P1328"/>
      <c r="Q1328" s="12"/>
      <c r="R1328" s="12"/>
    </row>
    <row r="1329" spans="1:18" x14ac:dyDescent="0.2">
      <c r="A1329">
        <v>12</v>
      </c>
      <c r="B1329" t="s">
        <v>9</v>
      </c>
      <c r="C1329">
        <v>2013</v>
      </c>
      <c r="D1329">
        <v>8</v>
      </c>
      <c r="E1329" s="4">
        <v>21335</v>
      </c>
      <c r="F1329" s="9">
        <v>0</v>
      </c>
      <c r="G1329" s="6">
        <v>25326</v>
      </c>
      <c r="H1329" s="9">
        <f t="shared" si="20"/>
        <v>21335</v>
      </c>
      <c r="I1329" s="6">
        <v>12088</v>
      </c>
      <c r="J1329" s="6">
        <f>VLOOKUP(Table1[[#This Row],[Province]],[1]Sheet1!$A$3:$F$37,5,FALSE)</f>
        <v>47379400</v>
      </c>
      <c r="K1329">
        <v>0</v>
      </c>
      <c r="L1329" s="4">
        <v>7.0909110000000002</v>
      </c>
      <c r="M1329" s="4">
        <v>107.668887</v>
      </c>
      <c r="N1329" s="6"/>
      <c r="P1329"/>
      <c r="Q1329" s="12"/>
      <c r="R1329" s="12"/>
    </row>
    <row r="1330" spans="1:18" x14ac:dyDescent="0.2">
      <c r="A1330">
        <v>12</v>
      </c>
      <c r="B1330" t="s">
        <v>9</v>
      </c>
      <c r="C1330">
        <v>2013</v>
      </c>
      <c r="D1330">
        <v>9</v>
      </c>
      <c r="E1330" s="4">
        <v>7567</v>
      </c>
      <c r="F1330" s="9">
        <v>0</v>
      </c>
      <c r="G1330" s="6">
        <v>54113</v>
      </c>
      <c r="H1330" s="9">
        <f t="shared" si="20"/>
        <v>7567</v>
      </c>
      <c r="I1330" s="6">
        <v>11967</v>
      </c>
      <c r="J1330" s="6">
        <f>VLOOKUP(Table1[[#This Row],[Province]],[1]Sheet1!$A$3:$F$37,5,FALSE)</f>
        <v>47379400</v>
      </c>
      <c r="K1330">
        <v>0</v>
      </c>
      <c r="L1330" s="4">
        <v>7.0909110000000002</v>
      </c>
      <c r="M1330" s="4">
        <v>107.668887</v>
      </c>
      <c r="N1330" s="6"/>
      <c r="P1330"/>
      <c r="Q1330" s="12"/>
      <c r="R1330" s="12"/>
    </row>
    <row r="1331" spans="1:18" x14ac:dyDescent="0.2">
      <c r="A1331">
        <v>12</v>
      </c>
      <c r="B1331" t="s">
        <v>9</v>
      </c>
      <c r="C1331">
        <v>2013</v>
      </c>
      <c r="D1331">
        <v>10</v>
      </c>
      <c r="E1331" s="4">
        <v>4203</v>
      </c>
      <c r="F1331" s="9">
        <v>0</v>
      </c>
      <c r="G1331" s="6">
        <v>44275</v>
      </c>
      <c r="H1331" s="9">
        <f t="shared" si="20"/>
        <v>4203</v>
      </c>
      <c r="I1331" s="6">
        <v>10852</v>
      </c>
      <c r="J1331" s="6">
        <f>VLOOKUP(Table1[[#This Row],[Province]],[1]Sheet1!$A$3:$F$37,5,FALSE)</f>
        <v>47379400</v>
      </c>
      <c r="K1331">
        <v>0</v>
      </c>
      <c r="L1331" s="4">
        <v>7.0909110000000002</v>
      </c>
      <c r="M1331" s="4">
        <v>107.668887</v>
      </c>
      <c r="N1331" s="6"/>
      <c r="P1331"/>
      <c r="Q1331" s="12"/>
      <c r="R1331" s="12"/>
    </row>
    <row r="1332" spans="1:18" x14ac:dyDescent="0.2">
      <c r="A1332">
        <v>12</v>
      </c>
      <c r="B1332" t="s">
        <v>9</v>
      </c>
      <c r="C1332">
        <v>2013</v>
      </c>
      <c r="D1332">
        <v>11</v>
      </c>
      <c r="E1332" s="4">
        <v>4203</v>
      </c>
      <c r="F1332" s="9">
        <v>0</v>
      </c>
      <c r="G1332" s="6">
        <v>32614</v>
      </c>
      <c r="H1332" s="9">
        <f t="shared" si="20"/>
        <v>4203</v>
      </c>
      <c r="I1332" s="6">
        <v>11350</v>
      </c>
      <c r="J1332" s="6">
        <f>VLOOKUP(Table1[[#This Row],[Province]],[1]Sheet1!$A$3:$F$37,5,FALSE)</f>
        <v>47379400</v>
      </c>
      <c r="K1332">
        <v>0</v>
      </c>
      <c r="L1332" s="4">
        <v>7.0909110000000002</v>
      </c>
      <c r="M1332" s="4">
        <v>107.668887</v>
      </c>
      <c r="N1332" s="6"/>
      <c r="P1332"/>
      <c r="Q1332" s="12"/>
      <c r="R1332" s="12"/>
    </row>
    <row r="1333" spans="1:18" x14ac:dyDescent="0.2">
      <c r="A1333">
        <v>12</v>
      </c>
      <c r="B1333" t="s">
        <v>9</v>
      </c>
      <c r="C1333">
        <v>2013</v>
      </c>
      <c r="D1333">
        <v>12</v>
      </c>
      <c r="E1333" s="4">
        <v>0</v>
      </c>
      <c r="F1333" s="9">
        <v>0</v>
      </c>
      <c r="G1333" s="6">
        <v>45368</v>
      </c>
      <c r="H1333" s="9">
        <f t="shared" si="20"/>
        <v>0</v>
      </c>
      <c r="I1333" s="6">
        <v>11365</v>
      </c>
      <c r="J1333" s="6">
        <f>VLOOKUP(Table1[[#This Row],[Province]],[1]Sheet1!$A$3:$F$37,5,FALSE)</f>
        <v>47379400</v>
      </c>
      <c r="K1333">
        <v>1</v>
      </c>
      <c r="L1333" s="4">
        <v>7.0909110000000002</v>
      </c>
      <c r="M1333" s="4">
        <v>107.668887</v>
      </c>
      <c r="N1333" s="6"/>
      <c r="P1333"/>
      <c r="Q1333" s="12"/>
      <c r="R1333" s="12"/>
    </row>
    <row r="1334" spans="1:18" x14ac:dyDescent="0.2">
      <c r="A1334">
        <v>12</v>
      </c>
      <c r="B1334" t="s">
        <v>9</v>
      </c>
      <c r="C1334">
        <v>2014</v>
      </c>
      <c r="D1334">
        <v>1</v>
      </c>
      <c r="E1334" s="4">
        <v>0</v>
      </c>
      <c r="F1334" s="9">
        <v>0</v>
      </c>
      <c r="G1334" s="6">
        <v>31810</v>
      </c>
      <c r="H1334" s="9">
        <f t="shared" si="20"/>
        <v>0</v>
      </c>
      <c r="I1334" s="6">
        <v>11300</v>
      </c>
      <c r="J1334" s="6">
        <f>VLOOKUP(Table1[[#This Row],[Province]],[1]Sheet1!$A$3:$F$37,5,FALSE)</f>
        <v>47379400</v>
      </c>
      <c r="K1334">
        <v>0</v>
      </c>
      <c r="L1334" s="4">
        <v>7.0909110000000002</v>
      </c>
      <c r="M1334" s="4">
        <v>107.668887</v>
      </c>
      <c r="N1334" s="6"/>
      <c r="P1334"/>
      <c r="Q1334" s="12"/>
      <c r="R1334" s="12"/>
    </row>
    <row r="1335" spans="1:18" x14ac:dyDescent="0.2">
      <c r="A1335">
        <v>12</v>
      </c>
      <c r="B1335" t="s">
        <v>9</v>
      </c>
      <c r="C1335">
        <v>2014</v>
      </c>
      <c r="D1335">
        <v>2</v>
      </c>
      <c r="E1335" s="4">
        <v>0</v>
      </c>
      <c r="F1335" s="9">
        <v>0</v>
      </c>
      <c r="G1335" s="6">
        <v>28379</v>
      </c>
      <c r="H1335" s="9">
        <f t="shared" si="20"/>
        <v>0</v>
      </c>
      <c r="I1335" s="6">
        <v>11300</v>
      </c>
      <c r="J1335" s="6">
        <f>VLOOKUP(Table1[[#This Row],[Province]],[1]Sheet1!$A$3:$F$37,5,FALSE)</f>
        <v>47379400</v>
      </c>
      <c r="K1335">
        <v>0</v>
      </c>
      <c r="L1335" s="4">
        <v>7.0909110000000002</v>
      </c>
      <c r="M1335" s="4">
        <v>107.668887</v>
      </c>
      <c r="N1335" s="6"/>
      <c r="P1335"/>
      <c r="Q1335" s="12"/>
      <c r="R1335" s="12"/>
    </row>
    <row r="1336" spans="1:18" x14ac:dyDescent="0.2">
      <c r="A1336">
        <v>12</v>
      </c>
      <c r="B1336" t="s">
        <v>9</v>
      </c>
      <c r="C1336">
        <v>2014</v>
      </c>
      <c r="D1336">
        <v>3</v>
      </c>
      <c r="E1336" s="4">
        <v>0</v>
      </c>
      <c r="F1336" s="9">
        <v>0</v>
      </c>
      <c r="G1336" s="6">
        <v>31865</v>
      </c>
      <c r="H1336" s="9">
        <f t="shared" si="20"/>
        <v>0</v>
      </c>
      <c r="I1336" s="6">
        <v>10935</v>
      </c>
      <c r="J1336" s="6">
        <f>VLOOKUP(Table1[[#This Row],[Province]],[1]Sheet1!$A$3:$F$37,5,FALSE)</f>
        <v>47379400</v>
      </c>
      <c r="K1336">
        <v>0</v>
      </c>
      <c r="L1336" s="4">
        <v>7.0909110000000002</v>
      </c>
      <c r="M1336" s="4">
        <v>107.668887</v>
      </c>
      <c r="N1336" s="6"/>
      <c r="P1336"/>
      <c r="Q1336" s="12"/>
      <c r="R1336" s="12"/>
    </row>
    <row r="1337" spans="1:18" x14ac:dyDescent="0.2">
      <c r="A1337">
        <v>12</v>
      </c>
      <c r="B1337" t="s">
        <v>9</v>
      </c>
      <c r="C1337">
        <v>2014</v>
      </c>
      <c r="D1337">
        <v>4</v>
      </c>
      <c r="E1337" s="4">
        <v>0</v>
      </c>
      <c r="F1337" s="9">
        <v>0</v>
      </c>
      <c r="G1337" s="6">
        <v>41044</v>
      </c>
      <c r="H1337" s="9">
        <f t="shared" si="20"/>
        <v>0</v>
      </c>
      <c r="I1337" s="6">
        <v>11030</v>
      </c>
      <c r="J1337" s="6">
        <f>VLOOKUP(Table1[[#This Row],[Province]],[1]Sheet1!$A$3:$F$37,5,FALSE)</f>
        <v>47379400</v>
      </c>
      <c r="K1337">
        <v>0</v>
      </c>
      <c r="L1337" s="4">
        <v>7.0909110000000002</v>
      </c>
      <c r="M1337" s="4">
        <v>107.668887</v>
      </c>
      <c r="N1337" s="6"/>
      <c r="P1337"/>
      <c r="Q1337" s="12"/>
      <c r="R1337" s="12"/>
    </row>
    <row r="1338" spans="1:18" x14ac:dyDescent="0.2">
      <c r="A1338">
        <v>12</v>
      </c>
      <c r="B1338" t="s">
        <v>9</v>
      </c>
      <c r="C1338">
        <v>2014</v>
      </c>
      <c r="D1338">
        <v>5</v>
      </c>
      <c r="E1338" s="4">
        <v>10970</v>
      </c>
      <c r="F1338" s="9">
        <v>0</v>
      </c>
      <c r="G1338" s="6">
        <v>45972</v>
      </c>
      <c r="H1338" s="9">
        <f t="shared" si="20"/>
        <v>10970</v>
      </c>
      <c r="I1338" s="6">
        <v>11000</v>
      </c>
      <c r="J1338" s="6">
        <f>VLOOKUP(Table1[[#This Row],[Province]],[1]Sheet1!$A$3:$F$37,5,FALSE)</f>
        <v>47379400</v>
      </c>
      <c r="K1338">
        <v>0</v>
      </c>
      <c r="L1338" s="4">
        <v>7.0909110000000002</v>
      </c>
      <c r="M1338" s="4">
        <v>107.668887</v>
      </c>
      <c r="N1338" s="6"/>
      <c r="P1338"/>
      <c r="Q1338" s="12"/>
      <c r="R1338" s="12"/>
    </row>
    <row r="1339" spans="1:18" x14ac:dyDescent="0.2">
      <c r="A1339">
        <v>12</v>
      </c>
      <c r="B1339" t="s">
        <v>9</v>
      </c>
      <c r="C1339">
        <v>2014</v>
      </c>
      <c r="D1339">
        <v>6</v>
      </c>
      <c r="E1339" s="4">
        <v>18200</v>
      </c>
      <c r="F1339" s="9">
        <v>0</v>
      </c>
      <c r="G1339" s="6">
        <v>65426</v>
      </c>
      <c r="H1339" s="9">
        <f t="shared" si="20"/>
        <v>18200</v>
      </c>
      <c r="I1339" s="6">
        <v>11086</v>
      </c>
      <c r="J1339" s="6">
        <f>VLOOKUP(Table1[[#This Row],[Province]],[1]Sheet1!$A$3:$F$37,5,FALSE)</f>
        <v>47379400</v>
      </c>
      <c r="K1339">
        <v>1</v>
      </c>
      <c r="L1339" s="4">
        <v>7.0909110000000002</v>
      </c>
      <c r="M1339" s="4">
        <v>107.668887</v>
      </c>
      <c r="N1339" s="6"/>
      <c r="P1339"/>
      <c r="Q1339" s="12"/>
      <c r="R1339" s="12"/>
    </row>
    <row r="1340" spans="1:18" x14ac:dyDescent="0.2">
      <c r="A1340">
        <v>12</v>
      </c>
      <c r="B1340" t="s">
        <v>9</v>
      </c>
      <c r="C1340">
        <v>2014</v>
      </c>
      <c r="D1340">
        <v>7</v>
      </c>
      <c r="E1340" s="4">
        <v>22531</v>
      </c>
      <c r="F1340" s="9">
        <v>0</v>
      </c>
      <c r="G1340" s="6">
        <v>41044</v>
      </c>
      <c r="H1340" s="9">
        <f t="shared" si="20"/>
        <v>22531</v>
      </c>
      <c r="I1340" s="6">
        <v>11206</v>
      </c>
      <c r="J1340" s="6">
        <f>VLOOKUP(Table1[[#This Row],[Province]],[1]Sheet1!$A$3:$F$37,5,FALSE)</f>
        <v>47379400</v>
      </c>
      <c r="K1340">
        <v>0</v>
      </c>
      <c r="L1340" s="4">
        <v>7.0909110000000002</v>
      </c>
      <c r="M1340" s="4">
        <v>107.668887</v>
      </c>
      <c r="N1340" s="6"/>
      <c r="P1340"/>
      <c r="Q1340" s="12"/>
      <c r="R1340" s="12"/>
    </row>
    <row r="1341" spans="1:18" x14ac:dyDescent="0.2">
      <c r="A1341">
        <v>12</v>
      </c>
      <c r="B1341" t="s">
        <v>9</v>
      </c>
      <c r="C1341">
        <v>2014</v>
      </c>
      <c r="D1341">
        <v>8</v>
      </c>
      <c r="E1341" s="4">
        <v>17804</v>
      </c>
      <c r="F1341" s="9">
        <v>0</v>
      </c>
      <c r="G1341" s="6">
        <v>39566</v>
      </c>
      <c r="H1341" s="9">
        <f t="shared" si="20"/>
        <v>17804</v>
      </c>
      <c r="I1341" s="6">
        <v>11500</v>
      </c>
      <c r="J1341" s="6">
        <f>VLOOKUP(Table1[[#This Row],[Province]],[1]Sheet1!$A$3:$F$37,5,FALSE)</f>
        <v>47379400</v>
      </c>
      <c r="K1341">
        <v>0</v>
      </c>
      <c r="L1341" s="4">
        <v>7.0909110000000002</v>
      </c>
      <c r="M1341" s="4">
        <v>107.668887</v>
      </c>
      <c r="N1341" s="6"/>
      <c r="P1341"/>
      <c r="Q1341" s="12"/>
      <c r="R1341" s="12"/>
    </row>
    <row r="1342" spans="1:18" x14ac:dyDescent="0.2">
      <c r="A1342">
        <v>12</v>
      </c>
      <c r="B1342" t="s">
        <v>9</v>
      </c>
      <c r="C1342">
        <v>2014</v>
      </c>
      <c r="D1342">
        <v>9</v>
      </c>
      <c r="E1342" s="4">
        <v>6313</v>
      </c>
      <c r="F1342" s="9">
        <v>0</v>
      </c>
      <c r="G1342" s="6">
        <v>39822</v>
      </c>
      <c r="H1342" s="9">
        <f t="shared" si="20"/>
        <v>6313</v>
      </c>
      <c r="I1342" s="6">
        <v>11400</v>
      </c>
      <c r="J1342" s="6">
        <f>VLOOKUP(Table1[[#This Row],[Province]],[1]Sheet1!$A$3:$F$37,5,FALSE)</f>
        <v>47379400</v>
      </c>
      <c r="K1342">
        <v>0</v>
      </c>
      <c r="L1342" s="4">
        <v>7.0909110000000002</v>
      </c>
      <c r="M1342" s="4">
        <v>107.668887</v>
      </c>
      <c r="N1342" s="6"/>
      <c r="P1342"/>
      <c r="Q1342" s="12"/>
      <c r="R1342" s="12"/>
    </row>
    <row r="1343" spans="1:18" x14ac:dyDescent="0.2">
      <c r="A1343">
        <v>12</v>
      </c>
      <c r="B1343" t="s">
        <v>9</v>
      </c>
      <c r="C1343">
        <v>2014</v>
      </c>
      <c r="D1343">
        <v>10</v>
      </c>
      <c r="E1343" s="4">
        <v>3507</v>
      </c>
      <c r="F1343" s="9">
        <v>0</v>
      </c>
      <c r="G1343" s="6">
        <v>59075</v>
      </c>
      <c r="H1343" s="9">
        <f t="shared" si="20"/>
        <v>3507</v>
      </c>
      <c r="I1343" s="6">
        <v>11400</v>
      </c>
      <c r="J1343" s="6">
        <f>VLOOKUP(Table1[[#This Row],[Province]],[1]Sheet1!$A$3:$F$37,5,FALSE)</f>
        <v>47379400</v>
      </c>
      <c r="K1343">
        <v>0</v>
      </c>
      <c r="L1343" s="4">
        <v>7.0909110000000002</v>
      </c>
      <c r="M1343" s="4">
        <v>107.668887</v>
      </c>
      <c r="N1343" s="6"/>
      <c r="P1343"/>
      <c r="Q1343" s="12"/>
      <c r="R1343" s="12"/>
    </row>
    <row r="1344" spans="1:18" x14ac:dyDescent="0.2">
      <c r="A1344">
        <v>12</v>
      </c>
      <c r="B1344" t="s">
        <v>9</v>
      </c>
      <c r="C1344">
        <v>2014</v>
      </c>
      <c r="D1344">
        <v>11</v>
      </c>
      <c r="E1344" s="4">
        <v>3507</v>
      </c>
      <c r="F1344" s="9">
        <v>0</v>
      </c>
      <c r="G1344" s="6">
        <v>47140</v>
      </c>
      <c r="H1344" s="9">
        <f t="shared" si="20"/>
        <v>3507</v>
      </c>
      <c r="I1344" s="6">
        <v>11300</v>
      </c>
      <c r="J1344" s="6">
        <f>VLOOKUP(Table1[[#This Row],[Province]],[1]Sheet1!$A$3:$F$37,5,FALSE)</f>
        <v>47379400</v>
      </c>
      <c r="K1344">
        <v>0</v>
      </c>
      <c r="L1344" s="4">
        <v>7.0909110000000002</v>
      </c>
      <c r="M1344" s="4">
        <v>107.668887</v>
      </c>
      <c r="N1344" s="6"/>
      <c r="P1344"/>
      <c r="Q1344" s="12"/>
      <c r="R1344" s="12"/>
    </row>
    <row r="1345" spans="1:18" x14ac:dyDescent="0.2">
      <c r="A1345">
        <v>12</v>
      </c>
      <c r="B1345" t="s">
        <v>9</v>
      </c>
      <c r="C1345">
        <v>2014</v>
      </c>
      <c r="D1345">
        <v>12</v>
      </c>
      <c r="E1345" s="4">
        <v>0</v>
      </c>
      <c r="F1345" s="9">
        <v>0</v>
      </c>
      <c r="G1345" s="6">
        <v>54969</v>
      </c>
      <c r="H1345" s="9">
        <f t="shared" si="20"/>
        <v>0</v>
      </c>
      <c r="I1345" s="6">
        <v>11200</v>
      </c>
      <c r="J1345" s="6">
        <f>VLOOKUP(Table1[[#This Row],[Province]],[1]Sheet1!$A$3:$F$37,5,FALSE)</f>
        <v>47379400</v>
      </c>
      <c r="K1345">
        <v>1</v>
      </c>
      <c r="L1345" s="4">
        <v>7.0909110000000002</v>
      </c>
      <c r="M1345" s="4">
        <v>107.668887</v>
      </c>
      <c r="N1345" s="6"/>
      <c r="P1345"/>
      <c r="Q1345" s="12"/>
      <c r="R1345" s="12"/>
    </row>
    <row r="1346" spans="1:18" x14ac:dyDescent="0.2">
      <c r="A1346">
        <v>12</v>
      </c>
      <c r="B1346" t="s">
        <v>9</v>
      </c>
      <c r="C1346">
        <v>2015</v>
      </c>
      <c r="D1346">
        <v>1</v>
      </c>
      <c r="E1346" s="4">
        <v>0</v>
      </c>
      <c r="F1346" s="9">
        <v>0</v>
      </c>
      <c r="G1346" s="6">
        <v>27062</v>
      </c>
      <c r="H1346" s="9">
        <f t="shared" ref="H1346:H1409" si="21">F1346+E1346</f>
        <v>0</v>
      </c>
      <c r="I1346" s="6">
        <v>11200</v>
      </c>
      <c r="J1346" s="6">
        <f>VLOOKUP(Table1[[#This Row],[Province]],[1]Sheet1!$A$3:$F$37,5,FALSE)</f>
        <v>47379400</v>
      </c>
      <c r="K1346">
        <v>0</v>
      </c>
      <c r="L1346" s="4">
        <v>7.0909110000000002</v>
      </c>
      <c r="M1346" s="4">
        <v>107.668887</v>
      </c>
      <c r="N1346" s="6"/>
      <c r="P1346"/>
      <c r="Q1346" s="12"/>
      <c r="R1346" s="12"/>
    </row>
    <row r="1347" spans="1:18" x14ac:dyDescent="0.2">
      <c r="A1347">
        <v>12</v>
      </c>
      <c r="B1347" t="s">
        <v>9</v>
      </c>
      <c r="C1347">
        <v>2015</v>
      </c>
      <c r="D1347">
        <v>2</v>
      </c>
      <c r="E1347" s="4">
        <v>0</v>
      </c>
      <c r="F1347" s="9">
        <v>0</v>
      </c>
      <c r="G1347" s="6">
        <v>68256</v>
      </c>
      <c r="H1347" s="9">
        <f t="shared" si="21"/>
        <v>0</v>
      </c>
      <c r="I1347" s="6">
        <v>11195</v>
      </c>
      <c r="J1347" s="6">
        <f>VLOOKUP(Table1[[#This Row],[Province]],[1]Sheet1!$A$3:$F$37,5,FALSE)</f>
        <v>47379400</v>
      </c>
      <c r="K1347">
        <v>0</v>
      </c>
      <c r="L1347" s="4">
        <v>7.0909110000000002</v>
      </c>
      <c r="M1347" s="4">
        <v>107.668887</v>
      </c>
      <c r="N1347" s="6"/>
      <c r="P1347"/>
      <c r="Q1347" s="12"/>
      <c r="R1347" s="12"/>
    </row>
    <row r="1348" spans="1:18" x14ac:dyDescent="0.2">
      <c r="A1348">
        <v>12</v>
      </c>
      <c r="B1348" t="s">
        <v>9</v>
      </c>
      <c r="C1348">
        <v>2015</v>
      </c>
      <c r="D1348">
        <v>3</v>
      </c>
      <c r="E1348" s="4">
        <v>0</v>
      </c>
      <c r="F1348" s="9">
        <v>0</v>
      </c>
      <c r="G1348" s="6">
        <v>30972</v>
      </c>
      <c r="H1348" s="9">
        <f t="shared" si="21"/>
        <v>0</v>
      </c>
      <c r="I1348" s="6">
        <v>11286</v>
      </c>
      <c r="J1348" s="6">
        <f>VLOOKUP(Table1[[#This Row],[Province]],[1]Sheet1!$A$3:$F$37,5,FALSE)</f>
        <v>47379400</v>
      </c>
      <c r="K1348">
        <v>0</v>
      </c>
      <c r="L1348" s="4">
        <v>7.0909110000000002</v>
      </c>
      <c r="M1348" s="4">
        <v>107.668887</v>
      </c>
      <c r="N1348" s="6"/>
      <c r="P1348"/>
      <c r="Q1348" s="12"/>
      <c r="R1348" s="12"/>
    </row>
    <row r="1349" spans="1:18" x14ac:dyDescent="0.2">
      <c r="A1349">
        <v>12</v>
      </c>
      <c r="B1349" t="s">
        <v>9</v>
      </c>
      <c r="C1349">
        <v>2015</v>
      </c>
      <c r="D1349">
        <v>4</v>
      </c>
      <c r="E1349" s="4">
        <v>0</v>
      </c>
      <c r="F1349" s="9">
        <v>0</v>
      </c>
      <c r="G1349" s="6">
        <v>51306</v>
      </c>
      <c r="H1349" s="9">
        <f t="shared" si="21"/>
        <v>0</v>
      </c>
      <c r="I1349" s="6">
        <v>11776</v>
      </c>
      <c r="J1349" s="6">
        <f>VLOOKUP(Table1[[#This Row],[Province]],[1]Sheet1!$A$3:$F$37,5,FALSE)</f>
        <v>47379400</v>
      </c>
      <c r="K1349">
        <v>0</v>
      </c>
      <c r="L1349" s="4">
        <v>7.0909110000000002</v>
      </c>
      <c r="M1349" s="4">
        <v>107.668887</v>
      </c>
      <c r="N1349" s="6"/>
      <c r="P1349"/>
      <c r="Q1349" s="12"/>
      <c r="R1349" s="12"/>
    </row>
    <row r="1350" spans="1:18" x14ac:dyDescent="0.2">
      <c r="A1350">
        <v>12</v>
      </c>
      <c r="B1350" t="s">
        <v>9</v>
      </c>
      <c r="C1350">
        <v>2015</v>
      </c>
      <c r="D1350">
        <v>5</v>
      </c>
      <c r="E1350" s="4">
        <v>4872</v>
      </c>
      <c r="F1350" s="9">
        <v>0</v>
      </c>
      <c r="G1350" s="6">
        <v>49162</v>
      </c>
      <c r="H1350" s="9">
        <f t="shared" si="21"/>
        <v>4872</v>
      </c>
      <c r="I1350" s="6">
        <v>12153</v>
      </c>
      <c r="J1350" s="6">
        <f>VLOOKUP(Table1[[#This Row],[Province]],[1]Sheet1!$A$3:$F$37,5,FALSE)</f>
        <v>47379400</v>
      </c>
      <c r="K1350">
        <v>0</v>
      </c>
      <c r="L1350" s="4">
        <v>7.0909110000000002</v>
      </c>
      <c r="M1350" s="4">
        <v>107.668887</v>
      </c>
      <c r="N1350" s="6"/>
      <c r="P1350"/>
      <c r="Q1350" s="12"/>
      <c r="R1350" s="12"/>
    </row>
    <row r="1351" spans="1:18" x14ac:dyDescent="0.2">
      <c r="A1351">
        <v>12</v>
      </c>
      <c r="B1351" t="s">
        <v>9</v>
      </c>
      <c r="C1351">
        <v>2015</v>
      </c>
      <c r="D1351">
        <v>6</v>
      </c>
      <c r="E1351" s="4">
        <v>21492</v>
      </c>
      <c r="F1351" s="9">
        <v>0</v>
      </c>
      <c r="G1351" s="6">
        <v>55867</v>
      </c>
      <c r="H1351" s="9">
        <f t="shared" si="21"/>
        <v>21492</v>
      </c>
      <c r="I1351" s="6">
        <v>12733</v>
      </c>
      <c r="J1351" s="6">
        <f>VLOOKUP(Table1[[#This Row],[Province]],[1]Sheet1!$A$3:$F$37,5,FALSE)</f>
        <v>47379400</v>
      </c>
      <c r="K1351">
        <v>1</v>
      </c>
      <c r="L1351" s="4">
        <v>7.0909110000000002</v>
      </c>
      <c r="M1351" s="4">
        <v>107.668887</v>
      </c>
      <c r="N1351" s="6"/>
      <c r="P1351"/>
      <c r="Q1351" s="12"/>
      <c r="R1351" s="12"/>
    </row>
    <row r="1352" spans="1:18" x14ac:dyDescent="0.2">
      <c r="A1352">
        <v>12</v>
      </c>
      <c r="B1352" t="s">
        <v>9</v>
      </c>
      <c r="C1352">
        <v>2015</v>
      </c>
      <c r="D1352">
        <v>7</v>
      </c>
      <c r="E1352" s="4">
        <v>20371</v>
      </c>
      <c r="F1352" s="9">
        <v>0</v>
      </c>
      <c r="G1352" s="6">
        <v>38138</v>
      </c>
      <c r="H1352" s="9">
        <f t="shared" si="21"/>
        <v>20371</v>
      </c>
      <c r="I1352" s="6">
        <v>12900</v>
      </c>
      <c r="J1352" s="6">
        <f>VLOOKUP(Table1[[#This Row],[Province]],[1]Sheet1!$A$3:$F$37,5,FALSE)</f>
        <v>47379400</v>
      </c>
      <c r="K1352">
        <v>0</v>
      </c>
      <c r="L1352" s="4">
        <v>7.0909110000000002</v>
      </c>
      <c r="M1352" s="4">
        <v>107.668887</v>
      </c>
      <c r="N1352" s="6"/>
      <c r="P1352"/>
      <c r="Q1352" s="12"/>
      <c r="R1352" s="12"/>
    </row>
    <row r="1353" spans="1:18" x14ac:dyDescent="0.2">
      <c r="A1353">
        <v>12</v>
      </c>
      <c r="B1353" t="s">
        <v>9</v>
      </c>
      <c r="C1353">
        <v>2015</v>
      </c>
      <c r="D1353">
        <v>8</v>
      </c>
      <c r="E1353" s="4">
        <v>21939</v>
      </c>
      <c r="F1353" s="9">
        <v>0</v>
      </c>
      <c r="G1353" s="6">
        <v>37745</v>
      </c>
      <c r="H1353" s="9">
        <f t="shared" si="21"/>
        <v>21939</v>
      </c>
      <c r="I1353" s="6">
        <v>12875</v>
      </c>
      <c r="J1353" s="6">
        <f>VLOOKUP(Table1[[#This Row],[Province]],[1]Sheet1!$A$3:$F$37,5,FALSE)</f>
        <v>47379400</v>
      </c>
      <c r="K1353">
        <v>0</v>
      </c>
      <c r="L1353" s="4">
        <v>7.0909110000000002</v>
      </c>
      <c r="M1353" s="4">
        <v>107.668887</v>
      </c>
      <c r="N1353" s="6"/>
      <c r="P1353"/>
      <c r="Q1353" s="12"/>
      <c r="R1353" s="12"/>
    </row>
    <row r="1354" spans="1:18" x14ac:dyDescent="0.2">
      <c r="A1354">
        <v>12</v>
      </c>
      <c r="B1354" t="s">
        <v>9</v>
      </c>
      <c r="C1354">
        <v>2015</v>
      </c>
      <c r="D1354">
        <v>9</v>
      </c>
      <c r="E1354" s="4">
        <v>14871</v>
      </c>
      <c r="F1354" s="9">
        <v>0</v>
      </c>
      <c r="G1354" s="6">
        <v>50654</v>
      </c>
      <c r="H1354" s="9">
        <f t="shared" si="21"/>
        <v>14871</v>
      </c>
      <c r="I1354" s="6">
        <v>12505</v>
      </c>
      <c r="J1354" s="6">
        <f>VLOOKUP(Table1[[#This Row],[Province]],[1]Sheet1!$A$3:$F$37,5,FALSE)</f>
        <v>47379400</v>
      </c>
      <c r="K1354">
        <v>0</v>
      </c>
      <c r="L1354" s="4">
        <v>7.0909110000000002</v>
      </c>
      <c r="M1354" s="4">
        <v>107.668887</v>
      </c>
      <c r="N1354" s="6"/>
      <c r="P1354"/>
      <c r="Q1354" s="12"/>
      <c r="R1354" s="12"/>
    </row>
    <row r="1355" spans="1:18" x14ac:dyDescent="0.2">
      <c r="A1355">
        <v>12</v>
      </c>
      <c r="B1355" t="s">
        <v>9</v>
      </c>
      <c r="C1355">
        <v>2015</v>
      </c>
      <c r="D1355">
        <v>10</v>
      </c>
      <c r="E1355" s="4">
        <v>5261</v>
      </c>
      <c r="F1355" s="9">
        <v>0</v>
      </c>
      <c r="G1355" s="6">
        <v>33763</v>
      </c>
      <c r="H1355" s="9">
        <f t="shared" si="21"/>
        <v>5261</v>
      </c>
      <c r="I1355" s="6">
        <v>12405</v>
      </c>
      <c r="J1355" s="6">
        <f>VLOOKUP(Table1[[#This Row],[Province]],[1]Sheet1!$A$3:$F$37,5,FALSE)</f>
        <v>47379400</v>
      </c>
      <c r="K1355">
        <v>0</v>
      </c>
      <c r="L1355" s="4">
        <v>7.0909110000000002</v>
      </c>
      <c r="M1355" s="4">
        <v>107.668887</v>
      </c>
      <c r="N1355" s="6"/>
      <c r="P1355"/>
      <c r="Q1355" s="12"/>
      <c r="R1355" s="12"/>
    </row>
    <row r="1356" spans="1:18" x14ac:dyDescent="0.2">
      <c r="A1356">
        <v>12</v>
      </c>
      <c r="B1356" t="s">
        <v>9</v>
      </c>
      <c r="C1356">
        <v>2015</v>
      </c>
      <c r="D1356">
        <v>11</v>
      </c>
      <c r="E1356" s="4">
        <v>0</v>
      </c>
      <c r="F1356" s="9">
        <v>0</v>
      </c>
      <c r="G1356" s="6">
        <v>44521</v>
      </c>
      <c r="H1356" s="9">
        <f t="shared" si="21"/>
        <v>0</v>
      </c>
      <c r="I1356" s="6">
        <v>12500</v>
      </c>
      <c r="J1356" s="6">
        <f>VLOOKUP(Table1[[#This Row],[Province]],[1]Sheet1!$A$3:$F$37,5,FALSE)</f>
        <v>47379400</v>
      </c>
      <c r="K1356">
        <v>0</v>
      </c>
      <c r="L1356" s="4">
        <v>7.0909110000000002</v>
      </c>
      <c r="M1356" s="4">
        <v>107.668887</v>
      </c>
      <c r="N1356" s="6"/>
      <c r="P1356"/>
      <c r="Q1356" s="12"/>
      <c r="R1356" s="12"/>
    </row>
    <row r="1357" spans="1:18" x14ac:dyDescent="0.2">
      <c r="A1357">
        <v>12</v>
      </c>
      <c r="B1357" t="s">
        <v>9</v>
      </c>
      <c r="C1357">
        <v>2015</v>
      </c>
      <c r="D1357">
        <v>12</v>
      </c>
      <c r="E1357" s="4">
        <v>0</v>
      </c>
      <c r="F1357" s="9">
        <v>21.44</v>
      </c>
      <c r="G1357" s="6">
        <v>47722</v>
      </c>
      <c r="H1357" s="9">
        <f t="shared" si="21"/>
        <v>21.44</v>
      </c>
      <c r="I1357" s="6">
        <v>12500</v>
      </c>
      <c r="J1357" s="6">
        <f>VLOOKUP(Table1[[#This Row],[Province]],[1]Sheet1!$A$3:$F$37,5,FALSE)</f>
        <v>47379400</v>
      </c>
      <c r="K1357">
        <v>1</v>
      </c>
      <c r="L1357" s="4">
        <v>7.0909110000000002</v>
      </c>
      <c r="M1357" s="4">
        <v>107.668887</v>
      </c>
      <c r="N1357" s="6"/>
      <c r="P1357"/>
      <c r="Q1357" s="12"/>
      <c r="R1357" s="12"/>
    </row>
    <row r="1358" spans="1:18" x14ac:dyDescent="0.2">
      <c r="A1358">
        <v>12</v>
      </c>
      <c r="B1358" t="s">
        <v>9</v>
      </c>
      <c r="C1358">
        <v>2016</v>
      </c>
      <c r="D1358">
        <v>1</v>
      </c>
      <c r="E1358" s="4">
        <v>0</v>
      </c>
      <c r="F1358" s="9">
        <v>0</v>
      </c>
      <c r="G1358" s="6">
        <v>49748</v>
      </c>
      <c r="H1358" s="9">
        <f t="shared" si="21"/>
        <v>0</v>
      </c>
      <c r="I1358" s="6">
        <v>12620</v>
      </c>
      <c r="J1358" s="6">
        <f>VLOOKUP(Table1[[#This Row],[Province]],[1]Sheet1!$A$3:$F$37,5,FALSE)</f>
        <v>47379400</v>
      </c>
      <c r="K1358">
        <v>0</v>
      </c>
      <c r="L1358" s="4">
        <v>7.0909110000000002</v>
      </c>
      <c r="M1358" s="4">
        <v>107.668887</v>
      </c>
      <c r="N1358" s="13">
        <v>5.66</v>
      </c>
      <c r="P1358"/>
      <c r="Q1358" s="12"/>
      <c r="R1358" s="12"/>
    </row>
    <row r="1359" spans="1:18" x14ac:dyDescent="0.2">
      <c r="A1359">
        <v>12</v>
      </c>
      <c r="B1359" t="s">
        <v>9</v>
      </c>
      <c r="C1359">
        <v>2016</v>
      </c>
      <c r="D1359">
        <v>2</v>
      </c>
      <c r="E1359" s="4">
        <v>0</v>
      </c>
      <c r="F1359" s="9">
        <v>0</v>
      </c>
      <c r="G1359" s="6">
        <v>28364</v>
      </c>
      <c r="H1359" s="9">
        <f t="shared" si="21"/>
        <v>0</v>
      </c>
      <c r="I1359" s="6">
        <v>13095</v>
      </c>
      <c r="J1359" s="6">
        <f>VLOOKUP(Table1[[#This Row],[Province]],[1]Sheet1!$A$3:$F$37,5,FALSE)</f>
        <v>47379400</v>
      </c>
      <c r="K1359">
        <v>0</v>
      </c>
      <c r="L1359" s="4">
        <v>7.0909110000000002</v>
      </c>
      <c r="M1359" s="4">
        <v>107.668887</v>
      </c>
      <c r="N1359" s="13">
        <v>5.66</v>
      </c>
      <c r="P1359"/>
      <c r="Q1359" s="12"/>
      <c r="R1359" s="12"/>
    </row>
    <row r="1360" spans="1:18" x14ac:dyDescent="0.2">
      <c r="A1360">
        <v>12</v>
      </c>
      <c r="B1360" t="s">
        <v>9</v>
      </c>
      <c r="C1360">
        <v>2016</v>
      </c>
      <c r="D1360">
        <v>3</v>
      </c>
      <c r="E1360" s="4">
        <v>0</v>
      </c>
      <c r="F1360" s="9">
        <v>0</v>
      </c>
      <c r="G1360" s="6">
        <v>58508</v>
      </c>
      <c r="H1360" s="9">
        <f t="shared" si="21"/>
        <v>0</v>
      </c>
      <c r="I1360" s="6">
        <v>12862</v>
      </c>
      <c r="J1360" s="6">
        <f>VLOOKUP(Table1[[#This Row],[Province]],[1]Sheet1!$A$3:$F$37,5,FALSE)</f>
        <v>47379400</v>
      </c>
      <c r="K1360">
        <v>0</v>
      </c>
      <c r="L1360" s="4">
        <v>7.0909110000000002</v>
      </c>
      <c r="M1360" s="4">
        <v>107.668887</v>
      </c>
      <c r="N1360" s="13">
        <v>5.66</v>
      </c>
      <c r="P1360"/>
      <c r="Q1360" s="12"/>
      <c r="R1360" s="12"/>
    </row>
    <row r="1361" spans="1:18" x14ac:dyDescent="0.2">
      <c r="A1361">
        <v>12</v>
      </c>
      <c r="B1361" t="s">
        <v>9</v>
      </c>
      <c r="C1361">
        <v>2016</v>
      </c>
      <c r="D1361">
        <v>4</v>
      </c>
      <c r="E1361" s="4">
        <v>0</v>
      </c>
      <c r="F1361" s="9">
        <v>0</v>
      </c>
      <c r="G1361" s="6">
        <v>35366</v>
      </c>
      <c r="H1361" s="9">
        <f t="shared" si="21"/>
        <v>0</v>
      </c>
      <c r="I1361" s="6">
        <v>12886</v>
      </c>
      <c r="J1361" s="6">
        <f>VLOOKUP(Table1[[#This Row],[Province]],[1]Sheet1!$A$3:$F$37,5,FALSE)</f>
        <v>47379400</v>
      </c>
      <c r="K1361">
        <v>0</v>
      </c>
      <c r="L1361" s="4">
        <v>7.0909110000000002</v>
      </c>
      <c r="M1361" s="4">
        <v>107.668887</v>
      </c>
      <c r="N1361" s="13">
        <v>5.66</v>
      </c>
      <c r="P1361"/>
      <c r="Q1361" s="12"/>
      <c r="R1361" s="12"/>
    </row>
    <row r="1362" spans="1:18" x14ac:dyDescent="0.2">
      <c r="A1362">
        <v>12</v>
      </c>
      <c r="B1362" t="s">
        <v>9</v>
      </c>
      <c r="C1362">
        <v>2016</v>
      </c>
      <c r="D1362">
        <v>5</v>
      </c>
      <c r="E1362" s="4">
        <v>1067</v>
      </c>
      <c r="F1362" s="9">
        <v>0</v>
      </c>
      <c r="G1362" s="6">
        <v>39313</v>
      </c>
      <c r="H1362" s="9">
        <f t="shared" si="21"/>
        <v>1067</v>
      </c>
      <c r="I1362" s="6">
        <v>14290</v>
      </c>
      <c r="J1362" s="6">
        <f>VLOOKUP(Table1[[#This Row],[Province]],[1]Sheet1!$A$3:$F$37,5,FALSE)</f>
        <v>47379400</v>
      </c>
      <c r="K1362">
        <v>0</v>
      </c>
      <c r="L1362" s="4">
        <v>7.0909110000000002</v>
      </c>
      <c r="M1362" s="4">
        <v>107.668887</v>
      </c>
      <c r="N1362" s="13">
        <v>5.66</v>
      </c>
      <c r="P1362"/>
      <c r="Q1362" s="12"/>
      <c r="R1362" s="12"/>
    </row>
    <row r="1363" spans="1:18" x14ac:dyDescent="0.2">
      <c r="A1363">
        <v>12</v>
      </c>
      <c r="B1363" t="s">
        <v>9</v>
      </c>
      <c r="C1363">
        <v>2016</v>
      </c>
      <c r="D1363">
        <v>6</v>
      </c>
      <c r="E1363" s="4">
        <v>9497</v>
      </c>
      <c r="F1363" s="9">
        <v>0</v>
      </c>
      <c r="G1363" s="6">
        <v>48677</v>
      </c>
      <c r="H1363" s="9">
        <f t="shared" si="21"/>
        <v>9497</v>
      </c>
      <c r="I1363" s="6">
        <v>15445</v>
      </c>
      <c r="J1363" s="6">
        <f>VLOOKUP(Table1[[#This Row],[Province]],[1]Sheet1!$A$3:$F$37,5,FALSE)</f>
        <v>47379400</v>
      </c>
      <c r="K1363">
        <v>1</v>
      </c>
      <c r="L1363" s="4">
        <v>7.0909110000000002</v>
      </c>
      <c r="M1363" s="4">
        <v>107.668887</v>
      </c>
      <c r="N1363" s="13">
        <v>5.66</v>
      </c>
      <c r="P1363"/>
      <c r="Q1363" s="12"/>
      <c r="R1363" s="12"/>
    </row>
    <row r="1364" spans="1:18" x14ac:dyDescent="0.2">
      <c r="A1364">
        <v>12</v>
      </c>
      <c r="B1364" t="s">
        <v>9</v>
      </c>
      <c r="C1364">
        <v>2016</v>
      </c>
      <c r="D1364">
        <v>7</v>
      </c>
      <c r="E1364" s="4">
        <v>2109</v>
      </c>
      <c r="F1364" s="9">
        <v>0</v>
      </c>
      <c r="G1364" s="6">
        <v>46445</v>
      </c>
      <c r="H1364" s="9">
        <f t="shared" si="21"/>
        <v>2109</v>
      </c>
      <c r="I1364" s="6">
        <v>16475</v>
      </c>
      <c r="J1364" s="6">
        <f>VLOOKUP(Table1[[#This Row],[Province]],[1]Sheet1!$A$3:$F$37,5,FALSE)</f>
        <v>47379400</v>
      </c>
      <c r="K1364">
        <v>0</v>
      </c>
      <c r="L1364" s="4">
        <v>7.0909110000000002</v>
      </c>
      <c r="M1364" s="4">
        <v>107.668887</v>
      </c>
      <c r="N1364" s="13">
        <v>5.66</v>
      </c>
      <c r="P1364"/>
      <c r="Q1364" s="12"/>
      <c r="R1364" s="12"/>
    </row>
    <row r="1365" spans="1:18" x14ac:dyDescent="0.2">
      <c r="A1365">
        <v>12</v>
      </c>
      <c r="B1365" t="s">
        <v>9</v>
      </c>
      <c r="C1365">
        <v>2016</v>
      </c>
      <c r="D1365">
        <v>8</v>
      </c>
      <c r="E1365" s="4">
        <v>4410</v>
      </c>
      <c r="F1365" s="9">
        <v>1.2190000000000001</v>
      </c>
      <c r="G1365" s="6">
        <v>45894</v>
      </c>
      <c r="H1365" s="9">
        <f t="shared" si="21"/>
        <v>4411.2190000000001</v>
      </c>
      <c r="I1365" s="6">
        <v>15918</v>
      </c>
      <c r="J1365" s="6">
        <f>VLOOKUP(Table1[[#This Row],[Province]],[1]Sheet1!$A$3:$F$37,5,FALSE)</f>
        <v>47379400</v>
      </c>
      <c r="K1365">
        <v>0</v>
      </c>
      <c r="L1365" s="4">
        <v>7.0909110000000002</v>
      </c>
      <c r="M1365" s="4">
        <v>107.668887</v>
      </c>
      <c r="N1365" s="13">
        <v>5.66</v>
      </c>
      <c r="P1365"/>
      <c r="Q1365" s="12"/>
      <c r="R1365" s="12"/>
    </row>
    <row r="1366" spans="1:18" x14ac:dyDescent="0.2">
      <c r="A1366">
        <v>12</v>
      </c>
      <c r="B1366" t="s">
        <v>9</v>
      </c>
      <c r="C1366">
        <v>2016</v>
      </c>
      <c r="D1366">
        <v>9</v>
      </c>
      <c r="E1366" s="4">
        <v>3557</v>
      </c>
      <c r="F1366" s="9">
        <v>0</v>
      </c>
      <c r="G1366" s="6">
        <v>17739</v>
      </c>
      <c r="H1366" s="9">
        <f t="shared" si="21"/>
        <v>3557</v>
      </c>
      <c r="I1366" s="6">
        <v>15371</v>
      </c>
      <c r="J1366" s="6">
        <f>VLOOKUP(Table1[[#This Row],[Province]],[1]Sheet1!$A$3:$F$37,5,FALSE)</f>
        <v>47379400</v>
      </c>
      <c r="K1366">
        <v>0</v>
      </c>
      <c r="L1366" s="4">
        <v>7.0909110000000002</v>
      </c>
      <c r="M1366" s="4">
        <v>107.668887</v>
      </c>
      <c r="N1366" s="13">
        <v>5.66</v>
      </c>
      <c r="P1366"/>
      <c r="Q1366" s="12"/>
      <c r="R1366" s="12"/>
    </row>
    <row r="1367" spans="1:18" x14ac:dyDescent="0.2">
      <c r="A1367">
        <v>12</v>
      </c>
      <c r="B1367" t="s">
        <v>9</v>
      </c>
      <c r="C1367">
        <v>2016</v>
      </c>
      <c r="D1367">
        <v>10</v>
      </c>
      <c r="E1367" s="4">
        <v>0</v>
      </c>
      <c r="F1367" s="9">
        <v>0</v>
      </c>
      <c r="G1367" s="6">
        <v>77488</v>
      </c>
      <c r="H1367" s="9">
        <f t="shared" si="21"/>
        <v>0</v>
      </c>
      <c r="I1367" s="6">
        <v>14790</v>
      </c>
      <c r="J1367" s="6">
        <f>VLOOKUP(Table1[[#This Row],[Province]],[1]Sheet1!$A$3:$F$37,5,FALSE)</f>
        <v>47379400</v>
      </c>
      <c r="K1367">
        <v>0</v>
      </c>
      <c r="L1367" s="4">
        <v>7.0909110000000002</v>
      </c>
      <c r="M1367" s="4">
        <v>107.668887</v>
      </c>
      <c r="N1367" s="13">
        <v>5.66</v>
      </c>
      <c r="P1367"/>
      <c r="Q1367" s="12"/>
      <c r="R1367" s="12"/>
    </row>
    <row r="1368" spans="1:18" x14ac:dyDescent="0.2">
      <c r="A1368">
        <v>12</v>
      </c>
      <c r="B1368" t="s">
        <v>9</v>
      </c>
      <c r="C1368">
        <v>2016</v>
      </c>
      <c r="D1368">
        <v>11</v>
      </c>
      <c r="E1368" s="4">
        <v>0</v>
      </c>
      <c r="F1368" s="9">
        <v>0</v>
      </c>
      <c r="G1368" s="6">
        <v>21939</v>
      </c>
      <c r="H1368" s="9">
        <f t="shared" si="21"/>
        <v>0</v>
      </c>
      <c r="I1368" s="6">
        <v>14505</v>
      </c>
      <c r="J1368" s="6">
        <f>VLOOKUP(Table1[[#This Row],[Province]],[1]Sheet1!$A$3:$F$37,5,FALSE)</f>
        <v>47379400</v>
      </c>
      <c r="K1368">
        <v>0</v>
      </c>
      <c r="L1368" s="4">
        <v>7.0909110000000002</v>
      </c>
      <c r="M1368" s="4">
        <v>107.668887</v>
      </c>
      <c r="N1368" s="13">
        <v>5.66</v>
      </c>
      <c r="P1368"/>
      <c r="Q1368" s="12"/>
      <c r="R1368" s="12"/>
    </row>
    <row r="1369" spans="1:18" x14ac:dyDescent="0.2">
      <c r="A1369">
        <v>12</v>
      </c>
      <c r="B1369" t="s">
        <v>9</v>
      </c>
      <c r="C1369">
        <v>2016</v>
      </c>
      <c r="D1369">
        <v>12</v>
      </c>
      <c r="E1369" s="4">
        <v>0</v>
      </c>
      <c r="F1369" s="9">
        <v>0</v>
      </c>
      <c r="G1369" s="6">
        <v>21957</v>
      </c>
      <c r="H1369" s="9">
        <f t="shared" si="21"/>
        <v>0</v>
      </c>
      <c r="I1369" s="6">
        <v>14435</v>
      </c>
      <c r="J1369" s="6">
        <f>VLOOKUP(Table1[[#This Row],[Province]],[1]Sheet1!$A$3:$F$37,5,FALSE)</f>
        <v>47379400</v>
      </c>
      <c r="K1369">
        <v>1</v>
      </c>
      <c r="L1369" s="4">
        <v>7.0909110000000002</v>
      </c>
      <c r="M1369" s="4">
        <v>107.668887</v>
      </c>
      <c r="N1369" s="13">
        <v>5.66</v>
      </c>
      <c r="P1369"/>
      <c r="Q1369" s="12"/>
      <c r="R1369" s="12"/>
    </row>
    <row r="1370" spans="1:18" x14ac:dyDescent="0.2">
      <c r="A1370">
        <v>12</v>
      </c>
      <c r="B1370" t="s">
        <v>9</v>
      </c>
      <c r="C1370">
        <v>2017</v>
      </c>
      <c r="D1370">
        <v>1</v>
      </c>
      <c r="E1370" s="4">
        <v>0</v>
      </c>
      <c r="F1370" s="9">
        <v>0</v>
      </c>
      <c r="G1370" s="6">
        <v>43587</v>
      </c>
      <c r="H1370" s="9">
        <f t="shared" si="21"/>
        <v>0</v>
      </c>
      <c r="I1370" s="6">
        <v>14524</v>
      </c>
      <c r="J1370" s="6">
        <f>VLOOKUP(Table1[[#This Row],[Province]],[1]Sheet1!$A$3:$F$37,5,FALSE)</f>
        <v>47379400</v>
      </c>
      <c r="K1370">
        <v>0</v>
      </c>
      <c r="L1370" s="4">
        <v>7.0909110000000002</v>
      </c>
      <c r="M1370" s="4">
        <v>107.668887</v>
      </c>
      <c r="N1370" s="13">
        <v>5.33</v>
      </c>
      <c r="P1370"/>
      <c r="Q1370" s="12"/>
      <c r="R1370" s="12"/>
    </row>
    <row r="1371" spans="1:18" x14ac:dyDescent="0.2">
      <c r="A1371">
        <v>12</v>
      </c>
      <c r="B1371" t="s">
        <v>9</v>
      </c>
      <c r="C1371">
        <v>2017</v>
      </c>
      <c r="D1371">
        <v>2</v>
      </c>
      <c r="E1371" s="4">
        <v>0</v>
      </c>
      <c r="F1371" s="9">
        <v>0</v>
      </c>
      <c r="G1371" s="6">
        <v>25040</v>
      </c>
      <c r="H1371" s="9">
        <f t="shared" si="21"/>
        <v>0</v>
      </c>
      <c r="I1371" s="6">
        <v>14216</v>
      </c>
      <c r="J1371" s="6">
        <f>VLOOKUP(Table1[[#This Row],[Province]],[1]Sheet1!$A$3:$F$37,5,FALSE)</f>
        <v>47379400</v>
      </c>
      <c r="K1371">
        <v>0</v>
      </c>
      <c r="L1371" s="4">
        <v>7.0909110000000002</v>
      </c>
      <c r="M1371" s="4">
        <v>107.668887</v>
      </c>
      <c r="N1371" s="13">
        <v>5.33</v>
      </c>
      <c r="P1371"/>
      <c r="Q1371" s="12"/>
      <c r="R1371" s="12"/>
    </row>
    <row r="1372" spans="1:18" x14ac:dyDescent="0.2">
      <c r="A1372">
        <v>12</v>
      </c>
      <c r="B1372" t="s">
        <v>9</v>
      </c>
      <c r="C1372">
        <v>2017</v>
      </c>
      <c r="D1372">
        <v>3</v>
      </c>
      <c r="E1372" s="4">
        <v>0</v>
      </c>
      <c r="F1372" s="9">
        <v>0</v>
      </c>
      <c r="G1372" s="6">
        <v>19565</v>
      </c>
      <c r="H1372" s="9">
        <f t="shared" si="21"/>
        <v>0</v>
      </c>
      <c r="I1372" s="6">
        <v>14027</v>
      </c>
      <c r="J1372" s="6">
        <f>VLOOKUP(Table1[[#This Row],[Province]],[1]Sheet1!$A$3:$F$37,5,FALSE)</f>
        <v>47379400</v>
      </c>
      <c r="K1372">
        <v>0</v>
      </c>
      <c r="L1372" s="4">
        <v>7.0909110000000002</v>
      </c>
      <c r="M1372" s="4">
        <v>107.668887</v>
      </c>
      <c r="N1372" s="13">
        <v>5.33</v>
      </c>
      <c r="P1372"/>
      <c r="Q1372" s="12"/>
      <c r="R1372" s="12"/>
    </row>
    <row r="1373" spans="1:18" x14ac:dyDescent="0.2">
      <c r="A1373">
        <v>12</v>
      </c>
      <c r="B1373" t="s">
        <v>9</v>
      </c>
      <c r="C1373">
        <v>2017</v>
      </c>
      <c r="D1373">
        <v>4</v>
      </c>
      <c r="E1373" s="4">
        <v>0</v>
      </c>
      <c r="F1373" s="9">
        <v>0</v>
      </c>
      <c r="G1373" s="6">
        <v>13977</v>
      </c>
      <c r="H1373" s="9">
        <f t="shared" si="21"/>
        <v>0</v>
      </c>
      <c r="I1373" s="6">
        <v>13906</v>
      </c>
      <c r="J1373" s="6">
        <f>VLOOKUP(Table1[[#This Row],[Province]],[1]Sheet1!$A$3:$F$37,5,FALSE)</f>
        <v>47379400</v>
      </c>
      <c r="K1373">
        <v>0</v>
      </c>
      <c r="L1373" s="4">
        <v>7.0909110000000002</v>
      </c>
      <c r="M1373" s="4">
        <v>107.668887</v>
      </c>
      <c r="N1373" s="13">
        <v>5.33</v>
      </c>
      <c r="P1373"/>
      <c r="Q1373" s="12"/>
      <c r="R1373" s="12"/>
    </row>
    <row r="1374" spans="1:18" x14ac:dyDescent="0.2">
      <c r="A1374">
        <v>12</v>
      </c>
      <c r="B1374" t="s">
        <v>9</v>
      </c>
      <c r="C1374">
        <v>2017</v>
      </c>
      <c r="D1374">
        <v>5</v>
      </c>
      <c r="E1374" s="4">
        <v>4040</v>
      </c>
      <c r="F1374" s="9">
        <v>0</v>
      </c>
      <c r="G1374" s="6">
        <v>13462</v>
      </c>
      <c r="H1374" s="9">
        <f t="shared" si="21"/>
        <v>4040</v>
      </c>
      <c r="I1374" s="6">
        <v>13830</v>
      </c>
      <c r="J1374" s="6">
        <f>VLOOKUP(Table1[[#This Row],[Province]],[1]Sheet1!$A$3:$F$37,5,FALSE)</f>
        <v>47379400</v>
      </c>
      <c r="K1374">
        <v>1</v>
      </c>
      <c r="L1374" s="4">
        <v>7.0909110000000002</v>
      </c>
      <c r="M1374" s="4">
        <v>107.668887</v>
      </c>
      <c r="N1374" s="13">
        <v>5.33</v>
      </c>
      <c r="P1374"/>
      <c r="Q1374" s="12"/>
      <c r="R1374" s="12"/>
    </row>
    <row r="1375" spans="1:18" x14ac:dyDescent="0.2">
      <c r="A1375">
        <v>12</v>
      </c>
      <c r="B1375" t="s">
        <v>9</v>
      </c>
      <c r="C1375">
        <v>2017</v>
      </c>
      <c r="D1375">
        <v>6</v>
      </c>
      <c r="E1375" s="4">
        <v>20425</v>
      </c>
      <c r="F1375" s="9">
        <v>0</v>
      </c>
      <c r="G1375" s="6">
        <v>24904</v>
      </c>
      <c r="H1375" s="9">
        <f t="shared" si="21"/>
        <v>20425</v>
      </c>
      <c r="I1375" s="6">
        <v>14160</v>
      </c>
      <c r="J1375" s="6">
        <f>VLOOKUP(Table1[[#This Row],[Province]],[1]Sheet1!$A$3:$F$37,5,FALSE)</f>
        <v>47379400</v>
      </c>
      <c r="K1375">
        <v>0</v>
      </c>
      <c r="L1375" s="4">
        <v>7.0909110000000002</v>
      </c>
      <c r="M1375" s="4">
        <v>107.668887</v>
      </c>
      <c r="N1375" s="13">
        <v>5.33</v>
      </c>
      <c r="P1375"/>
      <c r="Q1375" s="12"/>
      <c r="R1375" s="12"/>
    </row>
    <row r="1376" spans="1:18" x14ac:dyDescent="0.2">
      <c r="A1376">
        <v>12</v>
      </c>
      <c r="B1376" t="s">
        <v>9</v>
      </c>
      <c r="C1376">
        <v>2017</v>
      </c>
      <c r="D1376">
        <v>7</v>
      </c>
      <c r="E1376" s="4">
        <v>24133</v>
      </c>
      <c r="F1376" s="9">
        <v>0</v>
      </c>
      <c r="G1376" s="6">
        <v>27725</v>
      </c>
      <c r="H1376" s="9">
        <f t="shared" si="21"/>
        <v>24133</v>
      </c>
      <c r="I1376" s="6">
        <v>13924</v>
      </c>
      <c r="J1376" s="6">
        <f>VLOOKUP(Table1[[#This Row],[Province]],[1]Sheet1!$A$3:$F$37,5,FALSE)</f>
        <v>47379400</v>
      </c>
      <c r="K1376">
        <v>0</v>
      </c>
      <c r="L1376" s="4">
        <v>7.0909110000000002</v>
      </c>
      <c r="M1376" s="4">
        <v>107.668887</v>
      </c>
      <c r="N1376" s="13">
        <v>5.33</v>
      </c>
      <c r="P1376"/>
      <c r="Q1376" s="12"/>
      <c r="R1376" s="12"/>
    </row>
    <row r="1377" spans="1:18" x14ac:dyDescent="0.2">
      <c r="A1377">
        <v>12</v>
      </c>
      <c r="B1377" t="s">
        <v>9</v>
      </c>
      <c r="C1377">
        <v>2017</v>
      </c>
      <c r="D1377">
        <v>8</v>
      </c>
      <c r="E1377" s="4">
        <v>19715</v>
      </c>
      <c r="F1377" s="9">
        <v>0</v>
      </c>
      <c r="G1377" s="6">
        <v>53142</v>
      </c>
      <c r="H1377" s="9">
        <f t="shared" si="21"/>
        <v>19715</v>
      </c>
      <c r="I1377" s="6">
        <v>13882</v>
      </c>
      <c r="J1377" s="6">
        <f>VLOOKUP(Table1[[#This Row],[Province]],[1]Sheet1!$A$3:$F$37,5,FALSE)</f>
        <v>47379400</v>
      </c>
      <c r="K1377">
        <v>0</v>
      </c>
      <c r="L1377" s="4">
        <v>7.0909110000000002</v>
      </c>
      <c r="M1377" s="4">
        <v>107.668887</v>
      </c>
      <c r="N1377" s="13">
        <v>5.33</v>
      </c>
      <c r="P1377"/>
      <c r="Q1377" s="12"/>
      <c r="R1377" s="12"/>
    </row>
    <row r="1378" spans="1:18" x14ac:dyDescent="0.2">
      <c r="A1378">
        <v>12</v>
      </c>
      <c r="B1378" t="s">
        <v>9</v>
      </c>
      <c r="C1378">
        <v>2017</v>
      </c>
      <c r="D1378">
        <v>9</v>
      </c>
      <c r="E1378" s="4">
        <v>10954</v>
      </c>
      <c r="F1378" s="9">
        <v>0</v>
      </c>
      <c r="G1378" s="6">
        <v>51497</v>
      </c>
      <c r="H1378" s="9">
        <f t="shared" si="21"/>
        <v>10954</v>
      </c>
      <c r="I1378" s="6">
        <v>13733</v>
      </c>
      <c r="J1378" s="6">
        <f>VLOOKUP(Table1[[#This Row],[Province]],[1]Sheet1!$A$3:$F$37,5,FALSE)</f>
        <v>47379400</v>
      </c>
      <c r="K1378">
        <v>0</v>
      </c>
      <c r="L1378" s="4">
        <v>7.0909110000000002</v>
      </c>
      <c r="M1378" s="4">
        <v>107.668887</v>
      </c>
      <c r="N1378" s="13">
        <v>5.33</v>
      </c>
      <c r="P1378"/>
      <c r="Q1378" s="12"/>
      <c r="R1378" s="12"/>
    </row>
    <row r="1379" spans="1:18" x14ac:dyDescent="0.2">
      <c r="A1379">
        <v>12</v>
      </c>
      <c r="B1379" t="s">
        <v>9</v>
      </c>
      <c r="C1379">
        <v>2017</v>
      </c>
      <c r="D1379">
        <v>10</v>
      </c>
      <c r="E1379" s="4">
        <v>2602</v>
      </c>
      <c r="F1379" s="9">
        <v>0</v>
      </c>
      <c r="G1379" s="6">
        <v>66844</v>
      </c>
      <c r="H1379" s="9">
        <f t="shared" si="21"/>
        <v>2602</v>
      </c>
      <c r="I1379" s="6">
        <v>13605</v>
      </c>
      <c r="J1379" s="6">
        <f>VLOOKUP(Table1[[#This Row],[Province]],[1]Sheet1!$A$3:$F$37,5,FALSE)</f>
        <v>47379400</v>
      </c>
      <c r="K1379">
        <v>0</v>
      </c>
      <c r="L1379" s="4">
        <v>7.0909110000000002</v>
      </c>
      <c r="M1379" s="4">
        <v>107.668887</v>
      </c>
      <c r="N1379" s="13">
        <v>5.33</v>
      </c>
      <c r="P1379"/>
      <c r="Q1379" s="12"/>
      <c r="R1379" s="12"/>
    </row>
    <row r="1380" spans="1:18" x14ac:dyDescent="0.2">
      <c r="A1380">
        <v>12</v>
      </c>
      <c r="B1380" t="s">
        <v>9</v>
      </c>
      <c r="C1380">
        <v>2017</v>
      </c>
      <c r="D1380">
        <v>11</v>
      </c>
      <c r="E1380" s="4">
        <v>517</v>
      </c>
      <c r="F1380" s="9">
        <v>0</v>
      </c>
      <c r="G1380" s="6">
        <v>17467</v>
      </c>
      <c r="H1380" s="9">
        <f t="shared" si="21"/>
        <v>517</v>
      </c>
      <c r="I1380" s="6">
        <v>13336</v>
      </c>
      <c r="J1380" s="6">
        <f>VLOOKUP(Table1[[#This Row],[Province]],[1]Sheet1!$A$3:$F$37,5,FALSE)</f>
        <v>47379400</v>
      </c>
      <c r="K1380">
        <v>0</v>
      </c>
      <c r="L1380" s="4">
        <v>7.0909110000000002</v>
      </c>
      <c r="M1380" s="4">
        <v>107.668887</v>
      </c>
      <c r="N1380" s="13">
        <v>5.33</v>
      </c>
      <c r="P1380"/>
      <c r="Q1380" s="12"/>
      <c r="R1380" s="12"/>
    </row>
    <row r="1381" spans="1:18" x14ac:dyDescent="0.2">
      <c r="A1381">
        <v>12</v>
      </c>
      <c r="B1381" t="s">
        <v>9</v>
      </c>
      <c r="C1381">
        <v>2017</v>
      </c>
      <c r="D1381">
        <v>12</v>
      </c>
      <c r="E1381" s="4">
        <v>0</v>
      </c>
      <c r="F1381" s="9">
        <v>0</v>
      </c>
      <c r="G1381" s="6">
        <v>32541</v>
      </c>
      <c r="H1381" s="9">
        <f t="shared" si="21"/>
        <v>0</v>
      </c>
      <c r="I1381" s="6">
        <v>13122</v>
      </c>
      <c r="J1381" s="6">
        <f>VLOOKUP(Table1[[#This Row],[Province]],[1]Sheet1!$A$3:$F$37,5,FALSE)</f>
        <v>47379400</v>
      </c>
      <c r="K1381">
        <v>1</v>
      </c>
      <c r="L1381" s="4">
        <v>7.0909110000000002</v>
      </c>
      <c r="M1381" s="4">
        <v>107.668887</v>
      </c>
      <c r="N1381" s="13">
        <v>5.33</v>
      </c>
      <c r="P1381"/>
      <c r="Q1381" s="12"/>
      <c r="R1381" s="12"/>
    </row>
    <row r="1382" spans="1:18" x14ac:dyDescent="0.2">
      <c r="A1382">
        <v>12</v>
      </c>
      <c r="B1382" t="s">
        <v>9</v>
      </c>
      <c r="C1382">
        <v>2018</v>
      </c>
      <c r="D1382">
        <v>1</v>
      </c>
      <c r="E1382" s="4">
        <v>0</v>
      </c>
      <c r="F1382" s="9">
        <v>0</v>
      </c>
      <c r="G1382" s="6">
        <v>27002</v>
      </c>
      <c r="H1382" s="9">
        <f t="shared" si="21"/>
        <v>0</v>
      </c>
      <c r="I1382" s="6">
        <v>12205</v>
      </c>
      <c r="J1382" s="6">
        <f>VLOOKUP(Table1[[#This Row],[Province]],[1]Sheet1!$A$3:$F$37,5,FALSE)</f>
        <v>47379400</v>
      </c>
      <c r="K1382">
        <v>0</v>
      </c>
      <c r="L1382" s="4">
        <v>7.0909110000000002</v>
      </c>
      <c r="M1382" s="4">
        <v>107.668887</v>
      </c>
      <c r="N1382" s="13">
        <v>5.65</v>
      </c>
      <c r="P1382"/>
      <c r="Q1382" s="12"/>
      <c r="R1382" s="12"/>
    </row>
    <row r="1383" spans="1:18" x14ac:dyDescent="0.2">
      <c r="A1383">
        <v>12</v>
      </c>
      <c r="B1383" t="s">
        <v>9</v>
      </c>
      <c r="C1383">
        <v>2018</v>
      </c>
      <c r="D1383">
        <v>2</v>
      </c>
      <c r="E1383" s="4">
        <v>0</v>
      </c>
      <c r="F1383" s="9">
        <v>0</v>
      </c>
      <c r="G1383" s="6">
        <v>42651</v>
      </c>
      <c r="H1383" s="9">
        <f t="shared" si="21"/>
        <v>0</v>
      </c>
      <c r="I1383" s="6">
        <v>12079</v>
      </c>
      <c r="J1383" s="6">
        <f>VLOOKUP(Table1[[#This Row],[Province]],[1]Sheet1!$A$3:$F$37,5,FALSE)</f>
        <v>47379400</v>
      </c>
      <c r="K1383">
        <v>0</v>
      </c>
      <c r="L1383" s="4">
        <v>7.0909110000000002</v>
      </c>
      <c r="M1383" s="4">
        <v>107.668887</v>
      </c>
      <c r="N1383" s="13">
        <v>5.65</v>
      </c>
      <c r="P1383"/>
      <c r="Q1383" s="12"/>
      <c r="R1383" s="12"/>
    </row>
    <row r="1384" spans="1:18" x14ac:dyDescent="0.2">
      <c r="A1384">
        <v>12</v>
      </c>
      <c r="B1384" t="s">
        <v>9</v>
      </c>
      <c r="C1384">
        <v>2018</v>
      </c>
      <c r="D1384">
        <v>3</v>
      </c>
      <c r="E1384" s="4">
        <v>0</v>
      </c>
      <c r="F1384" s="9">
        <v>0</v>
      </c>
      <c r="G1384" s="6">
        <v>24142</v>
      </c>
      <c r="H1384" s="9">
        <f t="shared" si="21"/>
        <v>0</v>
      </c>
      <c r="I1384" s="6">
        <v>12000</v>
      </c>
      <c r="J1384" s="6">
        <f>VLOOKUP(Table1[[#This Row],[Province]],[1]Sheet1!$A$3:$F$37,5,FALSE)</f>
        <v>47379400</v>
      </c>
      <c r="K1384">
        <v>0</v>
      </c>
      <c r="L1384" s="4">
        <v>7.0909110000000002</v>
      </c>
      <c r="M1384" s="4">
        <v>107.668887</v>
      </c>
      <c r="N1384" s="13">
        <v>5.65</v>
      </c>
      <c r="P1384"/>
      <c r="Q1384" s="12"/>
      <c r="R1384" s="12"/>
    </row>
    <row r="1385" spans="1:18" x14ac:dyDescent="0.2">
      <c r="A1385">
        <v>12</v>
      </c>
      <c r="B1385" t="s">
        <v>9</v>
      </c>
      <c r="C1385">
        <v>2018</v>
      </c>
      <c r="D1385">
        <v>4</v>
      </c>
      <c r="E1385" s="4">
        <v>0</v>
      </c>
      <c r="F1385" s="9">
        <v>0</v>
      </c>
      <c r="G1385" s="6">
        <v>29510</v>
      </c>
      <c r="H1385" s="9">
        <f t="shared" si="21"/>
        <v>0</v>
      </c>
      <c r="I1385" s="6">
        <v>12000</v>
      </c>
      <c r="J1385" s="6">
        <f>VLOOKUP(Table1[[#This Row],[Province]],[1]Sheet1!$A$3:$F$37,5,FALSE)</f>
        <v>47379400</v>
      </c>
      <c r="K1385">
        <v>0</v>
      </c>
      <c r="L1385" s="4">
        <v>7.0909110000000002</v>
      </c>
      <c r="M1385" s="4">
        <v>107.668887</v>
      </c>
      <c r="N1385" s="13">
        <v>5.65</v>
      </c>
      <c r="P1385"/>
      <c r="Q1385" s="12"/>
      <c r="R1385" s="12"/>
    </row>
    <row r="1386" spans="1:18" x14ac:dyDescent="0.2">
      <c r="A1386">
        <v>12</v>
      </c>
      <c r="B1386" t="s">
        <v>9</v>
      </c>
      <c r="C1386">
        <v>2018</v>
      </c>
      <c r="D1386">
        <v>5</v>
      </c>
      <c r="E1386" s="4">
        <v>7177</v>
      </c>
      <c r="F1386" s="9">
        <v>0</v>
      </c>
      <c r="G1386" s="6">
        <v>48210</v>
      </c>
      <c r="H1386" s="9">
        <f t="shared" si="21"/>
        <v>7177</v>
      </c>
      <c r="I1386" s="6">
        <v>13500</v>
      </c>
      <c r="J1386" s="6">
        <f>VLOOKUP(Table1[[#This Row],[Province]],[1]Sheet1!$A$3:$F$37,5,FALSE)</f>
        <v>47379400</v>
      </c>
      <c r="K1386">
        <v>1</v>
      </c>
      <c r="L1386" s="4">
        <v>7.0909110000000002</v>
      </c>
      <c r="M1386" s="4">
        <v>107.668887</v>
      </c>
      <c r="N1386" s="13">
        <v>5.65</v>
      </c>
      <c r="P1386"/>
      <c r="Q1386" s="12"/>
      <c r="R1386" s="12"/>
    </row>
    <row r="1387" spans="1:18" x14ac:dyDescent="0.2">
      <c r="A1387">
        <v>12</v>
      </c>
      <c r="B1387" t="s">
        <v>9</v>
      </c>
      <c r="C1387">
        <v>2018</v>
      </c>
      <c r="D1387">
        <v>6</v>
      </c>
      <c r="E1387" s="4">
        <v>10233</v>
      </c>
      <c r="F1387" s="9">
        <v>0</v>
      </c>
      <c r="G1387" s="6">
        <v>26956</v>
      </c>
      <c r="H1387" s="9">
        <f t="shared" si="21"/>
        <v>10233</v>
      </c>
      <c r="I1387" s="6">
        <v>13365</v>
      </c>
      <c r="J1387" s="6">
        <f>VLOOKUP(Table1[[#This Row],[Province]],[1]Sheet1!$A$3:$F$37,5,FALSE)</f>
        <v>47379400</v>
      </c>
      <c r="K1387">
        <v>0</v>
      </c>
      <c r="L1387" s="4">
        <v>7.0909110000000002</v>
      </c>
      <c r="M1387" s="4">
        <v>107.668887</v>
      </c>
      <c r="N1387" s="13">
        <v>5.65</v>
      </c>
      <c r="P1387"/>
      <c r="Q1387" s="12"/>
      <c r="R1387" s="12"/>
    </row>
    <row r="1388" spans="1:18" x14ac:dyDescent="0.2">
      <c r="A1388">
        <v>12</v>
      </c>
      <c r="B1388" t="s">
        <v>9</v>
      </c>
      <c r="C1388">
        <v>2018</v>
      </c>
      <c r="D1388">
        <v>7</v>
      </c>
      <c r="E1388" s="4">
        <v>19293</v>
      </c>
      <c r="F1388" s="9">
        <v>0</v>
      </c>
      <c r="G1388" s="6">
        <v>33746</v>
      </c>
      <c r="H1388" s="9">
        <f t="shared" si="21"/>
        <v>19293</v>
      </c>
      <c r="I1388" s="6">
        <v>13008</v>
      </c>
      <c r="J1388" s="6">
        <f>VLOOKUP(Table1[[#This Row],[Province]],[1]Sheet1!$A$3:$F$37,5,FALSE)</f>
        <v>47379400</v>
      </c>
      <c r="K1388">
        <v>0</v>
      </c>
      <c r="L1388" s="4">
        <v>7.0909110000000002</v>
      </c>
      <c r="M1388" s="4">
        <v>107.668887</v>
      </c>
      <c r="N1388" s="13">
        <v>5.65</v>
      </c>
      <c r="P1388"/>
      <c r="Q1388" s="12"/>
      <c r="R1388" s="12"/>
    </row>
    <row r="1389" spans="1:18" x14ac:dyDescent="0.2">
      <c r="A1389">
        <v>12</v>
      </c>
      <c r="B1389" t="s">
        <v>9</v>
      </c>
      <c r="C1389">
        <v>2018</v>
      </c>
      <c r="D1389">
        <v>8</v>
      </c>
      <c r="E1389" s="4">
        <v>13777</v>
      </c>
      <c r="F1389" s="9">
        <v>0</v>
      </c>
      <c r="G1389" s="6">
        <v>44332</v>
      </c>
      <c r="H1389" s="9">
        <f t="shared" si="21"/>
        <v>13777</v>
      </c>
      <c r="I1389" s="6">
        <v>12653</v>
      </c>
      <c r="J1389" s="6">
        <f>VLOOKUP(Table1[[#This Row],[Province]],[1]Sheet1!$A$3:$F$37,5,FALSE)</f>
        <v>47379400</v>
      </c>
      <c r="K1389">
        <v>0</v>
      </c>
      <c r="L1389" s="4">
        <v>7.0909110000000002</v>
      </c>
      <c r="M1389" s="4">
        <v>107.668887</v>
      </c>
      <c r="N1389" s="13">
        <v>5.65</v>
      </c>
      <c r="P1389"/>
      <c r="Q1389" s="12"/>
      <c r="R1389" s="12"/>
    </row>
    <row r="1390" spans="1:18" x14ac:dyDescent="0.2">
      <c r="A1390">
        <v>12</v>
      </c>
      <c r="B1390" t="s">
        <v>9</v>
      </c>
      <c r="C1390">
        <v>2018</v>
      </c>
      <c r="D1390">
        <v>9</v>
      </c>
      <c r="E1390" s="4">
        <v>8100</v>
      </c>
      <c r="F1390" s="9">
        <v>0</v>
      </c>
      <c r="G1390" s="6">
        <v>28975</v>
      </c>
      <c r="H1390" s="9">
        <f t="shared" si="21"/>
        <v>8100</v>
      </c>
      <c r="I1390" s="6">
        <v>11960</v>
      </c>
      <c r="J1390" s="6">
        <f>VLOOKUP(Table1[[#This Row],[Province]],[1]Sheet1!$A$3:$F$37,5,FALSE)</f>
        <v>47379400</v>
      </c>
      <c r="K1390">
        <v>0</v>
      </c>
      <c r="L1390" s="4">
        <v>7.0909110000000002</v>
      </c>
      <c r="M1390" s="4">
        <v>107.668887</v>
      </c>
      <c r="N1390" s="13">
        <v>5.65</v>
      </c>
      <c r="P1390"/>
      <c r="Q1390" s="12"/>
      <c r="R1390" s="12"/>
    </row>
    <row r="1391" spans="1:18" x14ac:dyDescent="0.2">
      <c r="A1391">
        <v>12</v>
      </c>
      <c r="B1391" t="s">
        <v>9</v>
      </c>
      <c r="C1391">
        <v>2018</v>
      </c>
      <c r="D1391">
        <v>10</v>
      </c>
      <c r="E1391" s="4">
        <v>1215</v>
      </c>
      <c r="F1391" s="9">
        <v>0</v>
      </c>
      <c r="G1391" s="6">
        <v>73497</v>
      </c>
      <c r="H1391" s="9">
        <f t="shared" si="21"/>
        <v>1215</v>
      </c>
      <c r="I1391" s="6">
        <v>12304</v>
      </c>
      <c r="J1391" s="6">
        <f>VLOOKUP(Table1[[#This Row],[Province]],[1]Sheet1!$A$3:$F$37,5,FALSE)</f>
        <v>47379400</v>
      </c>
      <c r="K1391">
        <v>0</v>
      </c>
      <c r="L1391" s="4">
        <v>7.0909110000000002</v>
      </c>
      <c r="M1391" s="4">
        <v>107.668887</v>
      </c>
      <c r="N1391" s="13">
        <v>5.65</v>
      </c>
      <c r="P1391"/>
      <c r="Q1391" s="12"/>
      <c r="R1391" s="12"/>
    </row>
    <row r="1392" spans="1:18" x14ac:dyDescent="0.2">
      <c r="A1392">
        <v>12</v>
      </c>
      <c r="B1392" t="s">
        <v>9</v>
      </c>
      <c r="C1392">
        <v>2018</v>
      </c>
      <c r="D1392">
        <v>11</v>
      </c>
      <c r="E1392" s="4">
        <v>0</v>
      </c>
      <c r="F1392" s="9">
        <v>0</v>
      </c>
      <c r="G1392" s="6">
        <v>28240</v>
      </c>
      <c r="H1392" s="9">
        <f t="shared" si="21"/>
        <v>0</v>
      </c>
      <c r="I1392" s="6">
        <v>11992</v>
      </c>
      <c r="J1392" s="6">
        <f>VLOOKUP(Table1[[#This Row],[Province]],[1]Sheet1!$A$3:$F$37,5,FALSE)</f>
        <v>47379400</v>
      </c>
      <c r="K1392">
        <v>0</v>
      </c>
      <c r="L1392" s="4">
        <v>7.0909110000000002</v>
      </c>
      <c r="M1392" s="4">
        <v>107.668887</v>
      </c>
      <c r="N1392" s="13">
        <v>5.65</v>
      </c>
      <c r="P1392"/>
      <c r="Q1392" s="12"/>
      <c r="R1392" s="12"/>
    </row>
    <row r="1393" spans="1:18" x14ac:dyDescent="0.2">
      <c r="A1393">
        <v>12</v>
      </c>
      <c r="B1393" t="s">
        <v>9</v>
      </c>
      <c r="C1393">
        <v>2018</v>
      </c>
      <c r="D1393">
        <v>12</v>
      </c>
      <c r="E1393" s="4">
        <v>0</v>
      </c>
      <c r="F1393" s="9">
        <v>0</v>
      </c>
      <c r="G1393" s="6">
        <v>60946</v>
      </c>
      <c r="H1393" s="9">
        <f t="shared" si="21"/>
        <v>0</v>
      </c>
      <c r="I1393" s="6">
        <v>11950</v>
      </c>
      <c r="J1393" s="6">
        <f>VLOOKUP(Table1[[#This Row],[Province]],[1]Sheet1!$A$3:$F$37,5,FALSE)</f>
        <v>47379400</v>
      </c>
      <c r="K1393">
        <v>1</v>
      </c>
      <c r="L1393" s="4">
        <v>7.0909110000000002</v>
      </c>
      <c r="M1393" s="4">
        <v>107.668887</v>
      </c>
      <c r="N1393" s="13">
        <v>5.65</v>
      </c>
      <c r="P1393"/>
      <c r="Q1393" s="12"/>
      <c r="R1393" s="12"/>
    </row>
    <row r="1394" spans="1:18" x14ac:dyDescent="0.2">
      <c r="A1394">
        <v>12</v>
      </c>
      <c r="B1394" t="s">
        <v>9</v>
      </c>
      <c r="C1394">
        <v>2019</v>
      </c>
      <c r="D1394">
        <v>1</v>
      </c>
      <c r="E1394" s="4">
        <v>0</v>
      </c>
      <c r="F1394" s="9">
        <v>0</v>
      </c>
      <c r="G1394" s="6">
        <v>29186</v>
      </c>
      <c r="H1394" s="9">
        <f t="shared" si="21"/>
        <v>0</v>
      </c>
      <c r="I1394" s="6">
        <v>12049</v>
      </c>
      <c r="J1394" s="6">
        <f>VLOOKUP(Table1[[#This Row],[Province]],[1]Sheet1!$A$3:$F$37,5,FALSE)</f>
        <v>47379400</v>
      </c>
      <c r="K1394">
        <v>0</v>
      </c>
      <c r="L1394" s="4">
        <v>7.0909110000000002</v>
      </c>
      <c r="M1394" s="4">
        <v>107.668887</v>
      </c>
      <c r="N1394" s="13">
        <v>5.0199999999999996</v>
      </c>
      <c r="P1394"/>
      <c r="Q1394" s="12"/>
      <c r="R1394" s="12"/>
    </row>
    <row r="1395" spans="1:18" x14ac:dyDescent="0.2">
      <c r="A1395">
        <v>12</v>
      </c>
      <c r="B1395" t="s">
        <v>9</v>
      </c>
      <c r="C1395">
        <v>2019</v>
      </c>
      <c r="D1395">
        <v>2</v>
      </c>
      <c r="E1395" s="4">
        <v>0</v>
      </c>
      <c r="F1395" s="9">
        <v>0</v>
      </c>
      <c r="G1395" s="6">
        <v>55296</v>
      </c>
      <c r="H1395" s="9">
        <f t="shared" si="21"/>
        <v>0</v>
      </c>
      <c r="I1395" s="6">
        <v>12579</v>
      </c>
      <c r="J1395" s="6">
        <f>VLOOKUP(Table1[[#This Row],[Province]],[1]Sheet1!$A$3:$F$37,5,FALSE)</f>
        <v>47379400</v>
      </c>
      <c r="K1395">
        <v>0</v>
      </c>
      <c r="L1395" s="4">
        <v>7.0909110000000002</v>
      </c>
      <c r="M1395" s="4">
        <v>107.668887</v>
      </c>
      <c r="N1395" s="13">
        <v>5.0199999999999996</v>
      </c>
      <c r="P1395"/>
      <c r="Q1395" s="12"/>
      <c r="R1395" s="12"/>
    </row>
    <row r="1396" spans="1:18" x14ac:dyDescent="0.2">
      <c r="A1396">
        <v>12</v>
      </c>
      <c r="B1396" t="s">
        <v>9</v>
      </c>
      <c r="C1396">
        <v>2019</v>
      </c>
      <c r="D1396">
        <v>3</v>
      </c>
      <c r="E1396" s="4">
        <v>0</v>
      </c>
      <c r="F1396" s="9">
        <v>0</v>
      </c>
      <c r="G1396" s="6">
        <v>39906</v>
      </c>
      <c r="H1396" s="9">
        <f t="shared" si="21"/>
        <v>0</v>
      </c>
      <c r="I1396" s="6">
        <v>12804</v>
      </c>
      <c r="J1396" s="6">
        <f>VLOOKUP(Table1[[#This Row],[Province]],[1]Sheet1!$A$3:$F$37,5,FALSE)</f>
        <v>47379400</v>
      </c>
      <c r="K1396">
        <v>0</v>
      </c>
      <c r="L1396" s="4">
        <v>7.0909110000000002</v>
      </c>
      <c r="M1396" s="4">
        <v>107.668887</v>
      </c>
      <c r="N1396" s="13">
        <v>5.0199999999999996</v>
      </c>
      <c r="P1396"/>
      <c r="Q1396" s="12"/>
      <c r="R1396" s="12"/>
    </row>
    <row r="1397" spans="1:18" x14ac:dyDescent="0.2">
      <c r="A1397">
        <v>12</v>
      </c>
      <c r="B1397" t="s">
        <v>9</v>
      </c>
      <c r="C1397">
        <v>2019</v>
      </c>
      <c r="D1397">
        <v>4</v>
      </c>
      <c r="E1397" s="4">
        <v>0</v>
      </c>
      <c r="F1397" s="9">
        <v>0</v>
      </c>
      <c r="G1397" s="6">
        <v>23620</v>
      </c>
      <c r="H1397" s="9">
        <f t="shared" si="21"/>
        <v>0</v>
      </c>
      <c r="I1397" s="6">
        <v>12916</v>
      </c>
      <c r="J1397" s="6">
        <f>VLOOKUP(Table1[[#This Row],[Province]],[1]Sheet1!$A$3:$F$37,5,FALSE)</f>
        <v>47379400</v>
      </c>
      <c r="K1397">
        <v>0</v>
      </c>
      <c r="L1397" s="4">
        <v>7.0909110000000002</v>
      </c>
      <c r="M1397" s="4">
        <v>107.668887</v>
      </c>
      <c r="N1397" s="13">
        <v>5.0199999999999996</v>
      </c>
      <c r="P1397"/>
      <c r="Q1397" s="12"/>
      <c r="R1397" s="12"/>
    </row>
    <row r="1398" spans="1:18" x14ac:dyDescent="0.2">
      <c r="A1398">
        <v>12</v>
      </c>
      <c r="B1398" t="s">
        <v>9</v>
      </c>
      <c r="C1398">
        <v>2019</v>
      </c>
      <c r="D1398">
        <v>5</v>
      </c>
      <c r="E1398" s="4">
        <v>0</v>
      </c>
      <c r="F1398" s="9">
        <v>0</v>
      </c>
      <c r="G1398" s="6">
        <v>20599</v>
      </c>
      <c r="H1398" s="9">
        <f t="shared" si="21"/>
        <v>0</v>
      </c>
      <c r="I1398" s="6">
        <v>13112</v>
      </c>
      <c r="J1398" s="6">
        <f>VLOOKUP(Table1[[#This Row],[Province]],[1]Sheet1!$A$3:$F$37,5,FALSE)</f>
        <v>47379400</v>
      </c>
      <c r="K1398">
        <v>1</v>
      </c>
      <c r="L1398" s="4">
        <v>7.0909110000000002</v>
      </c>
      <c r="M1398" s="4">
        <v>107.668887</v>
      </c>
      <c r="N1398" s="13">
        <v>5.0199999999999996</v>
      </c>
      <c r="P1398"/>
      <c r="Q1398" s="12"/>
      <c r="R1398" s="12"/>
    </row>
    <row r="1399" spans="1:18" x14ac:dyDescent="0.2">
      <c r="A1399">
        <v>12</v>
      </c>
      <c r="B1399" t="s">
        <v>9</v>
      </c>
      <c r="C1399">
        <v>2019</v>
      </c>
      <c r="D1399">
        <v>6</v>
      </c>
      <c r="E1399" s="4">
        <v>2625</v>
      </c>
      <c r="F1399" s="9">
        <v>0</v>
      </c>
      <c r="G1399" s="6">
        <v>13044</v>
      </c>
      <c r="H1399" s="9">
        <f t="shared" si="21"/>
        <v>2625</v>
      </c>
      <c r="I1399" s="6">
        <v>13035</v>
      </c>
      <c r="J1399" s="6">
        <f>VLOOKUP(Table1[[#This Row],[Province]],[1]Sheet1!$A$3:$F$37,5,FALSE)</f>
        <v>47379400</v>
      </c>
      <c r="K1399">
        <v>0</v>
      </c>
      <c r="L1399" s="4">
        <v>7.0909110000000002</v>
      </c>
      <c r="M1399" s="4">
        <v>107.668887</v>
      </c>
      <c r="N1399" s="13">
        <v>5.0199999999999996</v>
      </c>
      <c r="P1399"/>
      <c r="Q1399" s="12"/>
      <c r="R1399" s="12"/>
    </row>
    <row r="1400" spans="1:18" x14ac:dyDescent="0.2">
      <c r="A1400">
        <v>12</v>
      </c>
      <c r="B1400" t="s">
        <v>9</v>
      </c>
      <c r="C1400">
        <v>2019</v>
      </c>
      <c r="D1400">
        <v>7</v>
      </c>
      <c r="E1400" s="4">
        <v>9229</v>
      </c>
      <c r="F1400" s="9">
        <v>0</v>
      </c>
      <c r="G1400" s="6">
        <v>4048</v>
      </c>
      <c r="H1400" s="9">
        <f t="shared" si="21"/>
        <v>9229</v>
      </c>
      <c r="I1400" s="6">
        <v>12628</v>
      </c>
      <c r="J1400" s="6">
        <f>VLOOKUP(Table1[[#This Row],[Province]],[1]Sheet1!$A$3:$F$37,5,FALSE)</f>
        <v>47379400</v>
      </c>
      <c r="K1400">
        <v>0</v>
      </c>
      <c r="L1400" s="4">
        <v>7.0909110000000002</v>
      </c>
      <c r="M1400" s="4">
        <v>107.668887</v>
      </c>
      <c r="N1400" s="13">
        <v>5.0199999999999996</v>
      </c>
      <c r="P1400"/>
      <c r="Q1400" s="12"/>
      <c r="R1400" s="12"/>
    </row>
    <row r="1401" spans="1:18" x14ac:dyDescent="0.2">
      <c r="A1401">
        <v>12</v>
      </c>
      <c r="B1401" t="s">
        <v>9</v>
      </c>
      <c r="C1401">
        <v>2019</v>
      </c>
      <c r="D1401">
        <v>8</v>
      </c>
      <c r="E1401" s="4">
        <v>12037</v>
      </c>
      <c r="F1401" s="9">
        <v>0</v>
      </c>
      <c r="G1401" s="6">
        <v>27219</v>
      </c>
      <c r="H1401" s="9">
        <f t="shared" si="21"/>
        <v>12037</v>
      </c>
      <c r="I1401" s="6">
        <v>12952</v>
      </c>
      <c r="J1401" s="6">
        <f>VLOOKUP(Table1[[#This Row],[Province]],[1]Sheet1!$A$3:$F$37,5,FALSE)</f>
        <v>47379400</v>
      </c>
      <c r="K1401">
        <v>0</v>
      </c>
      <c r="L1401" s="4">
        <v>7.0909110000000002</v>
      </c>
      <c r="M1401" s="4">
        <v>107.668887</v>
      </c>
      <c r="N1401" s="13">
        <v>5.0199999999999996</v>
      </c>
      <c r="P1401"/>
      <c r="Q1401" s="12"/>
      <c r="R1401" s="12"/>
    </row>
    <row r="1402" spans="1:18" x14ac:dyDescent="0.2">
      <c r="A1402">
        <v>12</v>
      </c>
      <c r="B1402" t="s">
        <v>9</v>
      </c>
      <c r="C1402">
        <v>2019</v>
      </c>
      <c r="D1402">
        <v>9</v>
      </c>
      <c r="E1402" s="4">
        <v>8597</v>
      </c>
      <c r="F1402" s="9">
        <v>0</v>
      </c>
      <c r="G1402" s="6">
        <v>6032</v>
      </c>
      <c r="H1402" s="9">
        <f t="shared" si="21"/>
        <v>8597</v>
      </c>
      <c r="I1402" s="6">
        <v>12923</v>
      </c>
      <c r="J1402" s="6">
        <f>VLOOKUP(Table1[[#This Row],[Province]],[1]Sheet1!$A$3:$F$37,5,FALSE)</f>
        <v>47379400</v>
      </c>
      <c r="K1402">
        <v>0</v>
      </c>
      <c r="L1402" s="4">
        <v>7.0909110000000002</v>
      </c>
      <c r="M1402" s="4">
        <v>107.668887</v>
      </c>
      <c r="N1402" s="13">
        <v>5.0199999999999996</v>
      </c>
      <c r="P1402"/>
      <c r="Q1402" s="12"/>
      <c r="R1402" s="12"/>
    </row>
    <row r="1403" spans="1:18" x14ac:dyDescent="0.2">
      <c r="A1403">
        <v>12</v>
      </c>
      <c r="B1403" t="s">
        <v>9</v>
      </c>
      <c r="C1403">
        <v>2019</v>
      </c>
      <c r="D1403">
        <v>10</v>
      </c>
      <c r="E1403" s="4">
        <v>0</v>
      </c>
      <c r="F1403" s="9">
        <v>0</v>
      </c>
      <c r="G1403" s="6">
        <v>12035</v>
      </c>
      <c r="H1403" s="9">
        <f t="shared" si="21"/>
        <v>0</v>
      </c>
      <c r="I1403" s="6">
        <v>13106</v>
      </c>
      <c r="J1403" s="6">
        <f>VLOOKUP(Table1[[#This Row],[Province]],[1]Sheet1!$A$3:$F$37,5,FALSE)</f>
        <v>47379400</v>
      </c>
      <c r="K1403">
        <v>0</v>
      </c>
      <c r="L1403" s="4">
        <v>7.0909110000000002</v>
      </c>
      <c r="M1403" s="4">
        <v>107.668887</v>
      </c>
      <c r="N1403" s="13">
        <v>5.0199999999999996</v>
      </c>
      <c r="P1403"/>
      <c r="Q1403" s="12"/>
      <c r="R1403" s="12"/>
    </row>
    <row r="1404" spans="1:18" x14ac:dyDescent="0.2">
      <c r="A1404">
        <v>12</v>
      </c>
      <c r="B1404" t="s">
        <v>9</v>
      </c>
      <c r="C1404">
        <v>2019</v>
      </c>
      <c r="D1404">
        <v>11</v>
      </c>
      <c r="E1404" s="4">
        <v>0</v>
      </c>
      <c r="F1404" s="9">
        <v>0</v>
      </c>
      <c r="G1404" s="6">
        <v>37236</v>
      </c>
      <c r="H1404" s="9">
        <f t="shared" si="21"/>
        <v>0</v>
      </c>
      <c r="I1404" s="6">
        <v>12776</v>
      </c>
      <c r="J1404" s="6">
        <f>VLOOKUP(Table1[[#This Row],[Province]],[1]Sheet1!$A$3:$F$37,5,FALSE)</f>
        <v>47379400</v>
      </c>
      <c r="K1404">
        <v>0</v>
      </c>
      <c r="L1404" s="4">
        <v>7.0909110000000002</v>
      </c>
      <c r="M1404" s="4">
        <v>107.668887</v>
      </c>
      <c r="N1404" s="13">
        <v>5.0199999999999996</v>
      </c>
      <c r="P1404"/>
      <c r="Q1404" s="12"/>
      <c r="R1404" s="12"/>
    </row>
    <row r="1405" spans="1:18" x14ac:dyDescent="0.2">
      <c r="A1405">
        <v>12</v>
      </c>
      <c r="B1405" t="s">
        <v>9</v>
      </c>
      <c r="C1405">
        <v>2019</v>
      </c>
      <c r="D1405">
        <v>12</v>
      </c>
      <c r="E1405" s="4">
        <v>0</v>
      </c>
      <c r="F1405" s="9">
        <v>0</v>
      </c>
      <c r="G1405" s="6">
        <v>19552</v>
      </c>
      <c r="H1405" s="9">
        <f t="shared" si="21"/>
        <v>0</v>
      </c>
      <c r="I1405" s="6">
        <v>13016</v>
      </c>
      <c r="J1405" s="6">
        <f>VLOOKUP(Table1[[#This Row],[Province]],[1]Sheet1!$A$3:$F$37,5,FALSE)</f>
        <v>47379400</v>
      </c>
      <c r="K1405">
        <v>1</v>
      </c>
      <c r="L1405" s="4">
        <v>7.0909110000000002</v>
      </c>
      <c r="M1405" s="4">
        <v>107.668887</v>
      </c>
      <c r="N1405" s="13">
        <v>5.0199999999999996</v>
      </c>
      <c r="P1405"/>
      <c r="Q1405" s="12"/>
      <c r="R1405" s="12"/>
    </row>
    <row r="1406" spans="1:18" x14ac:dyDescent="0.2">
      <c r="A1406">
        <v>12</v>
      </c>
      <c r="B1406" t="s">
        <v>9</v>
      </c>
      <c r="C1406">
        <v>2020</v>
      </c>
      <c r="D1406">
        <v>1</v>
      </c>
      <c r="E1406" s="4">
        <v>0</v>
      </c>
      <c r="F1406" s="9">
        <v>0</v>
      </c>
      <c r="G1406" s="6">
        <v>63078</v>
      </c>
      <c r="H1406" s="9">
        <f t="shared" si="21"/>
        <v>0</v>
      </c>
      <c r="I1406" s="6">
        <v>12853</v>
      </c>
      <c r="J1406" s="6">
        <f>VLOOKUP(Table1[[#This Row],[Province]],[1]Sheet1!$A$3:$F$37,5,FALSE)</f>
        <v>47379400</v>
      </c>
      <c r="K1406">
        <v>0</v>
      </c>
      <c r="L1406" s="4">
        <v>7.0909110000000002</v>
      </c>
      <c r="M1406" s="4">
        <v>107.668887</v>
      </c>
      <c r="N1406" s="13">
        <v>-2.52</v>
      </c>
      <c r="P1406"/>
      <c r="Q1406" s="12"/>
      <c r="R1406" s="12"/>
    </row>
    <row r="1407" spans="1:18" x14ac:dyDescent="0.2">
      <c r="A1407">
        <v>12</v>
      </c>
      <c r="B1407" t="s">
        <v>9</v>
      </c>
      <c r="C1407">
        <v>2020</v>
      </c>
      <c r="D1407">
        <v>2</v>
      </c>
      <c r="E1407" s="4">
        <v>0</v>
      </c>
      <c r="F1407" s="9">
        <v>0</v>
      </c>
      <c r="G1407" s="6">
        <v>35081</v>
      </c>
      <c r="H1407" s="9">
        <f t="shared" si="21"/>
        <v>0</v>
      </c>
      <c r="I1407" s="6">
        <v>13000</v>
      </c>
      <c r="J1407" s="6">
        <f>VLOOKUP(Table1[[#This Row],[Province]],[1]Sheet1!$A$3:$F$37,5,FALSE)</f>
        <v>47379400</v>
      </c>
      <c r="K1407">
        <v>0</v>
      </c>
      <c r="L1407" s="4">
        <v>7.0909110000000002</v>
      </c>
      <c r="M1407" s="4">
        <v>107.668887</v>
      </c>
      <c r="N1407" s="13">
        <v>-2.52</v>
      </c>
      <c r="P1407"/>
      <c r="Q1407" s="12"/>
      <c r="R1407" s="12"/>
    </row>
    <row r="1408" spans="1:18" x14ac:dyDescent="0.2">
      <c r="A1408">
        <v>12</v>
      </c>
      <c r="B1408" t="s">
        <v>9</v>
      </c>
      <c r="C1408">
        <v>2020</v>
      </c>
      <c r="D1408">
        <v>3</v>
      </c>
      <c r="E1408" s="4">
        <v>0</v>
      </c>
      <c r="F1408" s="9">
        <v>0</v>
      </c>
      <c r="G1408" s="6">
        <v>48553</v>
      </c>
      <c r="H1408" s="9">
        <f t="shared" si="21"/>
        <v>0</v>
      </c>
      <c r="I1408" s="6">
        <v>15482</v>
      </c>
      <c r="J1408" s="6">
        <f>VLOOKUP(Table1[[#This Row],[Province]],[1]Sheet1!$A$3:$F$37,5,FALSE)</f>
        <v>47379400</v>
      </c>
      <c r="K1408">
        <v>0</v>
      </c>
      <c r="L1408" s="4">
        <v>7.0909110000000002</v>
      </c>
      <c r="M1408" s="4">
        <v>107.668887</v>
      </c>
      <c r="N1408" s="13">
        <v>-2.52</v>
      </c>
      <c r="P1408"/>
      <c r="Q1408" s="12"/>
      <c r="R1408" s="12"/>
    </row>
    <row r="1409" spans="1:18" x14ac:dyDescent="0.2">
      <c r="A1409">
        <v>12</v>
      </c>
      <c r="B1409" t="s">
        <v>9</v>
      </c>
      <c r="C1409">
        <v>2020</v>
      </c>
      <c r="D1409">
        <v>4</v>
      </c>
      <c r="E1409" s="4">
        <v>0</v>
      </c>
      <c r="F1409" s="9">
        <v>0</v>
      </c>
      <c r="G1409" s="6">
        <v>63063</v>
      </c>
      <c r="H1409" s="9">
        <f t="shared" si="21"/>
        <v>0</v>
      </c>
      <c r="I1409" s="6">
        <v>17914</v>
      </c>
      <c r="J1409" s="6">
        <f>VLOOKUP(Table1[[#This Row],[Province]],[1]Sheet1!$A$3:$F$37,5,FALSE)</f>
        <v>47379400</v>
      </c>
      <c r="K1409">
        <v>1</v>
      </c>
      <c r="L1409" s="4">
        <v>7.0909110000000002</v>
      </c>
      <c r="M1409" s="4">
        <v>107.668887</v>
      </c>
      <c r="N1409" s="13">
        <v>-2.52</v>
      </c>
      <c r="P1409"/>
      <c r="Q1409" s="12"/>
      <c r="R1409" s="12"/>
    </row>
    <row r="1410" spans="1:18" x14ac:dyDescent="0.2">
      <c r="A1410">
        <v>12</v>
      </c>
      <c r="B1410" t="s">
        <v>9</v>
      </c>
      <c r="C1410">
        <v>2020</v>
      </c>
      <c r="D1410">
        <v>5</v>
      </c>
      <c r="E1410" s="4">
        <v>0</v>
      </c>
      <c r="F1410" s="9">
        <v>0</v>
      </c>
      <c r="G1410" s="6">
        <v>51766</v>
      </c>
      <c r="H1410" s="9">
        <f t="shared" ref="H1410:H1473" si="22">F1410+E1410</f>
        <v>0</v>
      </c>
      <c r="I1410" s="6">
        <v>16545</v>
      </c>
      <c r="J1410" s="6">
        <f>VLOOKUP(Table1[[#This Row],[Province]],[1]Sheet1!$A$3:$F$37,5,FALSE)</f>
        <v>47379400</v>
      </c>
      <c r="K1410">
        <v>0</v>
      </c>
      <c r="L1410" s="4">
        <v>7.0909110000000002</v>
      </c>
      <c r="M1410" s="4">
        <v>107.668887</v>
      </c>
      <c r="N1410" s="13">
        <v>-2.52</v>
      </c>
      <c r="P1410"/>
      <c r="Q1410" s="12"/>
      <c r="R1410" s="12"/>
    </row>
    <row r="1411" spans="1:18" x14ac:dyDescent="0.2">
      <c r="A1411">
        <v>12</v>
      </c>
      <c r="B1411" t="s">
        <v>9</v>
      </c>
      <c r="C1411">
        <v>2020</v>
      </c>
      <c r="D1411">
        <v>6</v>
      </c>
      <c r="E1411" s="4">
        <v>374</v>
      </c>
      <c r="F1411" s="9">
        <v>0</v>
      </c>
      <c r="G1411" s="6">
        <v>57102</v>
      </c>
      <c r="H1411" s="9">
        <f t="shared" si="22"/>
        <v>374</v>
      </c>
      <c r="I1411" s="6">
        <v>14833</v>
      </c>
      <c r="J1411" s="6">
        <f>VLOOKUP(Table1[[#This Row],[Province]],[1]Sheet1!$A$3:$F$37,5,FALSE)</f>
        <v>47379400</v>
      </c>
      <c r="K1411">
        <v>0</v>
      </c>
      <c r="L1411" s="4">
        <v>7.0909110000000002</v>
      </c>
      <c r="M1411" s="4">
        <v>107.668887</v>
      </c>
      <c r="N1411" s="13">
        <v>-2.52</v>
      </c>
      <c r="P1411"/>
      <c r="Q1411" s="12"/>
      <c r="R1411" s="12"/>
    </row>
    <row r="1412" spans="1:18" x14ac:dyDescent="0.2">
      <c r="A1412">
        <v>12</v>
      </c>
      <c r="B1412" t="s">
        <v>9</v>
      </c>
      <c r="C1412">
        <v>2020</v>
      </c>
      <c r="D1412">
        <v>7</v>
      </c>
      <c r="E1412" s="4">
        <v>10166</v>
      </c>
      <c r="F1412" s="9">
        <v>0</v>
      </c>
      <c r="G1412" s="6">
        <v>53220</v>
      </c>
      <c r="H1412" s="9">
        <f t="shared" si="22"/>
        <v>10166</v>
      </c>
      <c r="I1412" s="6">
        <v>14000</v>
      </c>
      <c r="J1412" s="6">
        <f>VLOOKUP(Table1[[#This Row],[Province]],[1]Sheet1!$A$3:$F$37,5,FALSE)</f>
        <v>47379400</v>
      </c>
      <c r="K1412">
        <v>0</v>
      </c>
      <c r="L1412" s="4">
        <v>7.0909110000000002</v>
      </c>
      <c r="M1412" s="4">
        <v>107.668887</v>
      </c>
      <c r="N1412" s="13">
        <v>-2.52</v>
      </c>
      <c r="P1412"/>
      <c r="Q1412" s="12"/>
      <c r="R1412" s="12"/>
    </row>
    <row r="1413" spans="1:18" x14ac:dyDescent="0.2">
      <c r="A1413">
        <v>12</v>
      </c>
      <c r="B1413" t="s">
        <v>9</v>
      </c>
      <c r="C1413">
        <v>2020</v>
      </c>
      <c r="D1413">
        <v>8</v>
      </c>
      <c r="E1413" s="4">
        <v>10226</v>
      </c>
      <c r="F1413" s="9">
        <v>0</v>
      </c>
      <c r="G1413" s="6">
        <v>58878</v>
      </c>
      <c r="H1413" s="9">
        <f t="shared" si="22"/>
        <v>10226</v>
      </c>
      <c r="I1413" s="6">
        <v>14500</v>
      </c>
      <c r="J1413" s="6">
        <f>VLOOKUP(Table1[[#This Row],[Province]],[1]Sheet1!$A$3:$F$37,5,FALSE)</f>
        <v>47379400</v>
      </c>
      <c r="K1413">
        <v>0</v>
      </c>
      <c r="L1413" s="4">
        <v>7.0909110000000002</v>
      </c>
      <c r="M1413" s="4">
        <v>107.668887</v>
      </c>
      <c r="N1413" s="13">
        <v>-2.52</v>
      </c>
      <c r="P1413"/>
      <c r="Q1413" s="12"/>
      <c r="R1413" s="12"/>
    </row>
    <row r="1414" spans="1:18" x14ac:dyDescent="0.2">
      <c r="A1414">
        <v>12</v>
      </c>
      <c r="B1414" t="s">
        <v>9</v>
      </c>
      <c r="C1414">
        <v>2020</v>
      </c>
      <c r="D1414">
        <v>9</v>
      </c>
      <c r="E1414" s="4">
        <v>11742</v>
      </c>
      <c r="F1414" s="9">
        <v>0</v>
      </c>
      <c r="G1414" s="6">
        <v>38369</v>
      </c>
      <c r="H1414" s="9">
        <f t="shared" si="22"/>
        <v>11742</v>
      </c>
      <c r="I1414" s="6">
        <v>13336</v>
      </c>
      <c r="J1414" s="6">
        <f>VLOOKUP(Table1[[#This Row],[Province]],[1]Sheet1!$A$3:$F$37,5,FALSE)</f>
        <v>47379400</v>
      </c>
      <c r="K1414">
        <v>0</v>
      </c>
      <c r="L1414" s="4">
        <v>7.0909110000000002</v>
      </c>
      <c r="M1414" s="4">
        <v>107.668887</v>
      </c>
      <c r="N1414" s="13">
        <v>-2.52</v>
      </c>
      <c r="P1414"/>
      <c r="Q1414" s="12"/>
      <c r="R1414" s="12"/>
    </row>
    <row r="1415" spans="1:18" x14ac:dyDescent="0.2">
      <c r="A1415">
        <v>12</v>
      </c>
      <c r="B1415" t="s">
        <v>9</v>
      </c>
      <c r="C1415">
        <v>2020</v>
      </c>
      <c r="D1415">
        <v>10</v>
      </c>
      <c r="E1415" s="4">
        <v>6984</v>
      </c>
      <c r="F1415" s="9">
        <v>0</v>
      </c>
      <c r="G1415" s="6">
        <v>53347</v>
      </c>
      <c r="H1415" s="9">
        <f t="shared" si="22"/>
        <v>6984</v>
      </c>
      <c r="I1415" s="6">
        <v>12734</v>
      </c>
      <c r="J1415" s="6">
        <f>VLOOKUP(Table1[[#This Row],[Province]],[1]Sheet1!$A$3:$F$37,5,FALSE)</f>
        <v>47379400</v>
      </c>
      <c r="K1415">
        <v>0</v>
      </c>
      <c r="L1415" s="4">
        <v>7.0909110000000002</v>
      </c>
      <c r="M1415" s="4">
        <v>107.668887</v>
      </c>
      <c r="N1415" s="13">
        <v>-2.52</v>
      </c>
      <c r="P1415"/>
      <c r="Q1415" s="12"/>
      <c r="R1415" s="12"/>
    </row>
    <row r="1416" spans="1:18" x14ac:dyDescent="0.2">
      <c r="A1416">
        <v>12</v>
      </c>
      <c r="B1416" t="s">
        <v>9</v>
      </c>
      <c r="C1416">
        <v>2020</v>
      </c>
      <c r="D1416">
        <v>11</v>
      </c>
      <c r="E1416" s="4">
        <v>0</v>
      </c>
      <c r="F1416" s="9">
        <v>0</v>
      </c>
      <c r="G1416" s="6">
        <v>42863</v>
      </c>
      <c r="H1416" s="9">
        <f t="shared" si="22"/>
        <v>0</v>
      </c>
      <c r="I1416" s="6">
        <v>13018</v>
      </c>
      <c r="J1416" s="6">
        <f>VLOOKUP(Table1[[#This Row],[Province]],[1]Sheet1!$A$3:$F$37,5,FALSE)</f>
        <v>47379400</v>
      </c>
      <c r="K1416">
        <v>0</v>
      </c>
      <c r="L1416" s="4">
        <v>7.0909110000000002</v>
      </c>
      <c r="M1416" s="4">
        <v>107.668887</v>
      </c>
      <c r="N1416" s="13">
        <v>-2.52</v>
      </c>
      <c r="P1416"/>
      <c r="Q1416" s="12"/>
      <c r="R1416" s="12"/>
    </row>
    <row r="1417" spans="1:18" x14ac:dyDescent="0.2">
      <c r="A1417">
        <v>12</v>
      </c>
      <c r="B1417" t="s">
        <v>9</v>
      </c>
      <c r="C1417">
        <v>2020</v>
      </c>
      <c r="D1417">
        <v>12</v>
      </c>
      <c r="E1417" s="4">
        <v>0</v>
      </c>
      <c r="F1417" s="9">
        <v>0</v>
      </c>
      <c r="G1417" s="6">
        <v>50311</v>
      </c>
      <c r="H1417" s="9">
        <f t="shared" si="22"/>
        <v>0</v>
      </c>
      <c r="I1417" s="6">
        <v>13800</v>
      </c>
      <c r="J1417" s="6">
        <f>VLOOKUP(Table1[[#This Row],[Province]],[1]Sheet1!$A$3:$F$37,5,FALSE)</f>
        <v>47379400</v>
      </c>
      <c r="K1417">
        <v>1</v>
      </c>
      <c r="L1417" s="4">
        <v>7.0909110000000002</v>
      </c>
      <c r="M1417" s="4">
        <v>107.668887</v>
      </c>
      <c r="N1417" s="13">
        <v>-2.52</v>
      </c>
      <c r="P1417"/>
      <c r="Q1417" s="12"/>
      <c r="R1417" s="12"/>
    </row>
    <row r="1418" spans="1:18" x14ac:dyDescent="0.2">
      <c r="A1418">
        <v>12</v>
      </c>
      <c r="B1418" t="s">
        <v>9</v>
      </c>
      <c r="C1418">
        <v>2021</v>
      </c>
      <c r="D1418">
        <v>1</v>
      </c>
      <c r="E1418" s="4">
        <v>0</v>
      </c>
      <c r="F1418" s="9">
        <v>0</v>
      </c>
      <c r="G1418" s="6">
        <v>40997</v>
      </c>
      <c r="H1418" s="9">
        <f t="shared" si="22"/>
        <v>0</v>
      </c>
      <c r="I1418" s="6">
        <v>12125</v>
      </c>
      <c r="J1418" s="6">
        <f>VLOOKUP(Table1[[#This Row],[Province]],[1]Sheet1!$A$3:$F$37,5,FALSE)</f>
        <v>47379400</v>
      </c>
      <c r="K1418">
        <v>0</v>
      </c>
      <c r="L1418" s="4">
        <v>7.0909110000000002</v>
      </c>
      <c r="M1418" s="4">
        <v>107.668887</v>
      </c>
      <c r="N1418" s="13">
        <v>3.74</v>
      </c>
      <c r="P1418"/>
      <c r="Q1418" s="12"/>
      <c r="R1418" s="12"/>
    </row>
    <row r="1419" spans="1:18" x14ac:dyDescent="0.2">
      <c r="A1419">
        <v>12</v>
      </c>
      <c r="B1419" t="s">
        <v>9</v>
      </c>
      <c r="C1419">
        <v>2021</v>
      </c>
      <c r="D1419">
        <v>2</v>
      </c>
      <c r="E1419" s="4">
        <v>0</v>
      </c>
      <c r="F1419" s="9">
        <v>0</v>
      </c>
      <c r="G1419" s="6">
        <v>41836</v>
      </c>
      <c r="H1419" s="9">
        <f t="shared" si="22"/>
        <v>0</v>
      </c>
      <c r="I1419" s="6">
        <v>12000</v>
      </c>
      <c r="J1419" s="6">
        <f>VLOOKUP(Table1[[#This Row],[Province]],[1]Sheet1!$A$3:$F$37,5,FALSE)</f>
        <v>47379400</v>
      </c>
      <c r="K1419">
        <v>0</v>
      </c>
      <c r="L1419" s="4">
        <v>7.0909110000000002</v>
      </c>
      <c r="M1419" s="4">
        <v>107.668887</v>
      </c>
      <c r="N1419" s="13">
        <v>3.74</v>
      </c>
      <c r="P1419"/>
      <c r="Q1419" s="12"/>
      <c r="R1419" s="12"/>
    </row>
    <row r="1420" spans="1:18" x14ac:dyDescent="0.2">
      <c r="A1420">
        <v>12</v>
      </c>
      <c r="B1420" t="s">
        <v>9</v>
      </c>
      <c r="C1420">
        <v>2021</v>
      </c>
      <c r="D1420">
        <v>3</v>
      </c>
      <c r="E1420" s="4">
        <v>0</v>
      </c>
      <c r="F1420" s="9">
        <v>0</v>
      </c>
      <c r="G1420" s="6">
        <v>48410</v>
      </c>
      <c r="H1420" s="9">
        <f t="shared" si="22"/>
        <v>0</v>
      </c>
      <c r="I1420" s="6">
        <v>12000</v>
      </c>
      <c r="J1420" s="6">
        <f>VLOOKUP(Table1[[#This Row],[Province]],[1]Sheet1!$A$3:$F$37,5,FALSE)</f>
        <v>47379400</v>
      </c>
      <c r="K1420">
        <v>0</v>
      </c>
      <c r="L1420" s="4">
        <v>7.0909110000000002</v>
      </c>
      <c r="M1420" s="4">
        <v>107.668887</v>
      </c>
      <c r="N1420" s="13">
        <v>3.74</v>
      </c>
      <c r="P1420"/>
      <c r="Q1420" s="12"/>
      <c r="R1420" s="12"/>
    </row>
    <row r="1421" spans="1:18" x14ac:dyDescent="0.2">
      <c r="A1421">
        <v>12</v>
      </c>
      <c r="B1421" t="s">
        <v>9</v>
      </c>
      <c r="C1421">
        <v>2021</v>
      </c>
      <c r="D1421">
        <v>4</v>
      </c>
      <c r="E1421" s="4">
        <v>1070</v>
      </c>
      <c r="F1421" s="9">
        <v>0</v>
      </c>
      <c r="G1421" s="6">
        <v>45942</v>
      </c>
      <c r="H1421" s="9">
        <f t="shared" si="22"/>
        <v>1070</v>
      </c>
      <c r="I1421" s="6">
        <v>13388</v>
      </c>
      <c r="J1421" s="6">
        <f>VLOOKUP(Table1[[#This Row],[Province]],[1]Sheet1!$A$3:$F$37,5,FALSE)</f>
        <v>47379400</v>
      </c>
      <c r="K1421">
        <v>1</v>
      </c>
      <c r="L1421" s="4">
        <v>7.0909110000000002</v>
      </c>
      <c r="M1421" s="4">
        <v>107.668887</v>
      </c>
      <c r="N1421" s="13">
        <v>3.74</v>
      </c>
      <c r="P1421"/>
      <c r="Q1421" s="12"/>
      <c r="R1421" s="12"/>
    </row>
    <row r="1422" spans="1:18" x14ac:dyDescent="0.2">
      <c r="A1422">
        <v>12</v>
      </c>
      <c r="B1422" t="s">
        <v>9</v>
      </c>
      <c r="C1422">
        <v>2021</v>
      </c>
      <c r="D1422">
        <v>5</v>
      </c>
      <c r="E1422" s="4">
        <v>7482</v>
      </c>
      <c r="F1422" s="9">
        <v>0</v>
      </c>
      <c r="G1422" s="6">
        <v>72669</v>
      </c>
      <c r="H1422" s="9">
        <f t="shared" si="22"/>
        <v>7482</v>
      </c>
      <c r="I1422" s="6">
        <v>13360</v>
      </c>
      <c r="J1422" s="6">
        <f>VLOOKUP(Table1[[#This Row],[Province]],[1]Sheet1!$A$3:$F$37,5,FALSE)</f>
        <v>47379400</v>
      </c>
      <c r="K1422">
        <v>0</v>
      </c>
      <c r="L1422" s="4">
        <v>7.0909110000000002</v>
      </c>
      <c r="M1422" s="4">
        <v>107.668887</v>
      </c>
      <c r="N1422" s="13">
        <v>3.74</v>
      </c>
      <c r="P1422"/>
      <c r="Q1422" s="12"/>
      <c r="R1422" s="12"/>
    </row>
    <row r="1423" spans="1:18" x14ac:dyDescent="0.2">
      <c r="A1423">
        <v>12</v>
      </c>
      <c r="B1423" t="s">
        <v>9</v>
      </c>
      <c r="C1423">
        <v>2021</v>
      </c>
      <c r="D1423">
        <v>6</v>
      </c>
      <c r="E1423" s="4">
        <v>9502</v>
      </c>
      <c r="F1423" s="9">
        <v>0</v>
      </c>
      <c r="G1423" s="6">
        <v>29393</v>
      </c>
      <c r="H1423" s="9">
        <f t="shared" si="22"/>
        <v>9502</v>
      </c>
      <c r="I1423" s="6">
        <v>13275</v>
      </c>
      <c r="J1423" s="6">
        <f>VLOOKUP(Table1[[#This Row],[Province]],[1]Sheet1!$A$3:$F$37,5,FALSE)</f>
        <v>47379400</v>
      </c>
      <c r="K1423">
        <v>0</v>
      </c>
      <c r="L1423" s="4">
        <v>7.0909110000000002</v>
      </c>
      <c r="M1423" s="4">
        <v>107.668887</v>
      </c>
      <c r="N1423" s="13">
        <v>3.74</v>
      </c>
      <c r="P1423"/>
      <c r="Q1423" s="12"/>
      <c r="R1423" s="12"/>
    </row>
    <row r="1424" spans="1:18" x14ac:dyDescent="0.2">
      <c r="A1424">
        <v>12</v>
      </c>
      <c r="B1424" t="s">
        <v>9</v>
      </c>
      <c r="C1424">
        <v>2021</v>
      </c>
      <c r="D1424">
        <v>7</v>
      </c>
      <c r="E1424" s="4">
        <v>13461</v>
      </c>
      <c r="F1424" s="9">
        <v>0</v>
      </c>
      <c r="G1424" s="6">
        <v>44009</v>
      </c>
      <c r="H1424" s="9">
        <f t="shared" si="22"/>
        <v>13461</v>
      </c>
      <c r="I1424" s="6">
        <v>13213</v>
      </c>
      <c r="J1424" s="6">
        <f>VLOOKUP(Table1[[#This Row],[Province]],[1]Sheet1!$A$3:$F$37,5,FALSE)</f>
        <v>47379400</v>
      </c>
      <c r="K1424">
        <v>0</v>
      </c>
      <c r="L1424" s="4">
        <v>7.0909110000000002</v>
      </c>
      <c r="M1424" s="4">
        <v>107.668887</v>
      </c>
      <c r="N1424" s="13">
        <v>3.74</v>
      </c>
      <c r="P1424"/>
      <c r="Q1424" s="12"/>
      <c r="R1424" s="12"/>
    </row>
    <row r="1425" spans="1:18" x14ac:dyDescent="0.2">
      <c r="A1425">
        <v>12</v>
      </c>
      <c r="B1425" t="s">
        <v>9</v>
      </c>
      <c r="C1425">
        <v>2021</v>
      </c>
      <c r="D1425">
        <v>8</v>
      </c>
      <c r="E1425" s="4">
        <v>11128</v>
      </c>
      <c r="F1425" s="9">
        <v>0</v>
      </c>
      <c r="G1425" s="6">
        <v>51255</v>
      </c>
      <c r="H1425" s="9">
        <f t="shared" si="22"/>
        <v>11128</v>
      </c>
      <c r="I1425" s="6">
        <v>13110</v>
      </c>
      <c r="J1425" s="6">
        <f>VLOOKUP(Table1[[#This Row],[Province]],[1]Sheet1!$A$3:$F$37,5,FALSE)</f>
        <v>47379400</v>
      </c>
      <c r="K1425">
        <v>0</v>
      </c>
      <c r="L1425" s="4">
        <v>7.0909110000000002</v>
      </c>
      <c r="M1425" s="4">
        <v>107.668887</v>
      </c>
      <c r="N1425" s="13">
        <v>3.74</v>
      </c>
      <c r="P1425"/>
      <c r="Q1425" s="12"/>
      <c r="R1425" s="12"/>
    </row>
    <row r="1426" spans="1:18" x14ac:dyDescent="0.2">
      <c r="A1426">
        <v>12</v>
      </c>
      <c r="B1426" t="s">
        <v>9</v>
      </c>
      <c r="C1426">
        <v>2021</v>
      </c>
      <c r="D1426">
        <v>9</v>
      </c>
      <c r="E1426" s="4">
        <v>4729</v>
      </c>
      <c r="F1426" s="9">
        <v>0</v>
      </c>
      <c r="G1426" s="6">
        <v>44868</v>
      </c>
      <c r="H1426" s="9">
        <f t="shared" si="22"/>
        <v>4729</v>
      </c>
      <c r="I1426" s="6">
        <v>13127</v>
      </c>
      <c r="J1426" s="6">
        <f>VLOOKUP(Table1[[#This Row],[Province]],[1]Sheet1!$A$3:$F$37,5,FALSE)</f>
        <v>47379400</v>
      </c>
      <c r="K1426">
        <v>0</v>
      </c>
      <c r="L1426" s="4">
        <v>7.0909110000000002</v>
      </c>
      <c r="M1426" s="4">
        <v>107.668887</v>
      </c>
      <c r="N1426" s="13">
        <v>3.74</v>
      </c>
      <c r="P1426"/>
      <c r="Q1426" s="12"/>
      <c r="R1426" s="12"/>
    </row>
    <row r="1427" spans="1:18" x14ac:dyDescent="0.2">
      <c r="A1427">
        <v>12</v>
      </c>
      <c r="B1427" t="s">
        <v>9</v>
      </c>
      <c r="C1427">
        <v>2021</v>
      </c>
      <c r="D1427">
        <v>10</v>
      </c>
      <c r="E1427" s="4">
        <v>0</v>
      </c>
      <c r="F1427" s="9">
        <v>6.3129999999999997</v>
      </c>
      <c r="G1427" s="6">
        <v>58286</v>
      </c>
      <c r="H1427" s="9">
        <f t="shared" si="22"/>
        <v>6.3129999999999997</v>
      </c>
      <c r="I1427" s="6">
        <v>13160</v>
      </c>
      <c r="J1427" s="6">
        <f>VLOOKUP(Table1[[#This Row],[Province]],[1]Sheet1!$A$3:$F$37,5,FALSE)</f>
        <v>47379400</v>
      </c>
      <c r="K1427">
        <v>0</v>
      </c>
      <c r="L1427" s="4">
        <v>7.0909110000000002</v>
      </c>
      <c r="M1427" s="4">
        <v>107.668887</v>
      </c>
      <c r="N1427" s="13">
        <v>3.74</v>
      </c>
      <c r="P1427"/>
      <c r="Q1427" s="12"/>
      <c r="R1427" s="12"/>
    </row>
    <row r="1428" spans="1:18" x14ac:dyDescent="0.2">
      <c r="A1428">
        <v>12</v>
      </c>
      <c r="B1428" t="s">
        <v>9</v>
      </c>
      <c r="C1428">
        <v>2021</v>
      </c>
      <c r="D1428">
        <v>11</v>
      </c>
      <c r="E1428" s="4">
        <v>0</v>
      </c>
      <c r="F1428" s="9">
        <v>0</v>
      </c>
      <c r="G1428" s="6">
        <v>61524</v>
      </c>
      <c r="H1428" s="9">
        <f t="shared" si="22"/>
        <v>0</v>
      </c>
      <c r="I1428" s="6">
        <v>13240</v>
      </c>
      <c r="J1428" s="6">
        <f>VLOOKUP(Table1[[#This Row],[Province]],[1]Sheet1!$A$3:$F$37,5,FALSE)</f>
        <v>47379400</v>
      </c>
      <c r="K1428">
        <v>0</v>
      </c>
      <c r="L1428" s="4">
        <v>7.0909110000000002</v>
      </c>
      <c r="M1428" s="4">
        <v>107.668887</v>
      </c>
      <c r="N1428" s="13">
        <v>3.74</v>
      </c>
      <c r="P1428"/>
      <c r="Q1428" s="12"/>
      <c r="R1428" s="12"/>
    </row>
    <row r="1429" spans="1:18" x14ac:dyDescent="0.2">
      <c r="A1429">
        <v>12</v>
      </c>
      <c r="B1429" t="s">
        <v>9</v>
      </c>
      <c r="C1429">
        <v>2021</v>
      </c>
      <c r="D1429">
        <v>12</v>
      </c>
      <c r="E1429" s="4">
        <v>0</v>
      </c>
      <c r="F1429" s="9">
        <v>0</v>
      </c>
      <c r="G1429" s="6">
        <v>29787</v>
      </c>
      <c r="H1429" s="9">
        <f t="shared" si="22"/>
        <v>0</v>
      </c>
      <c r="I1429" s="6">
        <v>13275</v>
      </c>
      <c r="J1429" s="6">
        <f>VLOOKUP(Table1[[#This Row],[Province]],[1]Sheet1!$A$3:$F$37,5,FALSE)</f>
        <v>47379400</v>
      </c>
      <c r="K1429">
        <v>1</v>
      </c>
      <c r="L1429" s="4">
        <v>7.0909110000000002</v>
      </c>
      <c r="M1429" s="4">
        <v>107.668887</v>
      </c>
      <c r="N1429" s="13">
        <v>3.74</v>
      </c>
      <c r="P1429"/>
      <c r="Q1429" s="12"/>
      <c r="R1429" s="12"/>
    </row>
    <row r="1430" spans="1:18" x14ac:dyDescent="0.2">
      <c r="A1430">
        <v>12</v>
      </c>
      <c r="B1430" t="s">
        <v>9</v>
      </c>
      <c r="C1430">
        <v>2022</v>
      </c>
      <c r="D1430">
        <v>1</v>
      </c>
      <c r="E1430" s="6">
        <v>0</v>
      </c>
      <c r="F1430" s="9">
        <v>0</v>
      </c>
      <c r="G1430" s="6">
        <v>35087</v>
      </c>
      <c r="H1430" s="9">
        <f t="shared" si="22"/>
        <v>0</v>
      </c>
      <c r="I1430" s="6">
        <v>13870</v>
      </c>
      <c r="J1430" s="6">
        <f>VLOOKUP(Table1[[#This Row],[Province]],[1]Sheet1!$A$3:$F$37,5,FALSE)</f>
        <v>47379400</v>
      </c>
      <c r="K1430">
        <v>0</v>
      </c>
      <c r="L1430" s="4">
        <v>7.0909110000000002</v>
      </c>
      <c r="M1430" s="4">
        <v>107.668887</v>
      </c>
      <c r="N1430" s="13">
        <v>5.45</v>
      </c>
      <c r="P1430"/>
      <c r="Q1430" s="12"/>
      <c r="R1430" s="12"/>
    </row>
    <row r="1431" spans="1:18" x14ac:dyDescent="0.2">
      <c r="A1431">
        <v>12</v>
      </c>
      <c r="B1431" t="s">
        <v>9</v>
      </c>
      <c r="C1431">
        <v>2022</v>
      </c>
      <c r="D1431">
        <v>2</v>
      </c>
      <c r="E1431" s="6">
        <v>0</v>
      </c>
      <c r="F1431" s="9">
        <v>0</v>
      </c>
      <c r="G1431" s="6">
        <v>49065</v>
      </c>
      <c r="H1431" s="9">
        <f t="shared" si="22"/>
        <v>0</v>
      </c>
      <c r="I1431" s="6">
        <v>14372</v>
      </c>
      <c r="J1431" s="6">
        <f>VLOOKUP(Table1[[#This Row],[Province]],[1]Sheet1!$A$3:$F$37,5,FALSE)</f>
        <v>47379400</v>
      </c>
      <c r="K1431">
        <v>0</v>
      </c>
      <c r="L1431" s="4">
        <v>7.0909110000000002</v>
      </c>
      <c r="M1431" s="4">
        <v>107.668887</v>
      </c>
      <c r="N1431" s="13">
        <v>5.45</v>
      </c>
      <c r="P1431"/>
      <c r="Q1431" s="12"/>
      <c r="R1431" s="12"/>
    </row>
    <row r="1432" spans="1:18" x14ac:dyDescent="0.2">
      <c r="A1432">
        <v>12</v>
      </c>
      <c r="B1432" t="s">
        <v>9</v>
      </c>
      <c r="C1432">
        <v>2022</v>
      </c>
      <c r="D1432">
        <v>3</v>
      </c>
      <c r="E1432" s="6">
        <v>0</v>
      </c>
      <c r="F1432" s="9">
        <v>0</v>
      </c>
      <c r="G1432" s="6">
        <v>43390</v>
      </c>
      <c r="H1432" s="9">
        <f t="shared" si="22"/>
        <v>0</v>
      </c>
      <c r="I1432" s="6">
        <v>14480</v>
      </c>
      <c r="J1432" s="6">
        <f>VLOOKUP(Table1[[#This Row],[Province]],[1]Sheet1!$A$3:$F$37,5,FALSE)</f>
        <v>47379400</v>
      </c>
      <c r="K1432">
        <v>0</v>
      </c>
      <c r="L1432" s="4">
        <v>7.0909110000000002</v>
      </c>
      <c r="M1432" s="4">
        <v>107.668887</v>
      </c>
      <c r="N1432" s="13">
        <v>5.45</v>
      </c>
      <c r="P1432"/>
      <c r="Q1432" s="12"/>
      <c r="R1432" s="12"/>
    </row>
    <row r="1433" spans="1:18" x14ac:dyDescent="0.2">
      <c r="A1433">
        <v>12</v>
      </c>
      <c r="B1433" t="s">
        <v>9</v>
      </c>
      <c r="C1433">
        <v>2022</v>
      </c>
      <c r="D1433">
        <v>4</v>
      </c>
      <c r="E1433" s="6">
        <v>0</v>
      </c>
      <c r="F1433" s="9">
        <v>0</v>
      </c>
      <c r="G1433" s="6">
        <v>27091</v>
      </c>
      <c r="H1433" s="9">
        <f t="shared" si="22"/>
        <v>0</v>
      </c>
      <c r="I1433" s="6">
        <v>14653</v>
      </c>
      <c r="J1433" s="6">
        <f>VLOOKUP(Table1[[#This Row],[Province]],[1]Sheet1!$A$3:$F$37,5,FALSE)</f>
        <v>47379400</v>
      </c>
      <c r="K1433">
        <v>1</v>
      </c>
      <c r="L1433" s="4">
        <v>7.0909110000000002</v>
      </c>
      <c r="M1433" s="4">
        <v>107.668887</v>
      </c>
      <c r="N1433" s="13">
        <v>5.45</v>
      </c>
      <c r="P1433"/>
      <c r="Q1433" s="12"/>
      <c r="R1433" s="12"/>
    </row>
    <row r="1434" spans="1:18" x14ac:dyDescent="0.2">
      <c r="A1434">
        <v>12</v>
      </c>
      <c r="B1434" t="s">
        <v>9</v>
      </c>
      <c r="C1434">
        <v>2022</v>
      </c>
      <c r="D1434">
        <v>5</v>
      </c>
      <c r="E1434" s="6">
        <v>3763</v>
      </c>
      <c r="F1434" s="9">
        <v>0</v>
      </c>
      <c r="G1434" s="6">
        <v>31394</v>
      </c>
      <c r="H1434" s="9">
        <f t="shared" si="22"/>
        <v>3763</v>
      </c>
      <c r="I1434" s="6">
        <v>14707</v>
      </c>
      <c r="J1434" s="6">
        <f>VLOOKUP(Table1[[#This Row],[Province]],[1]Sheet1!$A$3:$F$37,5,FALSE)</f>
        <v>47379400</v>
      </c>
      <c r="K1434">
        <v>0</v>
      </c>
      <c r="L1434" s="4">
        <v>7.0909110000000002</v>
      </c>
      <c r="M1434" s="4">
        <v>107.668887</v>
      </c>
      <c r="N1434" s="13">
        <v>5.45</v>
      </c>
      <c r="P1434"/>
      <c r="Q1434" s="12"/>
      <c r="R1434" s="12"/>
    </row>
    <row r="1435" spans="1:18" x14ac:dyDescent="0.2">
      <c r="A1435">
        <v>12</v>
      </c>
      <c r="B1435" t="s">
        <v>9</v>
      </c>
      <c r="C1435">
        <v>2022</v>
      </c>
      <c r="D1435">
        <v>5</v>
      </c>
      <c r="E1435" s="6">
        <v>0</v>
      </c>
      <c r="F1435" s="9">
        <v>0</v>
      </c>
      <c r="G1435" s="6">
        <v>39750</v>
      </c>
      <c r="H1435" s="9">
        <f t="shared" si="22"/>
        <v>0</v>
      </c>
      <c r="I1435" s="6">
        <v>14938</v>
      </c>
      <c r="J1435" s="6">
        <f>VLOOKUP(Table1[[#This Row],[Province]],[1]Sheet1!$A$3:$F$37,5,FALSE)</f>
        <v>47379400</v>
      </c>
      <c r="K1435">
        <v>0</v>
      </c>
      <c r="L1435" s="4">
        <v>7.0909110000000002</v>
      </c>
      <c r="M1435" s="4">
        <v>107.668887</v>
      </c>
      <c r="N1435" s="13">
        <v>5.45</v>
      </c>
      <c r="P1435"/>
      <c r="Q1435" s="12"/>
      <c r="R1435" s="12"/>
    </row>
    <row r="1436" spans="1:18" x14ac:dyDescent="0.2">
      <c r="A1436">
        <v>12</v>
      </c>
      <c r="B1436" t="s">
        <v>9</v>
      </c>
      <c r="C1436">
        <v>2022</v>
      </c>
      <c r="D1436">
        <v>6</v>
      </c>
      <c r="E1436" s="6">
        <v>11106</v>
      </c>
      <c r="F1436" s="9">
        <v>0</v>
      </c>
      <c r="G1436" s="6">
        <v>25561</v>
      </c>
      <c r="H1436" s="9">
        <f t="shared" si="22"/>
        <v>11106</v>
      </c>
      <c r="I1436" s="6">
        <v>14586</v>
      </c>
      <c r="J1436" s="6">
        <f>VLOOKUP(Table1[[#This Row],[Province]],[1]Sheet1!$A$3:$F$37,5,FALSE)</f>
        <v>47379400</v>
      </c>
      <c r="K1436">
        <v>0</v>
      </c>
      <c r="L1436" s="4">
        <v>7.0909110000000002</v>
      </c>
      <c r="M1436" s="4">
        <v>107.668887</v>
      </c>
      <c r="N1436" s="13">
        <v>5.45</v>
      </c>
      <c r="P1436"/>
      <c r="Q1436" s="12"/>
      <c r="R1436" s="12"/>
    </row>
    <row r="1437" spans="1:18" x14ac:dyDescent="0.2">
      <c r="A1437">
        <v>12</v>
      </c>
      <c r="B1437" t="s">
        <v>9</v>
      </c>
      <c r="C1437">
        <v>2022</v>
      </c>
      <c r="D1437">
        <v>8</v>
      </c>
      <c r="E1437" s="6">
        <v>13899</v>
      </c>
      <c r="F1437" s="9">
        <v>0</v>
      </c>
      <c r="G1437" s="6">
        <v>33308</v>
      </c>
      <c r="H1437" s="9">
        <f t="shared" si="22"/>
        <v>13899</v>
      </c>
      <c r="I1437" s="6">
        <v>14345</v>
      </c>
      <c r="J1437" s="6">
        <f>VLOOKUP(Table1[[#This Row],[Province]],[1]Sheet1!$A$3:$F$37,5,FALSE)</f>
        <v>47379400</v>
      </c>
      <c r="K1437">
        <v>0</v>
      </c>
      <c r="L1437" s="4">
        <v>7.0909110000000002</v>
      </c>
      <c r="M1437" s="4">
        <v>107.668887</v>
      </c>
      <c r="N1437" s="13">
        <v>5.45</v>
      </c>
      <c r="P1437"/>
      <c r="Q1437" s="12"/>
      <c r="R1437" s="12"/>
    </row>
    <row r="1438" spans="1:18" x14ac:dyDescent="0.2">
      <c r="A1438">
        <v>12</v>
      </c>
      <c r="B1438" t="s">
        <v>9</v>
      </c>
      <c r="C1438">
        <v>2022</v>
      </c>
      <c r="D1438">
        <v>9</v>
      </c>
      <c r="E1438" s="6">
        <v>10647</v>
      </c>
      <c r="F1438" s="9">
        <v>0</v>
      </c>
      <c r="G1438" s="6">
        <v>24567</v>
      </c>
      <c r="H1438" s="9">
        <f t="shared" si="22"/>
        <v>10647</v>
      </c>
      <c r="I1438" s="6">
        <v>13426</v>
      </c>
      <c r="J1438" s="6">
        <f>VLOOKUP(Table1[[#This Row],[Province]],[1]Sheet1!$A$3:$F$37,5,FALSE)</f>
        <v>47379400</v>
      </c>
      <c r="K1438">
        <v>0</v>
      </c>
      <c r="L1438" s="4">
        <v>7.0909110000000002</v>
      </c>
      <c r="M1438" s="4">
        <v>107.668887</v>
      </c>
      <c r="N1438" s="13">
        <v>5.45</v>
      </c>
      <c r="P1438"/>
      <c r="Q1438" s="12"/>
      <c r="R1438" s="12"/>
    </row>
    <row r="1439" spans="1:18" x14ac:dyDescent="0.2">
      <c r="A1439">
        <v>12</v>
      </c>
      <c r="B1439" t="s">
        <v>9</v>
      </c>
      <c r="C1439">
        <v>2022</v>
      </c>
      <c r="D1439">
        <v>10</v>
      </c>
      <c r="E1439" s="6">
        <v>8806</v>
      </c>
      <c r="F1439" s="9">
        <v>0</v>
      </c>
      <c r="G1439" s="6">
        <v>29538</v>
      </c>
      <c r="H1439" s="9">
        <f t="shared" si="22"/>
        <v>8806</v>
      </c>
      <c r="I1439" s="6">
        <v>13425</v>
      </c>
      <c r="J1439" s="6">
        <f>VLOOKUP(Table1[[#This Row],[Province]],[1]Sheet1!$A$3:$F$37,5,FALSE)</f>
        <v>47379400</v>
      </c>
      <c r="K1439">
        <v>0</v>
      </c>
      <c r="L1439" s="4">
        <v>7.0909110000000002</v>
      </c>
      <c r="M1439" s="4">
        <v>107.668887</v>
      </c>
      <c r="N1439" s="13">
        <v>5.45</v>
      </c>
      <c r="P1439"/>
      <c r="Q1439" s="12"/>
      <c r="R1439" s="12"/>
    </row>
    <row r="1440" spans="1:18" x14ac:dyDescent="0.2">
      <c r="A1440">
        <v>12</v>
      </c>
      <c r="B1440" t="s">
        <v>9</v>
      </c>
      <c r="C1440">
        <v>2022</v>
      </c>
      <c r="D1440">
        <v>11</v>
      </c>
      <c r="E1440" s="6">
        <v>2963</v>
      </c>
      <c r="F1440" s="9">
        <v>0</v>
      </c>
      <c r="G1440" s="6">
        <v>22895</v>
      </c>
      <c r="H1440" s="9">
        <f t="shared" si="22"/>
        <v>2963</v>
      </c>
      <c r="I1440" s="6">
        <v>14095</v>
      </c>
      <c r="J1440" s="6">
        <f>VLOOKUP(Table1[[#This Row],[Province]],[1]Sheet1!$A$3:$F$37,5,FALSE)</f>
        <v>47379400</v>
      </c>
      <c r="K1440">
        <v>0</v>
      </c>
      <c r="L1440" s="4">
        <v>7.0909110000000002</v>
      </c>
      <c r="M1440" s="4">
        <v>107.668887</v>
      </c>
      <c r="N1440" s="13">
        <v>5.45</v>
      </c>
      <c r="P1440"/>
      <c r="Q1440" s="12"/>
      <c r="R1440" s="12"/>
    </row>
    <row r="1441" spans="1:18" x14ac:dyDescent="0.2">
      <c r="A1441">
        <v>12</v>
      </c>
      <c r="B1441" t="s">
        <v>9</v>
      </c>
      <c r="C1441">
        <v>2022</v>
      </c>
      <c r="D1441">
        <v>12</v>
      </c>
      <c r="E1441" s="6">
        <v>0</v>
      </c>
      <c r="F1441" s="9">
        <v>0</v>
      </c>
      <c r="G1441" s="6">
        <v>4364</v>
      </c>
      <c r="H1441" s="9">
        <f t="shared" si="22"/>
        <v>0</v>
      </c>
      <c r="I1441" s="6">
        <v>14145</v>
      </c>
      <c r="J1441" s="6">
        <f>VLOOKUP(Table1[[#This Row],[Province]],[1]Sheet1!$A$3:$F$37,5,FALSE)</f>
        <v>47379400</v>
      </c>
      <c r="K1441">
        <v>1</v>
      </c>
      <c r="L1441" s="4">
        <v>7.0909110000000002</v>
      </c>
      <c r="M1441" s="4">
        <v>107.668887</v>
      </c>
      <c r="N1441" s="13">
        <v>5.45</v>
      </c>
      <c r="P1441"/>
      <c r="Q1441" s="12"/>
      <c r="R1441" s="12"/>
    </row>
    <row r="1442" spans="1:18" x14ac:dyDescent="0.2">
      <c r="A1442">
        <v>13</v>
      </c>
      <c r="B1442" t="s">
        <v>10</v>
      </c>
      <c r="C1442">
        <v>2013</v>
      </c>
      <c r="D1442">
        <v>1</v>
      </c>
      <c r="E1442" s="4">
        <v>0</v>
      </c>
      <c r="F1442" s="9">
        <v>0</v>
      </c>
      <c r="G1442" s="6">
        <v>22595</v>
      </c>
      <c r="H1442" s="9">
        <f t="shared" si="22"/>
        <v>0</v>
      </c>
      <c r="I1442" s="6">
        <v>13157</v>
      </c>
      <c r="J1442" s="6">
        <f>VLOOKUP(Table1[[#This Row],[Province]],[1]Sheet1!$A$3:$F$37,5,FALSE)</f>
        <v>34019100</v>
      </c>
      <c r="K1442">
        <v>0</v>
      </c>
      <c r="L1442" s="4">
        <v>7.1509749999999999</v>
      </c>
      <c r="M1442" s="4">
        <v>110.140259</v>
      </c>
      <c r="N1442" s="6"/>
      <c r="P1442"/>
      <c r="Q1442" s="12"/>
      <c r="R1442" s="12"/>
    </row>
    <row r="1443" spans="1:18" x14ac:dyDescent="0.2">
      <c r="A1443">
        <v>13</v>
      </c>
      <c r="B1443" t="s">
        <v>10</v>
      </c>
      <c r="C1443">
        <v>2013</v>
      </c>
      <c r="D1443">
        <v>2</v>
      </c>
      <c r="E1443" s="4">
        <v>0</v>
      </c>
      <c r="F1443" s="9">
        <v>0</v>
      </c>
      <c r="G1443" s="6">
        <v>21659</v>
      </c>
      <c r="H1443" s="9">
        <f t="shared" si="22"/>
        <v>0</v>
      </c>
      <c r="I1443" s="6">
        <v>12765</v>
      </c>
      <c r="J1443" s="6">
        <f>VLOOKUP(Table1[[#This Row],[Province]],[1]Sheet1!$A$3:$F$37,5,FALSE)</f>
        <v>34019100</v>
      </c>
      <c r="K1443">
        <v>0</v>
      </c>
      <c r="L1443" s="4">
        <v>7.1509749999999999</v>
      </c>
      <c r="M1443" s="4">
        <v>110.140259</v>
      </c>
      <c r="N1443" s="6"/>
      <c r="P1443"/>
      <c r="Q1443" s="12"/>
      <c r="R1443" s="12"/>
    </row>
    <row r="1444" spans="1:18" x14ac:dyDescent="0.2">
      <c r="A1444">
        <v>13</v>
      </c>
      <c r="B1444" t="s">
        <v>10</v>
      </c>
      <c r="C1444">
        <v>2013</v>
      </c>
      <c r="D1444">
        <v>3</v>
      </c>
      <c r="E1444" s="4">
        <v>0</v>
      </c>
      <c r="F1444" s="9">
        <v>0</v>
      </c>
      <c r="G1444" s="6">
        <v>22328</v>
      </c>
      <c r="H1444" s="9">
        <f t="shared" si="22"/>
        <v>0</v>
      </c>
      <c r="I1444" s="6">
        <v>12700</v>
      </c>
      <c r="J1444" s="6">
        <f>VLOOKUP(Table1[[#This Row],[Province]],[1]Sheet1!$A$3:$F$37,5,FALSE)</f>
        <v>34019100</v>
      </c>
      <c r="K1444">
        <v>0</v>
      </c>
      <c r="L1444" s="4">
        <v>7.1509749999999999</v>
      </c>
      <c r="M1444" s="4">
        <v>110.140259</v>
      </c>
      <c r="N1444" s="6"/>
      <c r="P1444"/>
      <c r="Q1444" s="12"/>
      <c r="R1444" s="12"/>
    </row>
    <row r="1445" spans="1:18" x14ac:dyDescent="0.2">
      <c r="A1445">
        <v>13</v>
      </c>
      <c r="B1445" t="s">
        <v>10</v>
      </c>
      <c r="C1445">
        <v>2013</v>
      </c>
      <c r="D1445">
        <v>4</v>
      </c>
      <c r="E1445" s="4">
        <v>0</v>
      </c>
      <c r="F1445" s="9">
        <v>0</v>
      </c>
      <c r="G1445" s="6">
        <v>29013</v>
      </c>
      <c r="H1445" s="9">
        <f t="shared" si="22"/>
        <v>0</v>
      </c>
      <c r="I1445" s="6">
        <v>12514</v>
      </c>
      <c r="J1445" s="6">
        <f>VLOOKUP(Table1[[#This Row],[Province]],[1]Sheet1!$A$3:$F$37,5,FALSE)</f>
        <v>34019100</v>
      </c>
      <c r="K1445">
        <v>0</v>
      </c>
      <c r="L1445" s="4">
        <v>7.1509749999999999</v>
      </c>
      <c r="M1445" s="4">
        <v>110.140259</v>
      </c>
      <c r="N1445" s="6"/>
      <c r="P1445"/>
      <c r="Q1445" s="12"/>
      <c r="R1445" s="12"/>
    </row>
    <row r="1446" spans="1:18" x14ac:dyDescent="0.2">
      <c r="A1446">
        <v>13</v>
      </c>
      <c r="B1446" t="s">
        <v>10</v>
      </c>
      <c r="C1446">
        <v>2013</v>
      </c>
      <c r="D1446">
        <v>5</v>
      </c>
      <c r="E1446" s="4">
        <v>23859</v>
      </c>
      <c r="F1446" s="9">
        <v>0</v>
      </c>
      <c r="G1446" s="6">
        <v>35163</v>
      </c>
      <c r="H1446" s="9">
        <f t="shared" si="22"/>
        <v>23859</v>
      </c>
      <c r="I1446" s="6">
        <v>12618</v>
      </c>
      <c r="J1446" s="6">
        <f>VLOOKUP(Table1[[#This Row],[Province]],[1]Sheet1!$A$3:$F$37,5,FALSE)</f>
        <v>34019100</v>
      </c>
      <c r="K1446">
        <v>0</v>
      </c>
      <c r="L1446" s="4">
        <v>7.1509749999999999</v>
      </c>
      <c r="M1446" s="4">
        <v>110.140259</v>
      </c>
      <c r="N1446" s="6"/>
      <c r="P1446"/>
      <c r="Q1446" s="12"/>
      <c r="R1446" s="12"/>
    </row>
    <row r="1447" spans="1:18" x14ac:dyDescent="0.2">
      <c r="A1447">
        <v>13</v>
      </c>
      <c r="B1447" t="s">
        <v>10</v>
      </c>
      <c r="C1447">
        <v>2013</v>
      </c>
      <c r="D1447">
        <v>6</v>
      </c>
      <c r="E1447" s="4">
        <v>47182</v>
      </c>
      <c r="F1447" s="9">
        <v>0</v>
      </c>
      <c r="G1447" s="6">
        <v>29280</v>
      </c>
      <c r="H1447" s="9">
        <f t="shared" si="22"/>
        <v>47182</v>
      </c>
      <c r="I1447" s="6">
        <v>12716</v>
      </c>
      <c r="J1447" s="6">
        <f>VLOOKUP(Table1[[#This Row],[Province]],[1]Sheet1!$A$3:$F$37,5,FALSE)</f>
        <v>34019100</v>
      </c>
      <c r="K1447">
        <v>0</v>
      </c>
      <c r="L1447" s="4">
        <v>7.1509749999999999</v>
      </c>
      <c r="M1447" s="4">
        <v>110.140259</v>
      </c>
      <c r="N1447" s="6"/>
      <c r="P1447"/>
      <c r="Q1447" s="12"/>
      <c r="R1447" s="12"/>
    </row>
    <row r="1448" spans="1:18" x14ac:dyDescent="0.2">
      <c r="A1448">
        <v>13</v>
      </c>
      <c r="B1448" t="s">
        <v>10</v>
      </c>
      <c r="C1448">
        <v>2013</v>
      </c>
      <c r="D1448">
        <v>7</v>
      </c>
      <c r="E1448" s="4">
        <v>55107</v>
      </c>
      <c r="F1448" s="9">
        <v>0</v>
      </c>
      <c r="G1448" s="6">
        <v>50806</v>
      </c>
      <c r="H1448" s="9">
        <f t="shared" si="22"/>
        <v>55107</v>
      </c>
      <c r="I1448" s="6">
        <v>13974</v>
      </c>
      <c r="J1448" s="6">
        <f>VLOOKUP(Table1[[#This Row],[Province]],[1]Sheet1!$A$3:$F$37,5,FALSE)</f>
        <v>34019100</v>
      </c>
      <c r="K1448">
        <v>1</v>
      </c>
      <c r="L1448" s="4">
        <v>7.1509749999999999</v>
      </c>
      <c r="M1448" s="4">
        <v>110.140259</v>
      </c>
      <c r="N1448" s="6"/>
      <c r="P1448"/>
      <c r="Q1448" s="12"/>
      <c r="R1448" s="12"/>
    </row>
    <row r="1449" spans="1:18" x14ac:dyDescent="0.2">
      <c r="A1449">
        <v>13</v>
      </c>
      <c r="B1449" t="s">
        <v>10</v>
      </c>
      <c r="C1449">
        <v>2013</v>
      </c>
      <c r="D1449">
        <v>8</v>
      </c>
      <c r="E1449" s="4">
        <v>52674</v>
      </c>
      <c r="F1449" s="9">
        <v>0</v>
      </c>
      <c r="G1449" s="6">
        <v>18584</v>
      </c>
      <c r="H1449" s="9">
        <f t="shared" si="22"/>
        <v>52674</v>
      </c>
      <c r="I1449" s="6">
        <v>12682</v>
      </c>
      <c r="J1449" s="6">
        <f>VLOOKUP(Table1[[#This Row],[Province]],[1]Sheet1!$A$3:$F$37,5,FALSE)</f>
        <v>34019100</v>
      </c>
      <c r="K1449">
        <v>0</v>
      </c>
      <c r="L1449" s="4">
        <v>7.1509749999999999</v>
      </c>
      <c r="M1449" s="4">
        <v>110.140259</v>
      </c>
      <c r="N1449" s="6"/>
      <c r="P1449"/>
      <c r="Q1449" s="12"/>
      <c r="R1449" s="12"/>
    </row>
    <row r="1450" spans="1:18" x14ac:dyDescent="0.2">
      <c r="A1450">
        <v>13</v>
      </c>
      <c r="B1450" t="s">
        <v>10</v>
      </c>
      <c r="C1450">
        <v>2013</v>
      </c>
      <c r="D1450">
        <v>9</v>
      </c>
      <c r="E1450" s="4">
        <v>50867</v>
      </c>
      <c r="F1450" s="9">
        <v>0</v>
      </c>
      <c r="G1450" s="6">
        <v>39709</v>
      </c>
      <c r="H1450" s="9">
        <f t="shared" si="22"/>
        <v>50867</v>
      </c>
      <c r="I1450" s="6">
        <v>12638</v>
      </c>
      <c r="J1450" s="6">
        <f>VLOOKUP(Table1[[#This Row],[Province]],[1]Sheet1!$A$3:$F$37,5,FALSE)</f>
        <v>34019100</v>
      </c>
      <c r="K1450">
        <v>0</v>
      </c>
      <c r="L1450" s="4">
        <v>7.1509749999999999</v>
      </c>
      <c r="M1450" s="4">
        <v>110.140259</v>
      </c>
      <c r="N1450" s="6"/>
      <c r="P1450"/>
      <c r="Q1450" s="12"/>
      <c r="R1450" s="12"/>
    </row>
    <row r="1451" spans="1:18" x14ac:dyDescent="0.2">
      <c r="A1451">
        <v>13</v>
      </c>
      <c r="B1451" t="s">
        <v>10</v>
      </c>
      <c r="C1451">
        <v>2013</v>
      </c>
      <c r="D1451">
        <v>10</v>
      </c>
      <c r="E1451" s="4">
        <v>8236</v>
      </c>
      <c r="F1451" s="9">
        <v>0</v>
      </c>
      <c r="G1451" s="6">
        <v>32489</v>
      </c>
      <c r="H1451" s="9">
        <f t="shared" si="22"/>
        <v>8236</v>
      </c>
      <c r="I1451" s="6">
        <v>12443</v>
      </c>
      <c r="J1451" s="6">
        <f>VLOOKUP(Table1[[#This Row],[Province]],[1]Sheet1!$A$3:$F$37,5,FALSE)</f>
        <v>34019100</v>
      </c>
      <c r="K1451">
        <v>0</v>
      </c>
      <c r="L1451" s="4">
        <v>7.1509749999999999</v>
      </c>
      <c r="M1451" s="4">
        <v>110.140259</v>
      </c>
      <c r="N1451" s="6"/>
      <c r="P1451"/>
      <c r="Q1451" s="12"/>
      <c r="R1451" s="12"/>
    </row>
    <row r="1452" spans="1:18" x14ac:dyDescent="0.2">
      <c r="A1452">
        <v>13</v>
      </c>
      <c r="B1452" t="s">
        <v>10</v>
      </c>
      <c r="C1452">
        <v>2013</v>
      </c>
      <c r="D1452">
        <v>11</v>
      </c>
      <c r="E1452" s="4">
        <v>9</v>
      </c>
      <c r="F1452" s="9">
        <v>15.034000000000001</v>
      </c>
      <c r="G1452" s="6">
        <v>23932</v>
      </c>
      <c r="H1452" s="9">
        <f t="shared" si="22"/>
        <v>24.033999999999999</v>
      </c>
      <c r="I1452" s="6">
        <v>12570</v>
      </c>
      <c r="J1452" s="6">
        <f>VLOOKUP(Table1[[#This Row],[Province]],[1]Sheet1!$A$3:$F$37,5,FALSE)</f>
        <v>34019100</v>
      </c>
      <c r="K1452">
        <v>0</v>
      </c>
      <c r="L1452" s="4">
        <v>7.1509749999999999</v>
      </c>
      <c r="M1452" s="4">
        <v>110.140259</v>
      </c>
      <c r="N1452" s="6"/>
      <c r="P1452"/>
      <c r="Q1452" s="12"/>
      <c r="R1452" s="12"/>
    </row>
    <row r="1453" spans="1:18" x14ac:dyDescent="0.2">
      <c r="A1453">
        <v>13</v>
      </c>
      <c r="B1453" t="s">
        <v>10</v>
      </c>
      <c r="C1453">
        <v>2013</v>
      </c>
      <c r="D1453">
        <v>12</v>
      </c>
      <c r="E1453" s="4">
        <v>0</v>
      </c>
      <c r="F1453" s="9">
        <v>0</v>
      </c>
      <c r="G1453" s="6">
        <v>33291</v>
      </c>
      <c r="H1453" s="9">
        <f t="shared" si="22"/>
        <v>0</v>
      </c>
      <c r="I1453" s="6">
        <v>12420</v>
      </c>
      <c r="J1453" s="6">
        <f>VLOOKUP(Table1[[#This Row],[Province]],[1]Sheet1!$A$3:$F$37,5,FALSE)</f>
        <v>34019100</v>
      </c>
      <c r="K1453">
        <v>1</v>
      </c>
      <c r="L1453" s="4">
        <v>7.1509749999999999</v>
      </c>
      <c r="M1453" s="4">
        <v>110.140259</v>
      </c>
      <c r="N1453" s="6"/>
      <c r="P1453"/>
      <c r="Q1453" s="12"/>
      <c r="R1453" s="12"/>
    </row>
    <row r="1454" spans="1:18" x14ac:dyDescent="0.2">
      <c r="A1454">
        <v>13</v>
      </c>
      <c r="B1454" t="s">
        <v>10</v>
      </c>
      <c r="C1454">
        <v>2014</v>
      </c>
      <c r="D1454">
        <v>1</v>
      </c>
      <c r="E1454" s="4">
        <v>0</v>
      </c>
      <c r="F1454" s="9">
        <v>15.034000000000001</v>
      </c>
      <c r="G1454" s="6">
        <v>23164</v>
      </c>
      <c r="H1454" s="9">
        <f t="shared" si="22"/>
        <v>15.034000000000001</v>
      </c>
      <c r="I1454" s="6">
        <v>12572</v>
      </c>
      <c r="J1454" s="6">
        <f>VLOOKUP(Table1[[#This Row],[Province]],[1]Sheet1!$A$3:$F$37,5,FALSE)</f>
        <v>34019100</v>
      </c>
      <c r="K1454">
        <v>0</v>
      </c>
      <c r="L1454" s="4">
        <v>7.1509749999999999</v>
      </c>
      <c r="M1454" s="4">
        <v>110.140259</v>
      </c>
      <c r="N1454" s="6"/>
      <c r="P1454"/>
      <c r="Q1454" s="12"/>
      <c r="R1454" s="12"/>
    </row>
    <row r="1455" spans="1:18" x14ac:dyDescent="0.2">
      <c r="A1455">
        <v>13</v>
      </c>
      <c r="B1455" t="s">
        <v>10</v>
      </c>
      <c r="C1455">
        <v>2014</v>
      </c>
      <c r="D1455">
        <v>2</v>
      </c>
      <c r="E1455" s="4">
        <v>0</v>
      </c>
      <c r="F1455" s="9">
        <v>0</v>
      </c>
      <c r="G1455" s="6">
        <v>20666</v>
      </c>
      <c r="H1455" s="9">
        <f t="shared" si="22"/>
        <v>0</v>
      </c>
      <c r="I1455" s="6">
        <v>12350</v>
      </c>
      <c r="J1455" s="6">
        <f>VLOOKUP(Table1[[#This Row],[Province]],[1]Sheet1!$A$3:$F$37,5,FALSE)</f>
        <v>34019100</v>
      </c>
      <c r="K1455">
        <v>0</v>
      </c>
      <c r="L1455" s="4">
        <v>7.1509749999999999</v>
      </c>
      <c r="M1455" s="4">
        <v>110.140259</v>
      </c>
      <c r="N1455" s="6"/>
      <c r="P1455"/>
      <c r="Q1455" s="12"/>
      <c r="R1455" s="12"/>
    </row>
    <row r="1456" spans="1:18" x14ac:dyDescent="0.2">
      <c r="A1456">
        <v>13</v>
      </c>
      <c r="B1456" t="s">
        <v>10</v>
      </c>
      <c r="C1456">
        <v>2014</v>
      </c>
      <c r="D1456">
        <v>3</v>
      </c>
      <c r="E1456" s="4">
        <v>0</v>
      </c>
      <c r="F1456" s="9">
        <v>0</v>
      </c>
      <c r="G1456" s="6">
        <v>23204</v>
      </c>
      <c r="H1456" s="9">
        <f t="shared" si="22"/>
        <v>0</v>
      </c>
      <c r="I1456" s="6">
        <v>12450</v>
      </c>
      <c r="J1456" s="6">
        <f>VLOOKUP(Table1[[#This Row],[Province]],[1]Sheet1!$A$3:$F$37,5,FALSE)</f>
        <v>34019100</v>
      </c>
      <c r="K1456">
        <v>0</v>
      </c>
      <c r="L1456" s="4">
        <v>7.1509749999999999</v>
      </c>
      <c r="M1456" s="4">
        <v>110.140259</v>
      </c>
      <c r="N1456" s="6"/>
      <c r="P1456"/>
      <c r="Q1456" s="12"/>
      <c r="R1456" s="12"/>
    </row>
    <row r="1457" spans="1:18" x14ac:dyDescent="0.2">
      <c r="A1457">
        <v>13</v>
      </c>
      <c r="B1457" t="s">
        <v>10</v>
      </c>
      <c r="C1457">
        <v>2014</v>
      </c>
      <c r="D1457">
        <v>4</v>
      </c>
      <c r="E1457" s="4">
        <v>0</v>
      </c>
      <c r="F1457" s="9">
        <v>0</v>
      </c>
      <c r="G1457" s="6">
        <v>29889</v>
      </c>
      <c r="H1457" s="9">
        <f t="shared" si="22"/>
        <v>0</v>
      </c>
      <c r="I1457" s="6">
        <v>12140</v>
      </c>
      <c r="J1457" s="6">
        <f>VLOOKUP(Table1[[#This Row],[Province]],[1]Sheet1!$A$3:$F$37,5,FALSE)</f>
        <v>34019100</v>
      </c>
      <c r="K1457">
        <v>0</v>
      </c>
      <c r="L1457" s="4">
        <v>7.1509749999999999</v>
      </c>
      <c r="M1457" s="4">
        <v>110.140259</v>
      </c>
      <c r="N1457" s="6"/>
      <c r="P1457"/>
      <c r="Q1457" s="12"/>
      <c r="R1457" s="12"/>
    </row>
    <row r="1458" spans="1:18" x14ac:dyDescent="0.2">
      <c r="A1458">
        <v>13</v>
      </c>
      <c r="B1458" t="s">
        <v>10</v>
      </c>
      <c r="C1458">
        <v>2014</v>
      </c>
      <c r="D1458">
        <v>5</v>
      </c>
      <c r="E1458" s="4">
        <v>19884</v>
      </c>
      <c r="F1458" s="9">
        <v>0</v>
      </c>
      <c r="G1458" s="6">
        <v>33478</v>
      </c>
      <c r="H1458" s="9">
        <f t="shared" si="22"/>
        <v>19884</v>
      </c>
      <c r="I1458" s="6">
        <v>11889</v>
      </c>
      <c r="J1458" s="6">
        <f>VLOOKUP(Table1[[#This Row],[Province]],[1]Sheet1!$A$3:$F$37,5,FALSE)</f>
        <v>34019100</v>
      </c>
      <c r="K1458">
        <v>0</v>
      </c>
      <c r="L1458" s="4">
        <v>7.1509749999999999</v>
      </c>
      <c r="M1458" s="4">
        <v>110.140259</v>
      </c>
      <c r="N1458" s="6"/>
      <c r="P1458"/>
      <c r="Q1458" s="12"/>
      <c r="R1458" s="12"/>
    </row>
    <row r="1459" spans="1:18" x14ac:dyDescent="0.2">
      <c r="A1459">
        <v>13</v>
      </c>
      <c r="B1459" t="s">
        <v>10</v>
      </c>
      <c r="C1459">
        <v>2014</v>
      </c>
      <c r="D1459">
        <v>6</v>
      </c>
      <c r="E1459" s="4">
        <v>48715</v>
      </c>
      <c r="F1459" s="9">
        <v>0</v>
      </c>
      <c r="G1459" s="6">
        <v>47645</v>
      </c>
      <c r="H1459" s="9">
        <f t="shared" si="22"/>
        <v>48715</v>
      </c>
      <c r="I1459" s="6">
        <v>11924</v>
      </c>
      <c r="J1459" s="6">
        <f>VLOOKUP(Table1[[#This Row],[Province]],[1]Sheet1!$A$3:$F$37,5,FALSE)</f>
        <v>34019100</v>
      </c>
      <c r="K1459">
        <v>1</v>
      </c>
      <c r="L1459" s="4">
        <v>7.1509749999999999</v>
      </c>
      <c r="M1459" s="4">
        <v>110.140259</v>
      </c>
      <c r="N1459" s="6"/>
      <c r="P1459"/>
      <c r="Q1459" s="12"/>
      <c r="R1459" s="12"/>
    </row>
    <row r="1460" spans="1:18" x14ac:dyDescent="0.2">
      <c r="A1460">
        <v>13</v>
      </c>
      <c r="B1460" t="s">
        <v>10</v>
      </c>
      <c r="C1460">
        <v>2014</v>
      </c>
      <c r="D1460">
        <v>7</v>
      </c>
      <c r="E1460" s="4">
        <v>54486</v>
      </c>
      <c r="F1460" s="9">
        <v>0</v>
      </c>
      <c r="G1460" s="6">
        <v>29889</v>
      </c>
      <c r="H1460" s="9">
        <f t="shared" si="22"/>
        <v>54486</v>
      </c>
      <c r="I1460" s="6">
        <v>11889</v>
      </c>
      <c r="J1460" s="6">
        <f>VLOOKUP(Table1[[#This Row],[Province]],[1]Sheet1!$A$3:$F$37,5,FALSE)</f>
        <v>34019100</v>
      </c>
      <c r="K1460">
        <v>0</v>
      </c>
      <c r="L1460" s="4">
        <v>7.1509749999999999</v>
      </c>
      <c r="M1460" s="4">
        <v>110.140259</v>
      </c>
      <c r="N1460" s="6"/>
      <c r="P1460"/>
      <c r="Q1460" s="12"/>
      <c r="R1460" s="12"/>
    </row>
    <row r="1461" spans="1:18" x14ac:dyDescent="0.2">
      <c r="A1461">
        <v>13</v>
      </c>
      <c r="B1461" t="s">
        <v>10</v>
      </c>
      <c r="C1461">
        <v>2014</v>
      </c>
      <c r="D1461">
        <v>8</v>
      </c>
      <c r="E1461" s="4">
        <v>55863</v>
      </c>
      <c r="F1461" s="9">
        <v>0</v>
      </c>
      <c r="G1461" s="6">
        <v>28813</v>
      </c>
      <c r="H1461" s="9">
        <f t="shared" si="22"/>
        <v>55863</v>
      </c>
      <c r="I1461" s="6">
        <v>11950</v>
      </c>
      <c r="J1461" s="6">
        <f>VLOOKUP(Table1[[#This Row],[Province]],[1]Sheet1!$A$3:$F$37,5,FALSE)</f>
        <v>34019100</v>
      </c>
      <c r="K1461">
        <v>0</v>
      </c>
      <c r="L1461" s="4">
        <v>7.1509749999999999</v>
      </c>
      <c r="M1461" s="4">
        <v>110.140259</v>
      </c>
      <c r="N1461" s="6"/>
      <c r="P1461"/>
      <c r="Q1461" s="12"/>
      <c r="R1461" s="12"/>
    </row>
    <row r="1462" spans="1:18" x14ac:dyDescent="0.2">
      <c r="A1462">
        <v>13</v>
      </c>
      <c r="B1462" t="s">
        <v>10</v>
      </c>
      <c r="C1462">
        <v>2014</v>
      </c>
      <c r="D1462">
        <v>9</v>
      </c>
      <c r="E1462" s="4">
        <v>49991</v>
      </c>
      <c r="F1462" s="9">
        <v>0</v>
      </c>
      <c r="G1462" s="6">
        <v>28999</v>
      </c>
      <c r="H1462" s="9">
        <f t="shared" si="22"/>
        <v>49991</v>
      </c>
      <c r="I1462" s="6">
        <v>11691</v>
      </c>
      <c r="J1462" s="6">
        <f>VLOOKUP(Table1[[#This Row],[Province]],[1]Sheet1!$A$3:$F$37,5,FALSE)</f>
        <v>34019100</v>
      </c>
      <c r="K1462">
        <v>0</v>
      </c>
      <c r="L1462" s="4">
        <v>7.1509749999999999</v>
      </c>
      <c r="M1462" s="4">
        <v>110.140259</v>
      </c>
      <c r="N1462" s="6"/>
      <c r="P1462"/>
      <c r="Q1462" s="12"/>
      <c r="R1462" s="12"/>
    </row>
    <row r="1463" spans="1:18" x14ac:dyDescent="0.2">
      <c r="A1463">
        <v>13</v>
      </c>
      <c r="B1463" t="s">
        <v>10</v>
      </c>
      <c r="C1463">
        <v>2014</v>
      </c>
      <c r="D1463">
        <v>10</v>
      </c>
      <c r="E1463" s="4">
        <v>11025</v>
      </c>
      <c r="F1463" s="9">
        <v>0</v>
      </c>
      <c r="G1463" s="6">
        <v>43020</v>
      </c>
      <c r="H1463" s="9">
        <f t="shared" si="22"/>
        <v>11025</v>
      </c>
      <c r="I1463" s="6">
        <v>11600</v>
      </c>
      <c r="J1463" s="6">
        <f>VLOOKUP(Table1[[#This Row],[Province]],[1]Sheet1!$A$3:$F$37,5,FALSE)</f>
        <v>34019100</v>
      </c>
      <c r="K1463">
        <v>0</v>
      </c>
      <c r="L1463" s="4">
        <v>7.1509749999999999</v>
      </c>
      <c r="M1463" s="4">
        <v>110.140259</v>
      </c>
      <c r="N1463" s="6"/>
      <c r="P1463"/>
      <c r="Q1463" s="12"/>
      <c r="R1463" s="12"/>
    </row>
    <row r="1464" spans="1:18" x14ac:dyDescent="0.2">
      <c r="A1464">
        <v>13</v>
      </c>
      <c r="B1464" t="s">
        <v>10</v>
      </c>
      <c r="C1464">
        <v>2014</v>
      </c>
      <c r="D1464">
        <v>11</v>
      </c>
      <c r="E1464" s="4">
        <v>0</v>
      </c>
      <c r="F1464" s="9">
        <v>0</v>
      </c>
      <c r="G1464" s="6">
        <v>34328</v>
      </c>
      <c r="H1464" s="9">
        <f t="shared" si="22"/>
        <v>0</v>
      </c>
      <c r="I1464" s="6">
        <v>11740</v>
      </c>
      <c r="J1464" s="6">
        <f>VLOOKUP(Table1[[#This Row],[Province]],[1]Sheet1!$A$3:$F$37,5,FALSE)</f>
        <v>34019100</v>
      </c>
      <c r="K1464">
        <v>0</v>
      </c>
      <c r="L1464" s="4">
        <v>7.1509749999999999</v>
      </c>
      <c r="M1464" s="4">
        <v>110.140259</v>
      </c>
      <c r="N1464" s="6"/>
      <c r="P1464"/>
      <c r="Q1464" s="12"/>
      <c r="R1464" s="12"/>
    </row>
    <row r="1465" spans="1:18" x14ac:dyDescent="0.2">
      <c r="A1465">
        <v>13</v>
      </c>
      <c r="B1465" t="s">
        <v>10</v>
      </c>
      <c r="C1465">
        <v>2014</v>
      </c>
      <c r="D1465">
        <v>12</v>
      </c>
      <c r="E1465" s="4">
        <v>0</v>
      </c>
      <c r="F1465" s="9">
        <v>0</v>
      </c>
      <c r="G1465" s="6">
        <v>40029</v>
      </c>
      <c r="H1465" s="9">
        <f t="shared" si="22"/>
        <v>0</v>
      </c>
      <c r="I1465" s="6">
        <v>11790</v>
      </c>
      <c r="J1465" s="6">
        <f>VLOOKUP(Table1[[#This Row],[Province]],[1]Sheet1!$A$3:$F$37,5,FALSE)</f>
        <v>34019100</v>
      </c>
      <c r="K1465">
        <v>1</v>
      </c>
      <c r="L1465" s="4">
        <v>7.1509749999999999</v>
      </c>
      <c r="M1465" s="4">
        <v>110.140259</v>
      </c>
      <c r="N1465" s="6"/>
      <c r="P1465"/>
      <c r="Q1465" s="12"/>
      <c r="R1465" s="12"/>
    </row>
    <row r="1466" spans="1:18" x14ac:dyDescent="0.2">
      <c r="A1466">
        <v>13</v>
      </c>
      <c r="B1466" t="s">
        <v>10</v>
      </c>
      <c r="C1466">
        <v>2015</v>
      </c>
      <c r="D1466">
        <v>1</v>
      </c>
      <c r="E1466" s="4">
        <v>0</v>
      </c>
      <c r="F1466" s="9">
        <v>0</v>
      </c>
      <c r="G1466" s="6">
        <v>19571</v>
      </c>
      <c r="H1466" s="9">
        <f t="shared" si="22"/>
        <v>0</v>
      </c>
      <c r="I1466" s="6">
        <v>11867</v>
      </c>
      <c r="J1466" s="6">
        <f>VLOOKUP(Table1[[#This Row],[Province]],[1]Sheet1!$A$3:$F$37,5,FALSE)</f>
        <v>34019100</v>
      </c>
      <c r="K1466">
        <v>0</v>
      </c>
      <c r="L1466" s="4">
        <v>7.1509749999999999</v>
      </c>
      <c r="M1466" s="4">
        <v>110.140259</v>
      </c>
      <c r="N1466" s="6"/>
      <c r="P1466"/>
      <c r="Q1466" s="12"/>
      <c r="R1466" s="12"/>
    </row>
    <row r="1467" spans="1:18" x14ac:dyDescent="0.2">
      <c r="A1467">
        <v>13</v>
      </c>
      <c r="B1467" t="s">
        <v>10</v>
      </c>
      <c r="C1467">
        <v>2015</v>
      </c>
      <c r="D1467">
        <v>2</v>
      </c>
      <c r="E1467" s="4">
        <v>0</v>
      </c>
      <c r="F1467" s="9">
        <v>0</v>
      </c>
      <c r="G1467" s="6">
        <v>49362</v>
      </c>
      <c r="H1467" s="9">
        <f t="shared" si="22"/>
        <v>0</v>
      </c>
      <c r="I1467" s="6">
        <v>11800</v>
      </c>
      <c r="J1467" s="6">
        <f>VLOOKUP(Table1[[#This Row],[Province]],[1]Sheet1!$A$3:$F$37,5,FALSE)</f>
        <v>34019100</v>
      </c>
      <c r="K1467">
        <v>0</v>
      </c>
      <c r="L1467" s="4">
        <v>7.1509749999999999</v>
      </c>
      <c r="M1467" s="4">
        <v>110.140259</v>
      </c>
      <c r="N1467" s="6"/>
      <c r="P1467"/>
      <c r="Q1467" s="12"/>
      <c r="R1467" s="12"/>
    </row>
    <row r="1468" spans="1:18" x14ac:dyDescent="0.2">
      <c r="A1468">
        <v>13</v>
      </c>
      <c r="B1468" t="s">
        <v>10</v>
      </c>
      <c r="C1468">
        <v>2015</v>
      </c>
      <c r="D1468">
        <v>3</v>
      </c>
      <c r="E1468" s="4">
        <v>0</v>
      </c>
      <c r="F1468" s="9">
        <v>0</v>
      </c>
      <c r="G1468" s="6">
        <v>22399</v>
      </c>
      <c r="H1468" s="9">
        <f t="shared" si="22"/>
        <v>0</v>
      </c>
      <c r="I1468" s="6">
        <v>11636</v>
      </c>
      <c r="J1468" s="6">
        <f>VLOOKUP(Table1[[#This Row],[Province]],[1]Sheet1!$A$3:$F$37,5,FALSE)</f>
        <v>34019100</v>
      </c>
      <c r="K1468">
        <v>0</v>
      </c>
      <c r="L1468" s="4">
        <v>7.1509749999999999</v>
      </c>
      <c r="M1468" s="4">
        <v>110.140259</v>
      </c>
      <c r="N1468" s="6"/>
      <c r="P1468"/>
      <c r="Q1468" s="12"/>
      <c r="R1468" s="12"/>
    </row>
    <row r="1469" spans="1:18" x14ac:dyDescent="0.2">
      <c r="A1469">
        <v>13</v>
      </c>
      <c r="B1469" t="s">
        <v>10</v>
      </c>
      <c r="C1469">
        <v>2015</v>
      </c>
      <c r="D1469">
        <v>4</v>
      </c>
      <c r="E1469" s="4">
        <v>0</v>
      </c>
      <c r="F1469" s="9">
        <v>0</v>
      </c>
      <c r="G1469" s="6">
        <v>37105</v>
      </c>
      <c r="H1469" s="9">
        <f t="shared" si="22"/>
        <v>0</v>
      </c>
      <c r="I1469" s="6">
        <v>12224</v>
      </c>
      <c r="J1469" s="6">
        <f>VLOOKUP(Table1[[#This Row],[Province]],[1]Sheet1!$A$3:$F$37,5,FALSE)</f>
        <v>34019100</v>
      </c>
      <c r="K1469">
        <v>0</v>
      </c>
      <c r="L1469" s="4">
        <v>7.1509749999999999</v>
      </c>
      <c r="M1469" s="4">
        <v>110.140259</v>
      </c>
      <c r="N1469" s="6"/>
      <c r="P1469"/>
      <c r="Q1469" s="12"/>
      <c r="R1469" s="12"/>
    </row>
    <row r="1470" spans="1:18" x14ac:dyDescent="0.2">
      <c r="A1470">
        <v>13</v>
      </c>
      <c r="B1470" t="s">
        <v>10</v>
      </c>
      <c r="C1470">
        <v>2015</v>
      </c>
      <c r="D1470">
        <v>5</v>
      </c>
      <c r="E1470" s="4">
        <v>4976</v>
      </c>
      <c r="F1470" s="9">
        <v>0</v>
      </c>
      <c r="G1470" s="6">
        <v>35554</v>
      </c>
      <c r="H1470" s="9">
        <f t="shared" si="22"/>
        <v>4976</v>
      </c>
      <c r="I1470" s="6">
        <v>12579</v>
      </c>
      <c r="J1470" s="6">
        <f>VLOOKUP(Table1[[#This Row],[Province]],[1]Sheet1!$A$3:$F$37,5,FALSE)</f>
        <v>34019100</v>
      </c>
      <c r="K1470">
        <v>0</v>
      </c>
      <c r="L1470" s="4">
        <v>7.1509749999999999</v>
      </c>
      <c r="M1470" s="4">
        <v>110.140259</v>
      </c>
      <c r="N1470" s="6"/>
      <c r="P1470"/>
      <c r="Q1470" s="12"/>
      <c r="R1470" s="12"/>
    </row>
    <row r="1471" spans="1:18" x14ac:dyDescent="0.2">
      <c r="A1471">
        <v>13</v>
      </c>
      <c r="B1471" t="s">
        <v>10</v>
      </c>
      <c r="C1471">
        <v>2015</v>
      </c>
      <c r="D1471">
        <v>6</v>
      </c>
      <c r="E1471" s="4">
        <v>43432</v>
      </c>
      <c r="F1471" s="9">
        <v>0</v>
      </c>
      <c r="G1471" s="6">
        <v>40403</v>
      </c>
      <c r="H1471" s="9">
        <f t="shared" si="22"/>
        <v>43432</v>
      </c>
      <c r="I1471" s="6">
        <v>12824</v>
      </c>
      <c r="J1471" s="6">
        <f>VLOOKUP(Table1[[#This Row],[Province]],[1]Sheet1!$A$3:$F$37,5,FALSE)</f>
        <v>34019100</v>
      </c>
      <c r="K1471">
        <v>1</v>
      </c>
      <c r="L1471" s="4">
        <v>7.1509749999999999</v>
      </c>
      <c r="M1471" s="4">
        <v>110.140259</v>
      </c>
      <c r="N1471" s="6"/>
      <c r="P1471"/>
      <c r="Q1471" s="12"/>
      <c r="R1471" s="12"/>
    </row>
    <row r="1472" spans="1:18" x14ac:dyDescent="0.2">
      <c r="A1472">
        <v>13</v>
      </c>
      <c r="B1472" t="s">
        <v>10</v>
      </c>
      <c r="C1472">
        <v>2015</v>
      </c>
      <c r="D1472">
        <v>7</v>
      </c>
      <c r="E1472" s="4">
        <v>58955</v>
      </c>
      <c r="F1472" s="9">
        <v>0</v>
      </c>
      <c r="G1472" s="6">
        <v>27581</v>
      </c>
      <c r="H1472" s="9">
        <f t="shared" si="22"/>
        <v>58955</v>
      </c>
      <c r="I1472" s="6">
        <v>13000</v>
      </c>
      <c r="J1472" s="6">
        <f>VLOOKUP(Table1[[#This Row],[Province]],[1]Sheet1!$A$3:$F$37,5,FALSE)</f>
        <v>34019100</v>
      </c>
      <c r="K1472">
        <v>0</v>
      </c>
      <c r="L1472" s="4">
        <v>7.1509749999999999</v>
      </c>
      <c r="M1472" s="4">
        <v>110.140259</v>
      </c>
      <c r="N1472" s="6"/>
      <c r="P1472"/>
      <c r="Q1472" s="12"/>
      <c r="R1472" s="12"/>
    </row>
    <row r="1473" spans="1:18" x14ac:dyDescent="0.2">
      <c r="A1473">
        <v>13</v>
      </c>
      <c r="B1473" t="s">
        <v>10</v>
      </c>
      <c r="C1473">
        <v>2015</v>
      </c>
      <c r="D1473">
        <v>8</v>
      </c>
      <c r="E1473" s="4">
        <v>49117</v>
      </c>
      <c r="F1473" s="9">
        <v>0</v>
      </c>
      <c r="G1473" s="6">
        <v>27297</v>
      </c>
      <c r="H1473" s="9">
        <f t="shared" si="22"/>
        <v>49117</v>
      </c>
      <c r="I1473" s="6">
        <v>13310</v>
      </c>
      <c r="J1473" s="6">
        <f>VLOOKUP(Table1[[#This Row],[Province]],[1]Sheet1!$A$3:$F$37,5,FALSE)</f>
        <v>34019100</v>
      </c>
      <c r="K1473">
        <v>0</v>
      </c>
      <c r="L1473" s="4">
        <v>7.1509749999999999</v>
      </c>
      <c r="M1473" s="4">
        <v>110.140259</v>
      </c>
      <c r="N1473" s="6"/>
      <c r="P1473"/>
      <c r="Q1473" s="12"/>
      <c r="R1473" s="12"/>
    </row>
    <row r="1474" spans="1:18" x14ac:dyDescent="0.2">
      <c r="A1474">
        <v>13</v>
      </c>
      <c r="B1474" t="s">
        <v>10</v>
      </c>
      <c r="C1474">
        <v>2015</v>
      </c>
      <c r="D1474">
        <v>9</v>
      </c>
      <c r="E1474" s="4">
        <v>47703</v>
      </c>
      <c r="F1474" s="9">
        <v>0</v>
      </c>
      <c r="G1474" s="6">
        <v>36633</v>
      </c>
      <c r="H1474" s="9">
        <f t="shared" ref="H1474:H1537" si="23">F1474+E1474</f>
        <v>47703</v>
      </c>
      <c r="I1474" s="6">
        <v>13200</v>
      </c>
      <c r="J1474" s="6">
        <f>VLOOKUP(Table1[[#This Row],[Province]],[1]Sheet1!$A$3:$F$37,5,FALSE)</f>
        <v>34019100</v>
      </c>
      <c r="K1474">
        <v>0</v>
      </c>
      <c r="L1474" s="4">
        <v>7.1509749999999999</v>
      </c>
      <c r="M1474" s="4">
        <v>110.140259</v>
      </c>
      <c r="N1474" s="6"/>
      <c r="P1474"/>
      <c r="Q1474" s="12"/>
      <c r="R1474" s="12"/>
    </row>
    <row r="1475" spans="1:18" x14ac:dyDescent="0.2">
      <c r="A1475">
        <v>13</v>
      </c>
      <c r="B1475" t="s">
        <v>10</v>
      </c>
      <c r="C1475">
        <v>2015</v>
      </c>
      <c r="D1475">
        <v>10</v>
      </c>
      <c r="E1475" s="4">
        <v>6045</v>
      </c>
      <c r="F1475" s="9">
        <v>0</v>
      </c>
      <c r="G1475" s="6">
        <v>24417</v>
      </c>
      <c r="H1475" s="9">
        <f t="shared" si="23"/>
        <v>6045</v>
      </c>
      <c r="I1475" s="6">
        <v>13014</v>
      </c>
      <c r="J1475" s="6">
        <f>VLOOKUP(Table1[[#This Row],[Province]],[1]Sheet1!$A$3:$F$37,5,FALSE)</f>
        <v>34019100</v>
      </c>
      <c r="K1475">
        <v>0</v>
      </c>
      <c r="L1475" s="4">
        <v>7.1509749999999999</v>
      </c>
      <c r="M1475" s="4">
        <v>110.140259</v>
      </c>
      <c r="N1475" s="6"/>
      <c r="P1475"/>
      <c r="Q1475" s="12"/>
      <c r="R1475" s="12"/>
    </row>
    <row r="1476" spans="1:18" x14ac:dyDescent="0.2">
      <c r="A1476">
        <v>13</v>
      </c>
      <c r="B1476" t="s">
        <v>10</v>
      </c>
      <c r="C1476">
        <v>2015</v>
      </c>
      <c r="D1476">
        <v>11</v>
      </c>
      <c r="E1476" s="4">
        <v>20</v>
      </c>
      <c r="F1476" s="9">
        <v>0</v>
      </c>
      <c r="G1476" s="6">
        <v>32197</v>
      </c>
      <c r="H1476" s="9">
        <f t="shared" si="23"/>
        <v>20</v>
      </c>
      <c r="I1476" s="6">
        <v>13048</v>
      </c>
      <c r="J1476" s="6">
        <f>VLOOKUP(Table1[[#This Row],[Province]],[1]Sheet1!$A$3:$F$37,5,FALSE)</f>
        <v>34019100</v>
      </c>
      <c r="K1476">
        <v>0</v>
      </c>
      <c r="L1476" s="4">
        <v>7.1509749999999999</v>
      </c>
      <c r="M1476" s="4">
        <v>110.140259</v>
      </c>
      <c r="N1476" s="6"/>
      <c r="P1476"/>
      <c r="Q1476" s="12"/>
      <c r="R1476" s="12"/>
    </row>
    <row r="1477" spans="1:18" x14ac:dyDescent="0.2">
      <c r="A1477">
        <v>13</v>
      </c>
      <c r="B1477" t="s">
        <v>10</v>
      </c>
      <c r="C1477">
        <v>2015</v>
      </c>
      <c r="D1477">
        <v>12</v>
      </c>
      <c r="E1477" s="4">
        <v>0</v>
      </c>
      <c r="F1477" s="9">
        <v>0</v>
      </c>
      <c r="G1477" s="6">
        <v>34512</v>
      </c>
      <c r="H1477" s="9">
        <f t="shared" si="23"/>
        <v>0</v>
      </c>
      <c r="I1477" s="6">
        <v>13140</v>
      </c>
      <c r="J1477" s="6">
        <f>VLOOKUP(Table1[[#This Row],[Province]],[1]Sheet1!$A$3:$F$37,5,FALSE)</f>
        <v>34019100</v>
      </c>
      <c r="K1477">
        <v>1</v>
      </c>
      <c r="L1477" s="4">
        <v>7.1509749999999999</v>
      </c>
      <c r="M1477" s="4">
        <v>110.140259</v>
      </c>
      <c r="N1477" s="6"/>
      <c r="P1477"/>
      <c r="Q1477" s="12"/>
      <c r="R1477" s="12"/>
    </row>
    <row r="1478" spans="1:18" x14ac:dyDescent="0.2">
      <c r="A1478">
        <v>13</v>
      </c>
      <c r="B1478" t="s">
        <v>10</v>
      </c>
      <c r="C1478">
        <v>2016</v>
      </c>
      <c r="D1478">
        <v>1</v>
      </c>
      <c r="E1478" s="4">
        <v>0</v>
      </c>
      <c r="F1478" s="9">
        <v>0</v>
      </c>
      <c r="G1478" s="6">
        <v>46406</v>
      </c>
      <c r="H1478" s="9">
        <f t="shared" si="23"/>
        <v>0</v>
      </c>
      <c r="I1478" s="6">
        <v>13340</v>
      </c>
      <c r="J1478" s="6">
        <f>VLOOKUP(Table1[[#This Row],[Province]],[1]Sheet1!$A$3:$F$37,5,FALSE)</f>
        <v>34019100</v>
      </c>
      <c r="K1478">
        <v>0</v>
      </c>
      <c r="L1478" s="4">
        <v>7.1509749999999999</v>
      </c>
      <c r="M1478" s="4">
        <v>110.140259</v>
      </c>
      <c r="N1478" s="13">
        <v>5.25</v>
      </c>
      <c r="P1478"/>
      <c r="Q1478" s="12"/>
      <c r="R1478" s="12"/>
    </row>
    <row r="1479" spans="1:18" x14ac:dyDescent="0.2">
      <c r="A1479">
        <v>13</v>
      </c>
      <c r="B1479" t="s">
        <v>10</v>
      </c>
      <c r="C1479">
        <v>2016</v>
      </c>
      <c r="D1479">
        <v>2</v>
      </c>
      <c r="E1479" s="4">
        <v>0</v>
      </c>
      <c r="F1479" s="9">
        <v>0</v>
      </c>
      <c r="G1479" s="6">
        <v>28536</v>
      </c>
      <c r="H1479" s="9">
        <f t="shared" si="23"/>
        <v>0</v>
      </c>
      <c r="I1479" s="6">
        <v>13357</v>
      </c>
      <c r="J1479" s="6">
        <f>VLOOKUP(Table1[[#This Row],[Province]],[1]Sheet1!$A$3:$F$37,5,FALSE)</f>
        <v>34019100</v>
      </c>
      <c r="K1479">
        <v>0</v>
      </c>
      <c r="L1479" s="4">
        <v>7.1509749999999999</v>
      </c>
      <c r="M1479" s="4">
        <v>110.140259</v>
      </c>
      <c r="N1479" s="13">
        <v>5.25</v>
      </c>
      <c r="P1479"/>
      <c r="Q1479" s="12"/>
      <c r="R1479" s="12"/>
    </row>
    <row r="1480" spans="1:18" x14ac:dyDescent="0.2">
      <c r="A1480">
        <v>13</v>
      </c>
      <c r="B1480" t="s">
        <v>10</v>
      </c>
      <c r="C1480">
        <v>2016</v>
      </c>
      <c r="D1480">
        <v>3</v>
      </c>
      <c r="E1480" s="4">
        <v>0</v>
      </c>
      <c r="F1480" s="9">
        <v>0</v>
      </c>
      <c r="G1480" s="6">
        <v>39163</v>
      </c>
      <c r="H1480" s="9">
        <f t="shared" si="23"/>
        <v>0</v>
      </c>
      <c r="I1480" s="6">
        <v>13392</v>
      </c>
      <c r="J1480" s="6">
        <f>VLOOKUP(Table1[[#This Row],[Province]],[1]Sheet1!$A$3:$F$37,5,FALSE)</f>
        <v>34019100</v>
      </c>
      <c r="K1480">
        <v>0</v>
      </c>
      <c r="L1480" s="4">
        <v>7.1509749999999999</v>
      </c>
      <c r="M1480" s="4">
        <v>110.140259</v>
      </c>
      <c r="N1480" s="13">
        <v>5.25</v>
      </c>
      <c r="P1480"/>
      <c r="Q1480" s="12"/>
      <c r="R1480" s="12"/>
    </row>
    <row r="1481" spans="1:18" x14ac:dyDescent="0.2">
      <c r="A1481">
        <v>13</v>
      </c>
      <c r="B1481" t="s">
        <v>10</v>
      </c>
      <c r="C1481">
        <v>2016</v>
      </c>
      <c r="D1481">
        <v>4</v>
      </c>
      <c r="E1481" s="4">
        <v>0</v>
      </c>
      <c r="F1481" s="9">
        <v>0</v>
      </c>
      <c r="G1481" s="6">
        <v>25386</v>
      </c>
      <c r="H1481" s="9">
        <f t="shared" si="23"/>
        <v>0</v>
      </c>
      <c r="I1481" s="6">
        <v>13660</v>
      </c>
      <c r="J1481" s="6">
        <f>VLOOKUP(Table1[[#This Row],[Province]],[1]Sheet1!$A$3:$F$37,5,FALSE)</f>
        <v>34019100</v>
      </c>
      <c r="K1481">
        <v>0</v>
      </c>
      <c r="L1481" s="4">
        <v>7.1509749999999999</v>
      </c>
      <c r="M1481" s="4">
        <v>110.140259</v>
      </c>
      <c r="N1481" s="13">
        <v>5.25</v>
      </c>
      <c r="P1481"/>
      <c r="Q1481" s="12"/>
      <c r="R1481" s="12"/>
    </row>
    <row r="1482" spans="1:18" x14ac:dyDescent="0.2">
      <c r="A1482">
        <v>13</v>
      </c>
      <c r="B1482" t="s">
        <v>10</v>
      </c>
      <c r="C1482">
        <v>2016</v>
      </c>
      <c r="D1482">
        <v>5</v>
      </c>
      <c r="E1482" s="4">
        <v>2696</v>
      </c>
      <c r="F1482" s="9">
        <v>0</v>
      </c>
      <c r="G1482" s="6">
        <v>39257</v>
      </c>
      <c r="H1482" s="9">
        <f t="shared" si="23"/>
        <v>2696</v>
      </c>
      <c r="I1482" s="6">
        <v>14809</v>
      </c>
      <c r="J1482" s="6">
        <f>VLOOKUP(Table1[[#This Row],[Province]],[1]Sheet1!$A$3:$F$37,5,FALSE)</f>
        <v>34019100</v>
      </c>
      <c r="K1482">
        <v>0</v>
      </c>
      <c r="L1482" s="4">
        <v>7.1509749999999999</v>
      </c>
      <c r="M1482" s="4">
        <v>110.140259</v>
      </c>
      <c r="N1482" s="13">
        <v>5.25</v>
      </c>
      <c r="P1482"/>
      <c r="Q1482" s="12"/>
      <c r="R1482" s="12"/>
    </row>
    <row r="1483" spans="1:18" x14ac:dyDescent="0.2">
      <c r="A1483">
        <v>13</v>
      </c>
      <c r="B1483" t="s">
        <v>10</v>
      </c>
      <c r="C1483">
        <v>2016</v>
      </c>
      <c r="D1483">
        <v>6</v>
      </c>
      <c r="E1483" s="4">
        <v>20652</v>
      </c>
      <c r="F1483" s="9">
        <v>39.6</v>
      </c>
      <c r="G1483" s="6">
        <v>34959</v>
      </c>
      <c r="H1483" s="9">
        <f t="shared" si="23"/>
        <v>20691.599999999999</v>
      </c>
      <c r="I1483" s="6">
        <v>15605</v>
      </c>
      <c r="J1483" s="6">
        <f>VLOOKUP(Table1[[#This Row],[Province]],[1]Sheet1!$A$3:$F$37,5,FALSE)</f>
        <v>34019100</v>
      </c>
      <c r="K1483">
        <v>1</v>
      </c>
      <c r="L1483" s="4">
        <v>7.1509749999999999</v>
      </c>
      <c r="M1483" s="4">
        <v>110.140259</v>
      </c>
      <c r="N1483" s="13">
        <v>5.25</v>
      </c>
      <c r="P1483"/>
      <c r="Q1483" s="12"/>
      <c r="R1483" s="12"/>
    </row>
    <row r="1484" spans="1:18" x14ac:dyDescent="0.2">
      <c r="A1484">
        <v>13</v>
      </c>
      <c r="B1484" t="s">
        <v>10</v>
      </c>
      <c r="C1484">
        <v>2016</v>
      </c>
      <c r="D1484">
        <v>7</v>
      </c>
      <c r="E1484" s="4">
        <v>21753</v>
      </c>
      <c r="F1484" s="9">
        <v>0</v>
      </c>
      <c r="G1484" s="6">
        <v>33356</v>
      </c>
      <c r="H1484" s="9">
        <f t="shared" si="23"/>
        <v>21753</v>
      </c>
      <c r="I1484" s="6">
        <v>15679</v>
      </c>
      <c r="J1484" s="6">
        <f>VLOOKUP(Table1[[#This Row],[Province]],[1]Sheet1!$A$3:$F$37,5,FALSE)</f>
        <v>34019100</v>
      </c>
      <c r="K1484">
        <v>0</v>
      </c>
      <c r="L1484" s="4">
        <v>7.1509749999999999</v>
      </c>
      <c r="M1484" s="4">
        <v>110.140259</v>
      </c>
      <c r="N1484" s="13">
        <v>5.25</v>
      </c>
      <c r="P1484"/>
      <c r="Q1484" s="12"/>
      <c r="R1484" s="12"/>
    </row>
    <row r="1485" spans="1:18" x14ac:dyDescent="0.2">
      <c r="A1485">
        <v>13</v>
      </c>
      <c r="B1485" t="s">
        <v>10</v>
      </c>
      <c r="C1485">
        <v>2016</v>
      </c>
      <c r="D1485">
        <v>8</v>
      </c>
      <c r="E1485" s="4">
        <v>32257</v>
      </c>
      <c r="F1485" s="9">
        <v>0</v>
      </c>
      <c r="G1485" s="6">
        <v>32960</v>
      </c>
      <c r="H1485" s="9">
        <f t="shared" si="23"/>
        <v>32257</v>
      </c>
      <c r="I1485" s="6">
        <v>15642</v>
      </c>
      <c r="J1485" s="6">
        <f>VLOOKUP(Table1[[#This Row],[Province]],[1]Sheet1!$A$3:$F$37,5,FALSE)</f>
        <v>34019100</v>
      </c>
      <c r="K1485">
        <v>0</v>
      </c>
      <c r="L1485" s="4">
        <v>7.1509749999999999</v>
      </c>
      <c r="M1485" s="4">
        <v>110.140259</v>
      </c>
      <c r="N1485" s="13">
        <v>5.25</v>
      </c>
      <c r="P1485"/>
      <c r="Q1485" s="12"/>
      <c r="R1485" s="12"/>
    </row>
    <row r="1486" spans="1:18" x14ac:dyDescent="0.2">
      <c r="A1486">
        <v>13</v>
      </c>
      <c r="B1486" t="s">
        <v>10</v>
      </c>
      <c r="C1486">
        <v>2016</v>
      </c>
      <c r="D1486">
        <v>9</v>
      </c>
      <c r="E1486" s="4">
        <v>31855</v>
      </c>
      <c r="F1486" s="9">
        <v>0</v>
      </c>
      <c r="G1486" s="6">
        <v>12740</v>
      </c>
      <c r="H1486" s="9">
        <f t="shared" si="23"/>
        <v>31855</v>
      </c>
      <c r="I1486" s="6">
        <v>15175</v>
      </c>
      <c r="J1486" s="6">
        <f>VLOOKUP(Table1[[#This Row],[Province]],[1]Sheet1!$A$3:$F$37,5,FALSE)</f>
        <v>34019100</v>
      </c>
      <c r="K1486">
        <v>0</v>
      </c>
      <c r="L1486" s="4">
        <v>7.1509749999999999</v>
      </c>
      <c r="M1486" s="4">
        <v>110.140259</v>
      </c>
      <c r="N1486" s="13">
        <v>5.25</v>
      </c>
      <c r="P1486"/>
      <c r="Q1486" s="12"/>
      <c r="R1486" s="12"/>
    </row>
    <row r="1487" spans="1:18" x14ac:dyDescent="0.2">
      <c r="A1487">
        <v>13</v>
      </c>
      <c r="B1487" t="s">
        <v>10</v>
      </c>
      <c r="C1487">
        <v>2016</v>
      </c>
      <c r="D1487">
        <v>10</v>
      </c>
      <c r="E1487" s="4">
        <v>39891</v>
      </c>
      <c r="F1487" s="9">
        <v>17.856999999999999</v>
      </c>
      <c r="G1487" s="6">
        <v>55651</v>
      </c>
      <c r="H1487" s="9">
        <f t="shared" si="23"/>
        <v>39908.857000000004</v>
      </c>
      <c r="I1487" s="6">
        <v>14983</v>
      </c>
      <c r="J1487" s="6">
        <f>VLOOKUP(Table1[[#This Row],[Province]],[1]Sheet1!$A$3:$F$37,5,FALSE)</f>
        <v>34019100</v>
      </c>
      <c r="K1487">
        <v>0</v>
      </c>
      <c r="L1487" s="4">
        <v>7.1509749999999999</v>
      </c>
      <c r="M1487" s="4">
        <v>110.140259</v>
      </c>
      <c r="N1487" s="13">
        <v>5.25</v>
      </c>
      <c r="P1487"/>
      <c r="Q1487" s="12"/>
      <c r="R1487" s="12"/>
    </row>
    <row r="1488" spans="1:18" x14ac:dyDescent="0.2">
      <c r="A1488">
        <v>13</v>
      </c>
      <c r="B1488" t="s">
        <v>10</v>
      </c>
      <c r="C1488">
        <v>2016</v>
      </c>
      <c r="D1488">
        <v>11</v>
      </c>
      <c r="E1488" s="4">
        <v>1147</v>
      </c>
      <c r="F1488" s="9">
        <v>0</v>
      </c>
      <c r="G1488" s="6">
        <v>15756</v>
      </c>
      <c r="H1488" s="9">
        <f t="shared" si="23"/>
        <v>1147</v>
      </c>
      <c r="I1488" s="6">
        <v>14891</v>
      </c>
      <c r="J1488" s="6">
        <f>VLOOKUP(Table1[[#This Row],[Province]],[1]Sheet1!$A$3:$F$37,5,FALSE)</f>
        <v>34019100</v>
      </c>
      <c r="K1488">
        <v>0</v>
      </c>
      <c r="L1488" s="4">
        <v>7.1509749999999999</v>
      </c>
      <c r="M1488" s="4">
        <v>110.140259</v>
      </c>
      <c r="N1488" s="13">
        <v>5.25</v>
      </c>
      <c r="P1488"/>
      <c r="Q1488" s="12"/>
      <c r="R1488" s="12"/>
    </row>
    <row r="1489" spans="1:18" x14ac:dyDescent="0.2">
      <c r="A1489">
        <v>13</v>
      </c>
      <c r="B1489" t="s">
        <v>10</v>
      </c>
      <c r="C1489">
        <v>2016</v>
      </c>
      <c r="D1489">
        <v>12</v>
      </c>
      <c r="E1489" s="4">
        <v>64</v>
      </c>
      <c r="F1489" s="9">
        <v>0</v>
      </c>
      <c r="G1489" s="6">
        <v>15769</v>
      </c>
      <c r="H1489" s="9">
        <f t="shared" si="23"/>
        <v>64</v>
      </c>
      <c r="I1489" s="6">
        <v>14491</v>
      </c>
      <c r="J1489" s="6">
        <f>VLOOKUP(Table1[[#This Row],[Province]],[1]Sheet1!$A$3:$F$37,5,FALSE)</f>
        <v>34019100</v>
      </c>
      <c r="K1489">
        <v>1</v>
      </c>
      <c r="L1489" s="4">
        <v>7.1509749999999999</v>
      </c>
      <c r="M1489" s="4">
        <v>110.140259</v>
      </c>
      <c r="N1489" s="13">
        <v>5.25</v>
      </c>
      <c r="P1489"/>
      <c r="Q1489" s="12"/>
      <c r="R1489" s="12"/>
    </row>
    <row r="1490" spans="1:18" x14ac:dyDescent="0.2">
      <c r="A1490">
        <v>13</v>
      </c>
      <c r="B1490" t="s">
        <v>10</v>
      </c>
      <c r="C1490">
        <v>2017</v>
      </c>
      <c r="D1490">
        <v>1</v>
      </c>
      <c r="E1490" s="4">
        <v>0</v>
      </c>
      <c r="F1490" s="9">
        <v>0</v>
      </c>
      <c r="G1490" s="6">
        <v>31086</v>
      </c>
      <c r="H1490" s="9">
        <f t="shared" si="23"/>
        <v>0</v>
      </c>
      <c r="I1490" s="6">
        <v>14491</v>
      </c>
      <c r="J1490" s="6">
        <f>VLOOKUP(Table1[[#This Row],[Province]],[1]Sheet1!$A$3:$F$37,5,FALSE)</f>
        <v>34019100</v>
      </c>
      <c r="K1490">
        <v>0</v>
      </c>
      <c r="L1490" s="4">
        <v>7.1509749999999999</v>
      </c>
      <c r="M1490" s="4">
        <v>110.140259</v>
      </c>
      <c r="N1490" s="13">
        <v>5.26</v>
      </c>
      <c r="P1490"/>
      <c r="Q1490" s="12"/>
      <c r="R1490" s="12"/>
    </row>
    <row r="1491" spans="1:18" x14ac:dyDescent="0.2">
      <c r="A1491">
        <v>13</v>
      </c>
      <c r="B1491" t="s">
        <v>10</v>
      </c>
      <c r="C1491">
        <v>2017</v>
      </c>
      <c r="D1491">
        <v>2</v>
      </c>
      <c r="E1491" s="4">
        <v>0</v>
      </c>
      <c r="F1491" s="9">
        <v>12.606999999999999</v>
      </c>
      <c r="G1491" s="6">
        <v>17858</v>
      </c>
      <c r="H1491" s="9">
        <f t="shared" si="23"/>
        <v>12.606999999999999</v>
      </c>
      <c r="I1491" s="6">
        <v>14591</v>
      </c>
      <c r="J1491" s="6">
        <f>VLOOKUP(Table1[[#This Row],[Province]],[1]Sheet1!$A$3:$F$37,5,FALSE)</f>
        <v>34019100</v>
      </c>
      <c r="K1491">
        <v>0</v>
      </c>
      <c r="L1491" s="4">
        <v>7.1509749999999999</v>
      </c>
      <c r="M1491" s="4">
        <v>110.140259</v>
      </c>
      <c r="N1491" s="13">
        <v>5.26</v>
      </c>
      <c r="P1491"/>
      <c r="Q1491" s="12"/>
      <c r="R1491" s="12"/>
    </row>
    <row r="1492" spans="1:18" x14ac:dyDescent="0.2">
      <c r="A1492">
        <v>13</v>
      </c>
      <c r="B1492" t="s">
        <v>10</v>
      </c>
      <c r="C1492">
        <v>2017</v>
      </c>
      <c r="D1492">
        <v>3</v>
      </c>
      <c r="E1492" s="4">
        <v>0</v>
      </c>
      <c r="F1492" s="9">
        <v>7.0990000000000002</v>
      </c>
      <c r="G1492" s="6">
        <v>13954</v>
      </c>
      <c r="H1492" s="9">
        <f t="shared" si="23"/>
        <v>7.0990000000000002</v>
      </c>
      <c r="I1492" s="6">
        <v>14554</v>
      </c>
      <c r="J1492" s="6">
        <f>VLOOKUP(Table1[[#This Row],[Province]],[1]Sheet1!$A$3:$F$37,5,FALSE)</f>
        <v>34019100</v>
      </c>
      <c r="K1492">
        <v>0</v>
      </c>
      <c r="L1492" s="4">
        <v>7.1509749999999999</v>
      </c>
      <c r="M1492" s="4">
        <v>110.140259</v>
      </c>
      <c r="N1492" s="13">
        <v>5.26</v>
      </c>
      <c r="P1492"/>
      <c r="Q1492" s="12"/>
      <c r="R1492" s="12"/>
    </row>
    <row r="1493" spans="1:18" x14ac:dyDescent="0.2">
      <c r="A1493">
        <v>13</v>
      </c>
      <c r="B1493" t="s">
        <v>10</v>
      </c>
      <c r="C1493">
        <v>2017</v>
      </c>
      <c r="D1493">
        <v>4</v>
      </c>
      <c r="E1493" s="4">
        <v>1464</v>
      </c>
      <c r="F1493" s="9">
        <v>14.198</v>
      </c>
      <c r="G1493" s="6">
        <v>9968</v>
      </c>
      <c r="H1493" s="9">
        <f t="shared" si="23"/>
        <v>1478.1980000000001</v>
      </c>
      <c r="I1493" s="6">
        <v>14639</v>
      </c>
      <c r="J1493" s="6">
        <f>VLOOKUP(Table1[[#This Row],[Province]],[1]Sheet1!$A$3:$F$37,5,FALSE)</f>
        <v>34019100</v>
      </c>
      <c r="K1493">
        <v>0</v>
      </c>
      <c r="L1493" s="4">
        <v>7.1509749999999999</v>
      </c>
      <c r="M1493" s="4">
        <v>110.140259</v>
      </c>
      <c r="N1493" s="13">
        <v>5.26</v>
      </c>
      <c r="P1493"/>
      <c r="Q1493" s="12"/>
      <c r="R1493" s="12"/>
    </row>
    <row r="1494" spans="1:18" x14ac:dyDescent="0.2">
      <c r="A1494">
        <v>13</v>
      </c>
      <c r="B1494" t="s">
        <v>10</v>
      </c>
      <c r="C1494">
        <v>2017</v>
      </c>
      <c r="D1494">
        <v>5</v>
      </c>
      <c r="E1494" s="4">
        <v>21281</v>
      </c>
      <c r="F1494" s="9">
        <v>0</v>
      </c>
      <c r="G1494" s="6">
        <v>9601</v>
      </c>
      <c r="H1494" s="9">
        <f t="shared" si="23"/>
        <v>21281</v>
      </c>
      <c r="I1494" s="6">
        <v>14425</v>
      </c>
      <c r="J1494" s="6">
        <f>VLOOKUP(Table1[[#This Row],[Province]],[1]Sheet1!$A$3:$F$37,5,FALSE)</f>
        <v>34019100</v>
      </c>
      <c r="K1494">
        <v>1</v>
      </c>
      <c r="L1494" s="4">
        <v>7.1509749999999999</v>
      </c>
      <c r="M1494" s="4">
        <v>110.140259</v>
      </c>
      <c r="N1494" s="13">
        <v>5.26</v>
      </c>
      <c r="P1494"/>
      <c r="Q1494" s="12"/>
      <c r="R1494" s="12"/>
    </row>
    <row r="1495" spans="1:18" x14ac:dyDescent="0.2">
      <c r="A1495">
        <v>13</v>
      </c>
      <c r="B1495" t="s">
        <v>10</v>
      </c>
      <c r="C1495">
        <v>2017</v>
      </c>
      <c r="D1495">
        <v>6</v>
      </c>
      <c r="E1495" s="4">
        <v>19671</v>
      </c>
      <c r="F1495" s="9">
        <v>0</v>
      </c>
      <c r="G1495" s="6">
        <v>17761</v>
      </c>
      <c r="H1495" s="9">
        <f t="shared" si="23"/>
        <v>19671</v>
      </c>
      <c r="I1495" s="6">
        <v>14443</v>
      </c>
      <c r="J1495" s="6">
        <f>VLOOKUP(Table1[[#This Row],[Province]],[1]Sheet1!$A$3:$F$37,5,FALSE)</f>
        <v>34019100</v>
      </c>
      <c r="K1495">
        <v>0</v>
      </c>
      <c r="L1495" s="4">
        <v>7.1509749999999999</v>
      </c>
      <c r="M1495" s="4">
        <v>110.140259</v>
      </c>
      <c r="N1495" s="13">
        <v>5.26</v>
      </c>
      <c r="P1495"/>
      <c r="Q1495" s="12"/>
      <c r="R1495" s="12"/>
    </row>
    <row r="1496" spans="1:18" x14ac:dyDescent="0.2">
      <c r="A1496">
        <v>13</v>
      </c>
      <c r="B1496" t="s">
        <v>10</v>
      </c>
      <c r="C1496">
        <v>2017</v>
      </c>
      <c r="D1496">
        <v>7</v>
      </c>
      <c r="E1496" s="4">
        <v>35309</v>
      </c>
      <c r="F1496" s="9">
        <v>21.611000000000001</v>
      </c>
      <c r="G1496" s="6">
        <v>19773</v>
      </c>
      <c r="H1496" s="9">
        <f t="shared" si="23"/>
        <v>35330.610999999997</v>
      </c>
      <c r="I1496" s="6">
        <v>14386</v>
      </c>
      <c r="J1496" s="6">
        <f>VLOOKUP(Table1[[#This Row],[Province]],[1]Sheet1!$A$3:$F$37,5,FALSE)</f>
        <v>34019100</v>
      </c>
      <c r="K1496">
        <v>0</v>
      </c>
      <c r="L1496" s="4">
        <v>7.1509749999999999</v>
      </c>
      <c r="M1496" s="4">
        <v>110.140259</v>
      </c>
      <c r="N1496" s="13">
        <v>5.26</v>
      </c>
      <c r="P1496"/>
      <c r="Q1496" s="12"/>
      <c r="R1496" s="12"/>
    </row>
    <row r="1497" spans="1:18" x14ac:dyDescent="0.2">
      <c r="A1497">
        <v>13</v>
      </c>
      <c r="B1497" t="s">
        <v>10</v>
      </c>
      <c r="C1497">
        <v>2017</v>
      </c>
      <c r="D1497">
        <v>8</v>
      </c>
      <c r="E1497" s="4">
        <v>38621</v>
      </c>
      <c r="F1497" s="9">
        <v>9.0180000000000007</v>
      </c>
      <c r="G1497" s="6">
        <v>37901</v>
      </c>
      <c r="H1497" s="9">
        <f t="shared" si="23"/>
        <v>38630.017999999996</v>
      </c>
      <c r="I1497" s="6">
        <v>14151</v>
      </c>
      <c r="J1497" s="6">
        <f>VLOOKUP(Table1[[#This Row],[Province]],[1]Sheet1!$A$3:$F$37,5,FALSE)</f>
        <v>34019100</v>
      </c>
      <c r="K1497">
        <v>0</v>
      </c>
      <c r="L1497" s="4">
        <v>7.1509749999999999</v>
      </c>
      <c r="M1497" s="4">
        <v>110.140259</v>
      </c>
      <c r="N1497" s="13">
        <v>5.26</v>
      </c>
      <c r="P1497"/>
      <c r="Q1497" s="12"/>
      <c r="R1497" s="12"/>
    </row>
    <row r="1498" spans="1:18" x14ac:dyDescent="0.2">
      <c r="A1498">
        <v>13</v>
      </c>
      <c r="B1498" t="s">
        <v>10</v>
      </c>
      <c r="C1498">
        <v>2017</v>
      </c>
      <c r="D1498">
        <v>9</v>
      </c>
      <c r="E1498" s="4">
        <v>18314</v>
      </c>
      <c r="F1498" s="9">
        <v>14.356</v>
      </c>
      <c r="G1498" s="6">
        <v>36727</v>
      </c>
      <c r="H1498" s="9">
        <f t="shared" si="23"/>
        <v>18328.356</v>
      </c>
      <c r="I1498" s="6">
        <v>14078</v>
      </c>
      <c r="J1498" s="6">
        <f>VLOOKUP(Table1[[#This Row],[Province]],[1]Sheet1!$A$3:$F$37,5,FALSE)</f>
        <v>34019100</v>
      </c>
      <c r="K1498">
        <v>0</v>
      </c>
      <c r="L1498" s="4">
        <v>7.1509749999999999</v>
      </c>
      <c r="M1498" s="4">
        <v>110.140259</v>
      </c>
      <c r="N1498" s="13">
        <v>5.26</v>
      </c>
      <c r="P1498"/>
      <c r="Q1498" s="12"/>
      <c r="R1498" s="12"/>
    </row>
    <row r="1499" spans="1:18" x14ac:dyDescent="0.2">
      <c r="A1499">
        <v>13</v>
      </c>
      <c r="B1499" t="s">
        <v>10</v>
      </c>
      <c r="C1499">
        <v>2017</v>
      </c>
      <c r="D1499">
        <v>10</v>
      </c>
      <c r="E1499" s="4">
        <v>165</v>
      </c>
      <c r="F1499" s="9">
        <v>0</v>
      </c>
      <c r="G1499" s="6">
        <v>47673</v>
      </c>
      <c r="H1499" s="9">
        <f t="shared" si="23"/>
        <v>165</v>
      </c>
      <c r="I1499" s="6">
        <v>13733</v>
      </c>
      <c r="J1499" s="6">
        <f>VLOOKUP(Table1[[#This Row],[Province]],[1]Sheet1!$A$3:$F$37,5,FALSE)</f>
        <v>34019100</v>
      </c>
      <c r="K1499">
        <v>0</v>
      </c>
      <c r="L1499" s="4">
        <v>7.1509749999999999</v>
      </c>
      <c r="M1499" s="4">
        <v>110.140259</v>
      </c>
      <c r="N1499" s="13">
        <v>5.26</v>
      </c>
      <c r="P1499"/>
      <c r="Q1499" s="12"/>
      <c r="R1499" s="12"/>
    </row>
    <row r="1500" spans="1:18" x14ac:dyDescent="0.2">
      <c r="A1500">
        <v>13</v>
      </c>
      <c r="B1500" t="s">
        <v>10</v>
      </c>
      <c r="C1500">
        <v>2017</v>
      </c>
      <c r="D1500">
        <v>11</v>
      </c>
      <c r="E1500" s="4">
        <v>0</v>
      </c>
      <c r="F1500" s="9">
        <v>3.0529999999999999</v>
      </c>
      <c r="G1500" s="6">
        <v>12457</v>
      </c>
      <c r="H1500" s="9">
        <f t="shared" si="23"/>
        <v>3.0529999999999999</v>
      </c>
      <c r="I1500" s="6">
        <v>13787</v>
      </c>
      <c r="J1500" s="6">
        <f>VLOOKUP(Table1[[#This Row],[Province]],[1]Sheet1!$A$3:$F$37,5,FALSE)</f>
        <v>34019100</v>
      </c>
      <c r="K1500">
        <v>0</v>
      </c>
      <c r="L1500" s="4">
        <v>7.1509749999999999</v>
      </c>
      <c r="M1500" s="4">
        <v>110.140259</v>
      </c>
      <c r="N1500" s="13">
        <v>5.26</v>
      </c>
      <c r="P1500"/>
      <c r="Q1500" s="12"/>
      <c r="R1500" s="12"/>
    </row>
    <row r="1501" spans="1:18" x14ac:dyDescent="0.2">
      <c r="A1501">
        <v>13</v>
      </c>
      <c r="B1501" t="s">
        <v>10</v>
      </c>
      <c r="C1501">
        <v>2017</v>
      </c>
      <c r="D1501">
        <v>12</v>
      </c>
      <c r="E1501" s="4">
        <v>0</v>
      </c>
      <c r="F1501" s="9">
        <v>6.84</v>
      </c>
      <c r="G1501" s="6">
        <v>23208</v>
      </c>
      <c r="H1501" s="9">
        <f t="shared" si="23"/>
        <v>6.84</v>
      </c>
      <c r="I1501" s="6">
        <v>13697</v>
      </c>
      <c r="J1501" s="6">
        <f>VLOOKUP(Table1[[#This Row],[Province]],[1]Sheet1!$A$3:$F$37,5,FALSE)</f>
        <v>34019100</v>
      </c>
      <c r="K1501">
        <v>1</v>
      </c>
      <c r="L1501" s="4">
        <v>7.1509749999999999</v>
      </c>
      <c r="M1501" s="4">
        <v>110.140259</v>
      </c>
      <c r="N1501" s="13">
        <v>5.26</v>
      </c>
      <c r="P1501"/>
      <c r="Q1501" s="12"/>
      <c r="R1501" s="12"/>
    </row>
    <row r="1502" spans="1:18" x14ac:dyDescent="0.2">
      <c r="A1502">
        <v>13</v>
      </c>
      <c r="B1502" t="s">
        <v>10</v>
      </c>
      <c r="C1502">
        <v>2018</v>
      </c>
      <c r="D1502">
        <v>1</v>
      </c>
      <c r="E1502" s="4">
        <v>0</v>
      </c>
      <c r="F1502" s="9">
        <v>14.084</v>
      </c>
      <c r="G1502" s="6">
        <v>20154</v>
      </c>
      <c r="H1502" s="9">
        <f t="shared" si="23"/>
        <v>14.084</v>
      </c>
      <c r="I1502" s="6">
        <v>12000</v>
      </c>
      <c r="J1502" s="6">
        <f>VLOOKUP(Table1[[#This Row],[Province]],[1]Sheet1!$A$3:$F$37,5,FALSE)</f>
        <v>34019100</v>
      </c>
      <c r="K1502">
        <v>0</v>
      </c>
      <c r="L1502" s="4">
        <v>7.1509749999999999</v>
      </c>
      <c r="M1502" s="4">
        <v>110.140259</v>
      </c>
      <c r="N1502" s="13">
        <v>5.3</v>
      </c>
      <c r="P1502"/>
      <c r="Q1502" s="12"/>
      <c r="R1502" s="12"/>
    </row>
    <row r="1503" spans="1:18" x14ac:dyDescent="0.2">
      <c r="A1503">
        <v>13</v>
      </c>
      <c r="B1503" t="s">
        <v>10</v>
      </c>
      <c r="C1503">
        <v>2018</v>
      </c>
      <c r="D1503">
        <v>2</v>
      </c>
      <c r="E1503" s="4">
        <v>0</v>
      </c>
      <c r="F1503" s="9">
        <v>1.526</v>
      </c>
      <c r="G1503" s="6">
        <v>28232</v>
      </c>
      <c r="H1503" s="9">
        <f t="shared" si="23"/>
        <v>1.526</v>
      </c>
      <c r="I1503" s="6">
        <v>12000</v>
      </c>
      <c r="J1503" s="6">
        <f>VLOOKUP(Table1[[#This Row],[Province]],[1]Sheet1!$A$3:$F$37,5,FALSE)</f>
        <v>34019100</v>
      </c>
      <c r="K1503">
        <v>0</v>
      </c>
      <c r="L1503" s="4">
        <v>7.1509749999999999</v>
      </c>
      <c r="M1503" s="4">
        <v>110.140259</v>
      </c>
      <c r="N1503" s="13">
        <v>5.3</v>
      </c>
      <c r="P1503"/>
      <c r="Q1503" s="12"/>
      <c r="R1503" s="12"/>
    </row>
    <row r="1504" spans="1:18" x14ac:dyDescent="0.2">
      <c r="A1504">
        <v>13</v>
      </c>
      <c r="B1504" t="s">
        <v>10</v>
      </c>
      <c r="C1504">
        <v>2018</v>
      </c>
      <c r="D1504">
        <v>3</v>
      </c>
      <c r="E1504" s="4">
        <v>0</v>
      </c>
      <c r="F1504" s="9">
        <v>0</v>
      </c>
      <c r="G1504" s="6">
        <v>41277</v>
      </c>
      <c r="H1504" s="9">
        <f t="shared" si="23"/>
        <v>0</v>
      </c>
      <c r="I1504" s="6">
        <v>11893</v>
      </c>
      <c r="J1504" s="6">
        <f>VLOOKUP(Table1[[#This Row],[Province]],[1]Sheet1!$A$3:$F$37,5,FALSE)</f>
        <v>34019100</v>
      </c>
      <c r="K1504">
        <v>0</v>
      </c>
      <c r="L1504" s="4">
        <v>7.1509749999999999</v>
      </c>
      <c r="M1504" s="4">
        <v>110.140259</v>
      </c>
      <c r="N1504" s="13">
        <v>5.3</v>
      </c>
      <c r="P1504"/>
      <c r="Q1504" s="12"/>
      <c r="R1504" s="12"/>
    </row>
    <row r="1505" spans="1:18" x14ac:dyDescent="0.2">
      <c r="A1505">
        <v>13</v>
      </c>
      <c r="B1505" t="s">
        <v>10</v>
      </c>
      <c r="C1505">
        <v>2018</v>
      </c>
      <c r="D1505">
        <v>4</v>
      </c>
      <c r="E1505" s="4">
        <v>3570</v>
      </c>
      <c r="F1505" s="9">
        <v>20.11</v>
      </c>
      <c r="G1505" s="6">
        <v>25129</v>
      </c>
      <c r="H1505" s="9">
        <f t="shared" si="23"/>
        <v>3590.11</v>
      </c>
      <c r="I1505" s="6">
        <v>12000</v>
      </c>
      <c r="J1505" s="6">
        <f>VLOOKUP(Table1[[#This Row],[Province]],[1]Sheet1!$A$3:$F$37,5,FALSE)</f>
        <v>34019100</v>
      </c>
      <c r="K1505">
        <v>0</v>
      </c>
      <c r="L1505" s="4">
        <v>7.1509749999999999</v>
      </c>
      <c r="M1505" s="4">
        <v>110.140259</v>
      </c>
      <c r="N1505" s="13">
        <v>5.3</v>
      </c>
      <c r="P1505"/>
      <c r="Q1505" s="12"/>
      <c r="R1505" s="12"/>
    </row>
    <row r="1506" spans="1:18" x14ac:dyDescent="0.2">
      <c r="A1506">
        <v>13</v>
      </c>
      <c r="B1506" t="s">
        <v>10</v>
      </c>
      <c r="C1506">
        <v>2018</v>
      </c>
      <c r="D1506">
        <v>5</v>
      </c>
      <c r="E1506" s="4">
        <v>29770</v>
      </c>
      <c r="F1506" s="9">
        <v>21.937999999999999</v>
      </c>
      <c r="G1506" s="6">
        <v>25116</v>
      </c>
      <c r="H1506" s="9">
        <f t="shared" si="23"/>
        <v>29791.937999999998</v>
      </c>
      <c r="I1506" s="6">
        <v>11607</v>
      </c>
      <c r="J1506" s="6">
        <f>VLOOKUP(Table1[[#This Row],[Province]],[1]Sheet1!$A$3:$F$37,5,FALSE)</f>
        <v>34019100</v>
      </c>
      <c r="K1506">
        <v>1</v>
      </c>
      <c r="L1506" s="4">
        <v>7.1509749999999999</v>
      </c>
      <c r="M1506" s="4">
        <v>110.140259</v>
      </c>
      <c r="N1506" s="13">
        <v>5.3</v>
      </c>
      <c r="P1506"/>
      <c r="Q1506" s="12"/>
      <c r="R1506" s="12"/>
    </row>
    <row r="1507" spans="1:18" x14ac:dyDescent="0.2">
      <c r="A1507">
        <v>13</v>
      </c>
      <c r="B1507" t="s">
        <v>10</v>
      </c>
      <c r="C1507">
        <v>2018</v>
      </c>
      <c r="D1507">
        <v>6</v>
      </c>
      <c r="E1507" s="4">
        <v>40088</v>
      </c>
      <c r="F1507" s="9">
        <v>0</v>
      </c>
      <c r="G1507" s="6">
        <v>19123</v>
      </c>
      <c r="H1507" s="9">
        <f t="shared" si="23"/>
        <v>40088</v>
      </c>
      <c r="I1507" s="6">
        <v>11917</v>
      </c>
      <c r="J1507" s="6">
        <f>VLOOKUP(Table1[[#This Row],[Province]],[1]Sheet1!$A$3:$F$37,5,FALSE)</f>
        <v>34019100</v>
      </c>
      <c r="K1507">
        <v>0</v>
      </c>
      <c r="L1507" s="4">
        <v>7.1509749999999999</v>
      </c>
      <c r="M1507" s="4">
        <v>110.140259</v>
      </c>
      <c r="N1507" s="13">
        <v>5.3</v>
      </c>
      <c r="P1507"/>
      <c r="Q1507" s="12"/>
      <c r="R1507" s="12"/>
    </row>
    <row r="1508" spans="1:18" x14ac:dyDescent="0.2">
      <c r="A1508">
        <v>13</v>
      </c>
      <c r="B1508" t="s">
        <v>10</v>
      </c>
      <c r="C1508">
        <v>2018</v>
      </c>
      <c r="D1508">
        <v>7</v>
      </c>
      <c r="E1508" s="4">
        <v>45726</v>
      </c>
      <c r="F1508" s="9">
        <v>18.454000000000001</v>
      </c>
      <c r="G1508" s="6">
        <v>30207</v>
      </c>
      <c r="H1508" s="9">
        <f t="shared" si="23"/>
        <v>45744.453999999998</v>
      </c>
      <c r="I1508" s="6">
        <v>12000</v>
      </c>
      <c r="J1508" s="6">
        <f>VLOOKUP(Table1[[#This Row],[Province]],[1]Sheet1!$A$3:$F$37,5,FALSE)</f>
        <v>34019100</v>
      </c>
      <c r="K1508">
        <v>0</v>
      </c>
      <c r="L1508" s="4">
        <v>7.1509749999999999</v>
      </c>
      <c r="M1508" s="4">
        <v>110.140259</v>
      </c>
      <c r="N1508" s="13">
        <v>5.3</v>
      </c>
      <c r="P1508"/>
      <c r="Q1508" s="12"/>
      <c r="R1508" s="12"/>
    </row>
    <row r="1509" spans="1:18" x14ac:dyDescent="0.2">
      <c r="A1509">
        <v>13</v>
      </c>
      <c r="B1509" t="s">
        <v>10</v>
      </c>
      <c r="C1509">
        <v>2018</v>
      </c>
      <c r="D1509">
        <v>8</v>
      </c>
      <c r="E1509" s="4">
        <v>35902</v>
      </c>
      <c r="F1509" s="9">
        <v>3.0529999999999999</v>
      </c>
      <c r="G1509" s="6">
        <v>17098</v>
      </c>
      <c r="H1509" s="9">
        <f t="shared" si="23"/>
        <v>35905.053</v>
      </c>
      <c r="I1509" s="6">
        <v>12000</v>
      </c>
      <c r="J1509" s="6">
        <f>VLOOKUP(Table1[[#This Row],[Province]],[1]Sheet1!$A$3:$F$37,5,FALSE)</f>
        <v>34019100</v>
      </c>
      <c r="K1509">
        <v>0</v>
      </c>
      <c r="L1509" s="4">
        <v>7.1509749999999999</v>
      </c>
      <c r="M1509" s="4">
        <v>110.140259</v>
      </c>
      <c r="N1509" s="13">
        <v>5.3</v>
      </c>
      <c r="P1509"/>
      <c r="Q1509" s="12"/>
      <c r="R1509" s="12"/>
    </row>
    <row r="1510" spans="1:18" x14ac:dyDescent="0.2">
      <c r="A1510">
        <v>13</v>
      </c>
      <c r="B1510" t="s">
        <v>10</v>
      </c>
      <c r="C1510">
        <v>2018</v>
      </c>
      <c r="D1510">
        <v>9</v>
      </c>
      <c r="E1510" s="4">
        <v>13397</v>
      </c>
      <c r="F1510" s="9">
        <v>0</v>
      </c>
      <c r="G1510" s="6">
        <v>20899</v>
      </c>
      <c r="H1510" s="9">
        <f t="shared" si="23"/>
        <v>13397</v>
      </c>
      <c r="I1510" s="6">
        <v>11500</v>
      </c>
      <c r="J1510" s="6">
        <f>VLOOKUP(Table1[[#This Row],[Province]],[1]Sheet1!$A$3:$F$37,5,FALSE)</f>
        <v>34019100</v>
      </c>
      <c r="K1510">
        <v>0</v>
      </c>
      <c r="L1510" s="4">
        <v>7.1509749999999999</v>
      </c>
      <c r="M1510" s="4">
        <v>110.140259</v>
      </c>
      <c r="N1510" s="13">
        <v>5.3</v>
      </c>
      <c r="P1510"/>
      <c r="Q1510" s="12"/>
      <c r="R1510" s="12"/>
    </row>
    <row r="1511" spans="1:18" x14ac:dyDescent="0.2">
      <c r="A1511">
        <v>13</v>
      </c>
      <c r="B1511" t="s">
        <v>10</v>
      </c>
      <c r="C1511">
        <v>2018</v>
      </c>
      <c r="D1511">
        <v>10</v>
      </c>
      <c r="E1511" s="4">
        <v>1410</v>
      </c>
      <c r="F1511" s="9">
        <v>13.669</v>
      </c>
      <c r="G1511" s="6">
        <v>34143</v>
      </c>
      <c r="H1511" s="9">
        <f t="shared" si="23"/>
        <v>1423.6690000000001</v>
      </c>
      <c r="I1511" s="6">
        <v>11938</v>
      </c>
      <c r="J1511" s="6">
        <f>VLOOKUP(Table1[[#This Row],[Province]],[1]Sheet1!$A$3:$F$37,5,FALSE)</f>
        <v>34019100</v>
      </c>
      <c r="K1511">
        <v>0</v>
      </c>
      <c r="L1511" s="4">
        <v>7.1509749999999999</v>
      </c>
      <c r="M1511" s="4">
        <v>110.140259</v>
      </c>
      <c r="N1511" s="13">
        <v>5.3</v>
      </c>
      <c r="P1511"/>
      <c r="Q1511" s="12"/>
      <c r="R1511" s="12"/>
    </row>
    <row r="1512" spans="1:18" x14ac:dyDescent="0.2">
      <c r="A1512">
        <v>13</v>
      </c>
      <c r="B1512" t="s">
        <v>10</v>
      </c>
      <c r="C1512">
        <v>2018</v>
      </c>
      <c r="D1512">
        <v>11</v>
      </c>
      <c r="E1512" s="4">
        <v>0</v>
      </c>
      <c r="F1512" s="9">
        <v>0</v>
      </c>
      <c r="G1512" s="6">
        <v>19091</v>
      </c>
      <c r="H1512" s="9">
        <f t="shared" si="23"/>
        <v>0</v>
      </c>
      <c r="I1512" s="6">
        <v>11158</v>
      </c>
      <c r="J1512" s="6">
        <f>VLOOKUP(Table1[[#This Row],[Province]],[1]Sheet1!$A$3:$F$37,5,FALSE)</f>
        <v>34019100</v>
      </c>
      <c r="K1512">
        <v>0</v>
      </c>
      <c r="L1512" s="4">
        <v>7.1509749999999999</v>
      </c>
      <c r="M1512" s="4">
        <v>110.140259</v>
      </c>
      <c r="N1512" s="13">
        <v>5.3</v>
      </c>
      <c r="P1512"/>
      <c r="Q1512" s="12"/>
      <c r="R1512" s="12"/>
    </row>
    <row r="1513" spans="1:18" x14ac:dyDescent="0.2">
      <c r="A1513">
        <v>13</v>
      </c>
      <c r="B1513" t="s">
        <v>10</v>
      </c>
      <c r="C1513">
        <v>2018</v>
      </c>
      <c r="D1513">
        <v>12</v>
      </c>
      <c r="E1513" s="4">
        <v>0</v>
      </c>
      <c r="F1513" s="9">
        <v>1.526</v>
      </c>
      <c r="G1513" s="6">
        <v>23899</v>
      </c>
      <c r="H1513" s="9">
        <f t="shared" si="23"/>
        <v>1.526</v>
      </c>
      <c r="I1513" s="6">
        <v>10088</v>
      </c>
      <c r="J1513" s="6">
        <f>VLOOKUP(Table1[[#This Row],[Province]],[1]Sheet1!$A$3:$F$37,5,FALSE)</f>
        <v>34019100</v>
      </c>
      <c r="K1513">
        <v>1</v>
      </c>
      <c r="L1513" s="4">
        <v>7.1509749999999999</v>
      </c>
      <c r="M1513" s="4">
        <v>110.140259</v>
      </c>
      <c r="N1513" s="13">
        <v>5.3</v>
      </c>
      <c r="P1513"/>
      <c r="Q1513" s="12"/>
      <c r="R1513" s="12"/>
    </row>
    <row r="1514" spans="1:18" x14ac:dyDescent="0.2">
      <c r="A1514">
        <v>13</v>
      </c>
      <c r="B1514" t="s">
        <v>10</v>
      </c>
      <c r="C1514">
        <v>2019</v>
      </c>
      <c r="D1514">
        <v>1</v>
      </c>
      <c r="E1514" s="4">
        <v>0</v>
      </c>
      <c r="F1514" s="9">
        <v>6.8070000000000004</v>
      </c>
      <c r="G1514" s="6">
        <v>31252</v>
      </c>
      <c r="H1514" s="9">
        <f t="shared" si="23"/>
        <v>6.8070000000000004</v>
      </c>
      <c r="I1514" s="6">
        <v>10500</v>
      </c>
      <c r="J1514" s="6">
        <f>VLOOKUP(Table1[[#This Row],[Province]],[1]Sheet1!$A$3:$F$37,5,FALSE)</f>
        <v>34019100</v>
      </c>
      <c r="K1514">
        <v>0</v>
      </c>
      <c r="L1514" s="4">
        <v>7.1509749999999999</v>
      </c>
      <c r="M1514" s="4">
        <v>110.140259</v>
      </c>
      <c r="N1514" s="13">
        <v>5.36</v>
      </c>
      <c r="P1514"/>
      <c r="Q1514" s="12"/>
      <c r="R1514" s="12"/>
    </row>
    <row r="1515" spans="1:18" x14ac:dyDescent="0.2">
      <c r="A1515">
        <v>13</v>
      </c>
      <c r="B1515" t="s">
        <v>10</v>
      </c>
      <c r="C1515">
        <v>2019</v>
      </c>
      <c r="D1515">
        <v>2</v>
      </c>
      <c r="E1515" s="4">
        <v>0</v>
      </c>
      <c r="F1515" s="9">
        <v>0</v>
      </c>
      <c r="G1515" s="6">
        <v>20426</v>
      </c>
      <c r="H1515" s="9">
        <f t="shared" si="23"/>
        <v>0</v>
      </c>
      <c r="I1515" s="6">
        <v>11029</v>
      </c>
      <c r="J1515" s="6">
        <f>VLOOKUP(Table1[[#This Row],[Province]],[1]Sheet1!$A$3:$F$37,5,FALSE)</f>
        <v>34019100</v>
      </c>
      <c r="K1515">
        <v>0</v>
      </c>
      <c r="L1515" s="4">
        <v>7.1509749999999999</v>
      </c>
      <c r="M1515" s="4">
        <v>110.140259</v>
      </c>
      <c r="N1515" s="13">
        <v>5.36</v>
      </c>
      <c r="P1515"/>
      <c r="Q1515" s="12"/>
      <c r="R1515" s="12"/>
    </row>
    <row r="1516" spans="1:18" x14ac:dyDescent="0.2">
      <c r="A1516">
        <v>13</v>
      </c>
      <c r="B1516" t="s">
        <v>10</v>
      </c>
      <c r="C1516">
        <v>2019</v>
      </c>
      <c r="D1516">
        <v>3</v>
      </c>
      <c r="E1516" s="4">
        <v>0</v>
      </c>
      <c r="F1516" s="9">
        <v>0</v>
      </c>
      <c r="G1516" s="6">
        <v>51812</v>
      </c>
      <c r="H1516" s="9">
        <f t="shared" si="23"/>
        <v>0</v>
      </c>
      <c r="I1516" s="6">
        <v>11673</v>
      </c>
      <c r="J1516" s="6">
        <f>VLOOKUP(Table1[[#This Row],[Province]],[1]Sheet1!$A$3:$F$37,5,FALSE)</f>
        <v>34019100</v>
      </c>
      <c r="K1516">
        <v>0</v>
      </c>
      <c r="L1516" s="4">
        <v>7.1509749999999999</v>
      </c>
      <c r="M1516" s="4">
        <v>110.140259</v>
      </c>
      <c r="N1516" s="13">
        <v>5.36</v>
      </c>
      <c r="P1516"/>
      <c r="Q1516" s="12"/>
      <c r="R1516" s="12"/>
    </row>
    <row r="1517" spans="1:18" x14ac:dyDescent="0.2">
      <c r="A1517">
        <v>13</v>
      </c>
      <c r="B1517" t="s">
        <v>10</v>
      </c>
      <c r="C1517">
        <v>2019</v>
      </c>
      <c r="D1517">
        <v>4</v>
      </c>
      <c r="E1517" s="4">
        <v>0</v>
      </c>
      <c r="F1517" s="9">
        <v>16.402999999999999</v>
      </c>
      <c r="G1517" s="6">
        <v>19908</v>
      </c>
      <c r="H1517" s="9">
        <f t="shared" si="23"/>
        <v>16.402999999999999</v>
      </c>
      <c r="I1517" s="6">
        <v>11799</v>
      </c>
      <c r="J1517" s="6">
        <f>VLOOKUP(Table1[[#This Row],[Province]],[1]Sheet1!$A$3:$F$37,5,FALSE)</f>
        <v>34019100</v>
      </c>
      <c r="K1517">
        <v>0</v>
      </c>
      <c r="L1517" s="4">
        <v>7.1509749999999999</v>
      </c>
      <c r="M1517" s="4">
        <v>110.140259</v>
      </c>
      <c r="N1517" s="13">
        <v>5.36</v>
      </c>
      <c r="P1517"/>
      <c r="Q1517" s="12"/>
      <c r="R1517" s="12"/>
    </row>
    <row r="1518" spans="1:18" x14ac:dyDescent="0.2">
      <c r="A1518">
        <v>13</v>
      </c>
      <c r="B1518" t="s">
        <v>10</v>
      </c>
      <c r="C1518">
        <v>2019</v>
      </c>
      <c r="D1518">
        <v>5</v>
      </c>
      <c r="E1518" s="4">
        <v>15736</v>
      </c>
      <c r="F1518" s="9">
        <v>6.9050000000000002</v>
      </c>
      <c r="G1518" s="6">
        <v>42964</v>
      </c>
      <c r="H1518" s="9">
        <f t="shared" si="23"/>
        <v>15742.905000000001</v>
      </c>
      <c r="I1518" s="6">
        <v>12336</v>
      </c>
      <c r="J1518" s="6">
        <f>VLOOKUP(Table1[[#This Row],[Province]],[1]Sheet1!$A$3:$F$37,5,FALSE)</f>
        <v>34019100</v>
      </c>
      <c r="K1518">
        <v>1</v>
      </c>
      <c r="L1518" s="4">
        <v>7.1509749999999999</v>
      </c>
      <c r="M1518" s="4">
        <v>110.140259</v>
      </c>
      <c r="N1518" s="13">
        <v>5.36</v>
      </c>
      <c r="P1518"/>
      <c r="Q1518" s="12"/>
      <c r="R1518" s="12"/>
    </row>
    <row r="1519" spans="1:18" x14ac:dyDescent="0.2">
      <c r="A1519">
        <v>13</v>
      </c>
      <c r="B1519" t="s">
        <v>10</v>
      </c>
      <c r="C1519">
        <v>2019</v>
      </c>
      <c r="D1519">
        <v>6</v>
      </c>
      <c r="E1519" s="4">
        <v>17227</v>
      </c>
      <c r="F1519" s="9">
        <v>13.699</v>
      </c>
      <c r="G1519" s="6">
        <v>20541</v>
      </c>
      <c r="H1519" s="9">
        <f t="shared" si="23"/>
        <v>17240.699000000001</v>
      </c>
      <c r="I1519" s="6">
        <v>12481</v>
      </c>
      <c r="J1519" s="6">
        <f>VLOOKUP(Table1[[#This Row],[Province]],[1]Sheet1!$A$3:$F$37,5,FALSE)</f>
        <v>34019100</v>
      </c>
      <c r="K1519">
        <v>0</v>
      </c>
      <c r="L1519" s="4">
        <v>7.1509749999999999</v>
      </c>
      <c r="M1519" s="4">
        <v>110.140259</v>
      </c>
      <c r="N1519" s="13">
        <v>5.36</v>
      </c>
      <c r="P1519"/>
      <c r="Q1519" s="12"/>
      <c r="R1519" s="12"/>
    </row>
    <row r="1520" spans="1:18" x14ac:dyDescent="0.2">
      <c r="A1520">
        <v>13</v>
      </c>
      <c r="B1520" t="s">
        <v>10</v>
      </c>
      <c r="C1520">
        <v>2019</v>
      </c>
      <c r="D1520">
        <v>7</v>
      </c>
      <c r="E1520" s="4">
        <v>79055</v>
      </c>
      <c r="F1520" s="9">
        <v>0</v>
      </c>
      <c r="G1520" s="6">
        <v>38917</v>
      </c>
      <c r="H1520" s="9">
        <f t="shared" si="23"/>
        <v>79055</v>
      </c>
      <c r="I1520" s="6">
        <v>12167</v>
      </c>
      <c r="J1520" s="6">
        <f>VLOOKUP(Table1[[#This Row],[Province]],[1]Sheet1!$A$3:$F$37,5,FALSE)</f>
        <v>34019100</v>
      </c>
      <c r="K1520">
        <v>0</v>
      </c>
      <c r="L1520" s="4">
        <v>7.1509749999999999</v>
      </c>
      <c r="M1520" s="4">
        <v>110.140259</v>
      </c>
      <c r="N1520" s="13">
        <v>5.36</v>
      </c>
      <c r="P1520"/>
      <c r="Q1520" s="12"/>
      <c r="R1520" s="12"/>
    </row>
    <row r="1521" spans="1:18" x14ac:dyDescent="0.2">
      <c r="A1521">
        <v>13</v>
      </c>
      <c r="B1521" t="s">
        <v>10</v>
      </c>
      <c r="C1521">
        <v>2019</v>
      </c>
      <c r="D1521">
        <v>8</v>
      </c>
      <c r="E1521" s="4">
        <v>46403</v>
      </c>
      <c r="F1521" s="9">
        <v>0</v>
      </c>
      <c r="G1521" s="6">
        <v>28086</v>
      </c>
      <c r="H1521" s="9">
        <f t="shared" si="23"/>
        <v>46403</v>
      </c>
      <c r="I1521" s="6">
        <v>11776</v>
      </c>
      <c r="J1521" s="6">
        <f>VLOOKUP(Table1[[#This Row],[Province]],[1]Sheet1!$A$3:$F$37,5,FALSE)</f>
        <v>34019100</v>
      </c>
      <c r="K1521">
        <v>0</v>
      </c>
      <c r="L1521" s="4">
        <v>7.1509749999999999</v>
      </c>
      <c r="M1521" s="4">
        <v>110.140259</v>
      </c>
      <c r="N1521" s="13">
        <v>5.36</v>
      </c>
      <c r="P1521"/>
      <c r="Q1521" s="12"/>
      <c r="R1521" s="12"/>
    </row>
    <row r="1522" spans="1:18" x14ac:dyDescent="0.2">
      <c r="A1522">
        <v>13</v>
      </c>
      <c r="B1522" t="s">
        <v>10</v>
      </c>
      <c r="C1522">
        <v>2019</v>
      </c>
      <c r="D1522">
        <v>9</v>
      </c>
      <c r="E1522" s="4">
        <v>24317</v>
      </c>
      <c r="F1522" s="9">
        <v>2E-3</v>
      </c>
      <c r="G1522" s="6">
        <v>16624</v>
      </c>
      <c r="H1522" s="9">
        <f t="shared" si="23"/>
        <v>24317.002</v>
      </c>
      <c r="I1522" s="6">
        <v>11991</v>
      </c>
      <c r="J1522" s="6">
        <f>VLOOKUP(Table1[[#This Row],[Province]],[1]Sheet1!$A$3:$F$37,5,FALSE)</f>
        <v>34019100</v>
      </c>
      <c r="K1522">
        <v>0</v>
      </c>
      <c r="L1522" s="4">
        <v>7.1509749999999999</v>
      </c>
      <c r="M1522" s="4">
        <v>110.140259</v>
      </c>
      <c r="N1522" s="13">
        <v>5.36</v>
      </c>
      <c r="P1522"/>
      <c r="Q1522" s="12"/>
      <c r="R1522" s="12"/>
    </row>
    <row r="1523" spans="1:18" x14ac:dyDescent="0.2">
      <c r="A1523">
        <v>13</v>
      </c>
      <c r="B1523" t="s">
        <v>10</v>
      </c>
      <c r="C1523">
        <v>2019</v>
      </c>
      <c r="D1523">
        <v>10</v>
      </c>
      <c r="E1523" s="4">
        <v>0</v>
      </c>
      <c r="F1523" s="9">
        <v>0</v>
      </c>
      <c r="G1523" s="6">
        <v>14498</v>
      </c>
      <c r="H1523" s="9">
        <f t="shared" si="23"/>
        <v>0</v>
      </c>
      <c r="I1523" s="6">
        <v>12364</v>
      </c>
      <c r="J1523" s="6">
        <f>VLOOKUP(Table1[[#This Row],[Province]],[1]Sheet1!$A$3:$F$37,5,FALSE)</f>
        <v>34019100</v>
      </c>
      <c r="K1523">
        <v>0</v>
      </c>
      <c r="L1523" s="4">
        <v>7.1509749999999999</v>
      </c>
      <c r="M1523" s="4">
        <v>110.140259</v>
      </c>
      <c r="N1523" s="13">
        <v>5.36</v>
      </c>
      <c r="P1523"/>
      <c r="Q1523" s="12"/>
      <c r="R1523" s="12"/>
    </row>
    <row r="1524" spans="1:18" x14ac:dyDescent="0.2">
      <c r="A1524">
        <v>13</v>
      </c>
      <c r="B1524" t="s">
        <v>10</v>
      </c>
      <c r="C1524">
        <v>2019</v>
      </c>
      <c r="D1524">
        <v>11</v>
      </c>
      <c r="E1524" s="4">
        <v>0</v>
      </c>
      <c r="F1524" s="9">
        <v>0</v>
      </c>
      <c r="G1524" s="6">
        <v>9180</v>
      </c>
      <c r="H1524" s="9">
        <f t="shared" si="23"/>
        <v>0</v>
      </c>
      <c r="I1524" s="6">
        <v>12489</v>
      </c>
      <c r="J1524" s="6">
        <f>VLOOKUP(Table1[[#This Row],[Province]],[1]Sheet1!$A$3:$F$37,5,FALSE)</f>
        <v>34019100</v>
      </c>
      <c r="K1524">
        <v>0</v>
      </c>
      <c r="L1524" s="4">
        <v>7.1509749999999999</v>
      </c>
      <c r="M1524" s="4">
        <v>110.140259</v>
      </c>
      <c r="N1524" s="13">
        <v>5.36</v>
      </c>
      <c r="P1524"/>
      <c r="Q1524" s="12"/>
      <c r="R1524" s="12"/>
    </row>
    <row r="1525" spans="1:18" x14ac:dyDescent="0.2">
      <c r="A1525">
        <v>13</v>
      </c>
      <c r="B1525" t="s">
        <v>10</v>
      </c>
      <c r="C1525">
        <v>2019</v>
      </c>
      <c r="D1525">
        <v>12</v>
      </c>
      <c r="E1525" s="4">
        <v>0</v>
      </c>
      <c r="F1525" s="9">
        <v>4.4720000000000004</v>
      </c>
      <c r="G1525" s="6">
        <v>2849</v>
      </c>
      <c r="H1525" s="9">
        <f t="shared" si="23"/>
        <v>4.4720000000000004</v>
      </c>
      <c r="I1525" s="6">
        <v>12717</v>
      </c>
      <c r="J1525" s="6">
        <f>VLOOKUP(Table1[[#This Row],[Province]],[1]Sheet1!$A$3:$F$37,5,FALSE)</f>
        <v>34019100</v>
      </c>
      <c r="K1525">
        <v>1</v>
      </c>
      <c r="L1525" s="4">
        <v>7.1509749999999999</v>
      </c>
      <c r="M1525" s="4">
        <v>110.140259</v>
      </c>
      <c r="N1525" s="13">
        <v>5.36</v>
      </c>
      <c r="P1525"/>
      <c r="Q1525" s="12"/>
      <c r="R1525" s="12"/>
    </row>
    <row r="1526" spans="1:18" x14ac:dyDescent="0.2">
      <c r="A1526">
        <v>13</v>
      </c>
      <c r="B1526" t="s">
        <v>10</v>
      </c>
      <c r="C1526">
        <v>2020</v>
      </c>
      <c r="D1526">
        <v>1</v>
      </c>
      <c r="E1526" s="4">
        <v>0</v>
      </c>
      <c r="F1526" s="9">
        <v>1.4E-2</v>
      </c>
      <c r="G1526" s="6">
        <v>19985</v>
      </c>
      <c r="H1526" s="9">
        <f t="shared" si="23"/>
        <v>1.4E-2</v>
      </c>
      <c r="I1526" s="6">
        <v>13199</v>
      </c>
      <c r="J1526" s="6">
        <f>VLOOKUP(Table1[[#This Row],[Province]],[1]Sheet1!$A$3:$F$37,5,FALSE)</f>
        <v>34019100</v>
      </c>
      <c r="K1526">
        <v>0</v>
      </c>
      <c r="L1526" s="4">
        <v>7.1509749999999999</v>
      </c>
      <c r="M1526" s="4">
        <v>110.140259</v>
      </c>
      <c r="N1526" s="13">
        <v>-2.65</v>
      </c>
      <c r="P1526"/>
      <c r="Q1526" s="12"/>
      <c r="R1526" s="12"/>
    </row>
    <row r="1527" spans="1:18" x14ac:dyDescent="0.2">
      <c r="A1527">
        <v>13</v>
      </c>
      <c r="B1527" t="s">
        <v>10</v>
      </c>
      <c r="C1527">
        <v>2020</v>
      </c>
      <c r="D1527">
        <v>2</v>
      </c>
      <c r="E1527" s="4">
        <v>0</v>
      </c>
      <c r="F1527" s="9">
        <v>18.888999999999999</v>
      </c>
      <c r="G1527" s="6">
        <v>4429</v>
      </c>
      <c r="H1527" s="9">
        <f t="shared" si="23"/>
        <v>18.888999999999999</v>
      </c>
      <c r="I1527" s="6">
        <v>13521</v>
      </c>
      <c r="J1527" s="6">
        <f>VLOOKUP(Table1[[#This Row],[Province]],[1]Sheet1!$A$3:$F$37,5,FALSE)</f>
        <v>34019100</v>
      </c>
      <c r="K1527">
        <v>0</v>
      </c>
      <c r="L1527" s="4">
        <v>7.1509749999999999</v>
      </c>
      <c r="M1527" s="4">
        <v>110.140259</v>
      </c>
      <c r="N1527" s="13">
        <v>-2.65</v>
      </c>
      <c r="P1527"/>
      <c r="Q1527" s="12"/>
      <c r="R1527" s="12"/>
    </row>
    <row r="1528" spans="1:18" x14ac:dyDescent="0.2">
      <c r="A1528">
        <v>13</v>
      </c>
      <c r="B1528" t="s">
        <v>10</v>
      </c>
      <c r="C1528">
        <v>2020</v>
      </c>
      <c r="D1528">
        <v>3</v>
      </c>
      <c r="E1528" s="4">
        <v>0</v>
      </c>
      <c r="F1528" s="9">
        <v>50.793999999999997</v>
      </c>
      <c r="G1528" s="6">
        <v>8837</v>
      </c>
      <c r="H1528" s="9">
        <f t="shared" si="23"/>
        <v>50.793999999999997</v>
      </c>
      <c r="I1528" s="6">
        <v>16625</v>
      </c>
      <c r="J1528" s="6">
        <f>VLOOKUP(Table1[[#This Row],[Province]],[1]Sheet1!$A$3:$F$37,5,FALSE)</f>
        <v>34019100</v>
      </c>
      <c r="K1528">
        <v>0</v>
      </c>
      <c r="L1528" s="4">
        <v>7.1509749999999999</v>
      </c>
      <c r="M1528" s="4">
        <v>110.140259</v>
      </c>
      <c r="N1528" s="13">
        <v>-2.65</v>
      </c>
      <c r="P1528"/>
      <c r="Q1528" s="12"/>
      <c r="R1528" s="12"/>
    </row>
    <row r="1529" spans="1:18" x14ac:dyDescent="0.2">
      <c r="A1529">
        <v>13</v>
      </c>
      <c r="B1529" t="s">
        <v>10</v>
      </c>
      <c r="C1529">
        <v>2020</v>
      </c>
      <c r="D1529">
        <v>4</v>
      </c>
      <c r="E1529" s="4">
        <v>791</v>
      </c>
      <c r="F1529" s="9">
        <v>3.0000000000000001E-3</v>
      </c>
      <c r="G1529" s="6">
        <v>27340</v>
      </c>
      <c r="H1529" s="9">
        <f t="shared" si="23"/>
        <v>791.00300000000004</v>
      </c>
      <c r="I1529" s="6">
        <v>17697</v>
      </c>
      <c r="J1529" s="6">
        <f>VLOOKUP(Table1[[#This Row],[Province]],[1]Sheet1!$A$3:$F$37,5,FALSE)</f>
        <v>34019100</v>
      </c>
      <c r="K1529">
        <v>1</v>
      </c>
      <c r="L1529" s="4">
        <v>7.1509749999999999</v>
      </c>
      <c r="M1529" s="4">
        <v>110.140259</v>
      </c>
      <c r="N1529" s="13">
        <v>-2.65</v>
      </c>
      <c r="P1529"/>
      <c r="Q1529" s="12"/>
      <c r="R1529" s="12"/>
    </row>
    <row r="1530" spans="1:18" x14ac:dyDescent="0.2">
      <c r="A1530">
        <v>13</v>
      </c>
      <c r="B1530" t="s">
        <v>10</v>
      </c>
      <c r="C1530">
        <v>2020</v>
      </c>
      <c r="D1530">
        <v>5</v>
      </c>
      <c r="E1530" s="4">
        <v>10284</v>
      </c>
      <c r="F1530" s="9">
        <v>0</v>
      </c>
      <c r="G1530" s="6">
        <v>14356</v>
      </c>
      <c r="H1530" s="9">
        <f t="shared" si="23"/>
        <v>10284</v>
      </c>
      <c r="I1530" s="6">
        <v>14978</v>
      </c>
      <c r="J1530" s="6">
        <f>VLOOKUP(Table1[[#This Row],[Province]],[1]Sheet1!$A$3:$F$37,5,FALSE)</f>
        <v>34019100</v>
      </c>
      <c r="K1530">
        <v>0</v>
      </c>
      <c r="L1530" s="4">
        <v>7.1509749999999999</v>
      </c>
      <c r="M1530" s="4">
        <v>110.140259</v>
      </c>
      <c r="N1530" s="13">
        <v>-2.65</v>
      </c>
      <c r="P1530"/>
      <c r="Q1530" s="12"/>
      <c r="R1530" s="12"/>
    </row>
    <row r="1531" spans="1:18" x14ac:dyDescent="0.2">
      <c r="A1531">
        <v>13</v>
      </c>
      <c r="B1531" t="s">
        <v>10</v>
      </c>
      <c r="C1531">
        <v>2020</v>
      </c>
      <c r="D1531">
        <v>6</v>
      </c>
      <c r="E1531" s="4">
        <v>29828</v>
      </c>
      <c r="F1531" s="9">
        <v>2E-3</v>
      </c>
      <c r="G1531" s="6">
        <v>47688</v>
      </c>
      <c r="H1531" s="9">
        <f t="shared" si="23"/>
        <v>29828.002</v>
      </c>
      <c r="I1531" s="6">
        <v>13393</v>
      </c>
      <c r="J1531" s="6">
        <f>VLOOKUP(Table1[[#This Row],[Province]],[1]Sheet1!$A$3:$F$37,5,FALSE)</f>
        <v>34019100</v>
      </c>
      <c r="K1531">
        <v>0</v>
      </c>
      <c r="L1531" s="4">
        <v>7.1509749999999999</v>
      </c>
      <c r="M1531" s="4">
        <v>110.140259</v>
      </c>
      <c r="N1531" s="13">
        <v>-2.65</v>
      </c>
      <c r="P1531"/>
      <c r="Q1531" s="12"/>
      <c r="R1531" s="12"/>
    </row>
    <row r="1532" spans="1:18" x14ac:dyDescent="0.2">
      <c r="A1532">
        <v>13</v>
      </c>
      <c r="B1532" t="s">
        <v>10</v>
      </c>
      <c r="C1532">
        <v>2020</v>
      </c>
      <c r="D1532">
        <v>7</v>
      </c>
      <c r="E1532" s="4">
        <v>41727</v>
      </c>
      <c r="F1532" s="9">
        <v>4.0000000000000001E-3</v>
      </c>
      <c r="G1532" s="6">
        <v>26521</v>
      </c>
      <c r="H1532" s="9">
        <f t="shared" si="23"/>
        <v>41727.004000000001</v>
      </c>
      <c r="I1532" s="6">
        <v>13000</v>
      </c>
      <c r="J1532" s="6">
        <f>VLOOKUP(Table1[[#This Row],[Province]],[1]Sheet1!$A$3:$F$37,5,FALSE)</f>
        <v>34019100</v>
      </c>
      <c r="K1532">
        <v>0</v>
      </c>
      <c r="L1532" s="4">
        <v>7.1509749999999999</v>
      </c>
      <c r="M1532" s="4">
        <v>110.140259</v>
      </c>
      <c r="N1532" s="13">
        <v>-2.65</v>
      </c>
      <c r="P1532"/>
      <c r="Q1532" s="12"/>
      <c r="R1532" s="12"/>
    </row>
    <row r="1533" spans="1:18" x14ac:dyDescent="0.2">
      <c r="A1533">
        <v>13</v>
      </c>
      <c r="B1533" t="s">
        <v>10</v>
      </c>
      <c r="C1533">
        <v>2020</v>
      </c>
      <c r="D1533">
        <v>8</v>
      </c>
      <c r="E1533" s="4">
        <v>36009</v>
      </c>
      <c r="F1533" s="9">
        <v>5.0000000000000001E-3</v>
      </c>
      <c r="G1533" s="6">
        <v>36707</v>
      </c>
      <c r="H1533" s="9">
        <f t="shared" si="23"/>
        <v>36009.004999999997</v>
      </c>
      <c r="I1533" s="6">
        <v>13000</v>
      </c>
      <c r="J1533" s="6">
        <f>VLOOKUP(Table1[[#This Row],[Province]],[1]Sheet1!$A$3:$F$37,5,FALSE)</f>
        <v>34019100</v>
      </c>
      <c r="K1533">
        <v>0</v>
      </c>
      <c r="L1533" s="4">
        <v>7.1509749999999999</v>
      </c>
      <c r="M1533" s="4">
        <v>110.140259</v>
      </c>
      <c r="N1533" s="13">
        <v>-2.65</v>
      </c>
      <c r="P1533"/>
      <c r="Q1533" s="12"/>
      <c r="R1533" s="12"/>
    </row>
    <row r="1534" spans="1:18" x14ac:dyDescent="0.2">
      <c r="A1534">
        <v>13</v>
      </c>
      <c r="B1534" t="s">
        <v>10</v>
      </c>
      <c r="C1534">
        <v>2020</v>
      </c>
      <c r="D1534">
        <v>9</v>
      </c>
      <c r="E1534" s="4">
        <v>7550</v>
      </c>
      <c r="F1534" s="9">
        <v>2.1999999999999999E-2</v>
      </c>
      <c r="G1534" s="6">
        <v>47677</v>
      </c>
      <c r="H1534" s="9">
        <f t="shared" si="23"/>
        <v>7550.0219999999999</v>
      </c>
      <c r="I1534" s="6">
        <v>12818</v>
      </c>
      <c r="J1534" s="6">
        <f>VLOOKUP(Table1[[#This Row],[Province]],[1]Sheet1!$A$3:$F$37,5,FALSE)</f>
        <v>34019100</v>
      </c>
      <c r="K1534">
        <v>0</v>
      </c>
      <c r="L1534" s="4">
        <v>7.1509749999999999</v>
      </c>
      <c r="M1534" s="4">
        <v>110.140259</v>
      </c>
      <c r="N1534" s="13">
        <v>-2.65</v>
      </c>
      <c r="P1534"/>
      <c r="Q1534" s="12"/>
      <c r="R1534" s="12"/>
    </row>
    <row r="1535" spans="1:18" x14ac:dyDescent="0.2">
      <c r="A1535">
        <v>13</v>
      </c>
      <c r="B1535" t="s">
        <v>10</v>
      </c>
      <c r="C1535">
        <v>2020</v>
      </c>
      <c r="D1535">
        <v>10</v>
      </c>
      <c r="E1535" s="4">
        <v>737</v>
      </c>
      <c r="F1535" s="9">
        <v>2.1999999999999999E-2</v>
      </c>
      <c r="G1535" s="6">
        <v>39136</v>
      </c>
      <c r="H1535" s="9">
        <f t="shared" si="23"/>
        <v>737.02200000000005</v>
      </c>
      <c r="I1535" s="6">
        <v>12500</v>
      </c>
      <c r="J1535" s="6">
        <f>VLOOKUP(Table1[[#This Row],[Province]],[1]Sheet1!$A$3:$F$37,5,FALSE)</f>
        <v>34019100</v>
      </c>
      <c r="K1535">
        <v>0</v>
      </c>
      <c r="L1535" s="4">
        <v>7.1509749999999999</v>
      </c>
      <c r="M1535" s="4">
        <v>110.140259</v>
      </c>
      <c r="N1535" s="13">
        <v>-2.65</v>
      </c>
      <c r="P1535"/>
      <c r="Q1535" s="12"/>
      <c r="R1535" s="12"/>
    </row>
    <row r="1536" spans="1:18" x14ac:dyDescent="0.2">
      <c r="A1536">
        <v>13</v>
      </c>
      <c r="B1536" t="s">
        <v>10</v>
      </c>
      <c r="C1536">
        <v>2020</v>
      </c>
      <c r="D1536">
        <v>11</v>
      </c>
      <c r="E1536" s="4">
        <v>92</v>
      </c>
      <c r="F1536" s="9">
        <v>0</v>
      </c>
      <c r="G1536" s="6">
        <v>43170</v>
      </c>
      <c r="H1536" s="9">
        <f t="shared" si="23"/>
        <v>92</v>
      </c>
      <c r="I1536" s="6">
        <v>12500</v>
      </c>
      <c r="J1536" s="6">
        <f>VLOOKUP(Table1[[#This Row],[Province]],[1]Sheet1!$A$3:$F$37,5,FALSE)</f>
        <v>34019100</v>
      </c>
      <c r="K1536">
        <v>0</v>
      </c>
      <c r="L1536" s="4">
        <v>7.1509749999999999</v>
      </c>
      <c r="M1536" s="4">
        <v>110.140259</v>
      </c>
      <c r="N1536" s="13">
        <v>-2.65</v>
      </c>
      <c r="P1536"/>
      <c r="Q1536" s="12"/>
      <c r="R1536" s="12"/>
    </row>
    <row r="1537" spans="1:18" x14ac:dyDescent="0.2">
      <c r="A1537">
        <v>13</v>
      </c>
      <c r="B1537" t="s">
        <v>10</v>
      </c>
      <c r="C1537">
        <v>2020</v>
      </c>
      <c r="D1537">
        <v>12</v>
      </c>
      <c r="E1537" s="4">
        <v>0</v>
      </c>
      <c r="F1537" s="9">
        <v>8.9999999999999993E-3</v>
      </c>
      <c r="G1537" s="6">
        <v>40235</v>
      </c>
      <c r="H1537" s="9">
        <f t="shared" si="23"/>
        <v>8.9999999999999993E-3</v>
      </c>
      <c r="I1537" s="6">
        <v>12500</v>
      </c>
      <c r="J1537" s="6">
        <f>VLOOKUP(Table1[[#This Row],[Province]],[1]Sheet1!$A$3:$F$37,5,FALSE)</f>
        <v>34019100</v>
      </c>
      <c r="K1537">
        <v>1</v>
      </c>
      <c r="L1537" s="4">
        <v>7.1509749999999999</v>
      </c>
      <c r="M1537" s="4">
        <v>110.140259</v>
      </c>
      <c r="N1537" s="13">
        <v>-2.65</v>
      </c>
      <c r="P1537"/>
      <c r="Q1537" s="12"/>
      <c r="R1537" s="12"/>
    </row>
    <row r="1538" spans="1:18" x14ac:dyDescent="0.2">
      <c r="A1538">
        <v>13</v>
      </c>
      <c r="B1538" t="s">
        <v>10</v>
      </c>
      <c r="C1538">
        <v>2021</v>
      </c>
      <c r="D1538">
        <v>1</v>
      </c>
      <c r="E1538" s="4">
        <v>0</v>
      </c>
      <c r="F1538" s="9">
        <v>2.1000000000000001E-2</v>
      </c>
      <c r="G1538" s="6">
        <v>44381</v>
      </c>
      <c r="H1538" s="9">
        <f t="shared" ref="H1538:H1601" si="24">F1538+E1538</f>
        <v>2.1000000000000001E-2</v>
      </c>
      <c r="I1538" s="6">
        <v>12964</v>
      </c>
      <c r="J1538" s="6">
        <f>VLOOKUP(Table1[[#This Row],[Province]],[1]Sheet1!$A$3:$F$37,5,FALSE)</f>
        <v>34019100</v>
      </c>
      <c r="K1538">
        <v>0</v>
      </c>
      <c r="L1538" s="4">
        <v>7.1509749999999999</v>
      </c>
      <c r="M1538" s="4">
        <v>110.140259</v>
      </c>
      <c r="N1538" s="13">
        <v>3.33</v>
      </c>
      <c r="P1538"/>
      <c r="Q1538" s="12"/>
      <c r="R1538" s="12"/>
    </row>
    <row r="1539" spans="1:18" x14ac:dyDescent="0.2">
      <c r="A1539">
        <v>13</v>
      </c>
      <c r="B1539" t="s">
        <v>10</v>
      </c>
      <c r="C1539">
        <v>2021</v>
      </c>
      <c r="D1539">
        <v>2</v>
      </c>
      <c r="E1539" s="4">
        <v>0</v>
      </c>
      <c r="F1539" s="9">
        <v>1.2999999999999999E-2</v>
      </c>
      <c r="G1539" s="6">
        <v>28921</v>
      </c>
      <c r="H1539" s="9">
        <f t="shared" si="24"/>
        <v>1.2999999999999999E-2</v>
      </c>
      <c r="I1539" s="6">
        <v>12893</v>
      </c>
      <c r="J1539" s="6">
        <f>VLOOKUP(Table1[[#This Row],[Province]],[1]Sheet1!$A$3:$F$37,5,FALSE)</f>
        <v>34019100</v>
      </c>
      <c r="K1539">
        <v>0</v>
      </c>
      <c r="L1539" s="4">
        <v>7.1509749999999999</v>
      </c>
      <c r="M1539" s="4">
        <v>110.140259</v>
      </c>
      <c r="N1539" s="13">
        <v>3.33</v>
      </c>
      <c r="P1539"/>
      <c r="Q1539" s="12"/>
      <c r="R1539" s="12"/>
    </row>
    <row r="1540" spans="1:18" x14ac:dyDescent="0.2">
      <c r="A1540">
        <v>13</v>
      </c>
      <c r="B1540" t="s">
        <v>10</v>
      </c>
      <c r="C1540">
        <v>2021</v>
      </c>
      <c r="D1540">
        <v>3</v>
      </c>
      <c r="E1540" s="4">
        <v>4306</v>
      </c>
      <c r="F1540" s="9">
        <v>3.6999999999999998E-2</v>
      </c>
      <c r="G1540" s="6">
        <v>40212</v>
      </c>
      <c r="H1540" s="9">
        <f t="shared" si="24"/>
        <v>4306.0370000000003</v>
      </c>
      <c r="I1540" s="6">
        <v>13000</v>
      </c>
      <c r="J1540" s="6">
        <f>VLOOKUP(Table1[[#This Row],[Province]],[1]Sheet1!$A$3:$F$37,5,FALSE)</f>
        <v>34019100</v>
      </c>
      <c r="K1540">
        <v>0</v>
      </c>
      <c r="L1540" s="4">
        <v>7.1509749999999999</v>
      </c>
      <c r="M1540" s="4">
        <v>110.140259</v>
      </c>
      <c r="N1540" s="13">
        <v>3.33</v>
      </c>
      <c r="P1540"/>
      <c r="Q1540" s="12"/>
      <c r="R1540" s="12"/>
    </row>
    <row r="1541" spans="1:18" x14ac:dyDescent="0.2">
      <c r="A1541">
        <v>13</v>
      </c>
      <c r="B1541" t="s">
        <v>10</v>
      </c>
      <c r="C1541">
        <v>2021</v>
      </c>
      <c r="D1541">
        <v>4</v>
      </c>
      <c r="E1541" s="4">
        <v>12720</v>
      </c>
      <c r="F1541" s="9">
        <v>5.0000000000000001E-3</v>
      </c>
      <c r="G1541" s="6">
        <v>32309</v>
      </c>
      <c r="H1541" s="9">
        <f t="shared" si="24"/>
        <v>12720.004999999999</v>
      </c>
      <c r="I1541" s="6">
        <v>12550</v>
      </c>
      <c r="J1541" s="6">
        <f>VLOOKUP(Table1[[#This Row],[Province]],[1]Sheet1!$A$3:$F$37,5,FALSE)</f>
        <v>34019100</v>
      </c>
      <c r="K1541">
        <v>1</v>
      </c>
      <c r="L1541" s="4">
        <v>7.1509749999999999</v>
      </c>
      <c r="M1541" s="4">
        <v>110.140259</v>
      </c>
      <c r="N1541" s="13">
        <v>3.33</v>
      </c>
      <c r="P1541"/>
      <c r="Q1541" s="12"/>
      <c r="R1541" s="12"/>
    </row>
    <row r="1542" spans="1:18" x14ac:dyDescent="0.2">
      <c r="A1542">
        <v>13</v>
      </c>
      <c r="B1542" t="s">
        <v>10</v>
      </c>
      <c r="C1542">
        <v>2021</v>
      </c>
      <c r="D1542">
        <v>5</v>
      </c>
      <c r="E1542" s="4">
        <v>33828</v>
      </c>
      <c r="F1542" s="9">
        <v>0</v>
      </c>
      <c r="G1542" s="6">
        <v>37923</v>
      </c>
      <c r="H1542" s="9">
        <f t="shared" si="24"/>
        <v>33828</v>
      </c>
      <c r="I1542" s="6">
        <v>12550</v>
      </c>
      <c r="J1542" s="6">
        <f>VLOOKUP(Table1[[#This Row],[Province]],[1]Sheet1!$A$3:$F$37,5,FALSE)</f>
        <v>34019100</v>
      </c>
      <c r="K1542">
        <v>0</v>
      </c>
      <c r="L1542" s="4">
        <v>7.1509749999999999</v>
      </c>
      <c r="M1542" s="4">
        <v>110.140259</v>
      </c>
      <c r="N1542" s="13">
        <v>3.33</v>
      </c>
      <c r="P1542"/>
      <c r="Q1542" s="12"/>
      <c r="R1542" s="12"/>
    </row>
    <row r="1543" spans="1:18" x14ac:dyDescent="0.2">
      <c r="A1543">
        <v>13</v>
      </c>
      <c r="B1543" t="s">
        <v>10</v>
      </c>
      <c r="C1543">
        <v>2021</v>
      </c>
      <c r="D1543">
        <v>6</v>
      </c>
      <c r="E1543" s="4">
        <v>49203</v>
      </c>
      <c r="F1543" s="9">
        <v>1.2E-2</v>
      </c>
      <c r="G1543" s="6">
        <v>30868</v>
      </c>
      <c r="H1543" s="9">
        <f t="shared" si="24"/>
        <v>49203.012000000002</v>
      </c>
      <c r="I1543" s="6">
        <v>12438</v>
      </c>
      <c r="J1543" s="6">
        <f>VLOOKUP(Table1[[#This Row],[Province]],[1]Sheet1!$A$3:$F$37,5,FALSE)</f>
        <v>34019100</v>
      </c>
      <c r="K1543">
        <v>0</v>
      </c>
      <c r="L1543" s="4">
        <v>7.1509749999999999</v>
      </c>
      <c r="M1543" s="4">
        <v>110.140259</v>
      </c>
      <c r="N1543" s="13">
        <v>3.33</v>
      </c>
      <c r="P1543"/>
      <c r="Q1543" s="12"/>
      <c r="R1543" s="12"/>
    </row>
    <row r="1544" spans="1:18" x14ac:dyDescent="0.2">
      <c r="A1544">
        <v>13</v>
      </c>
      <c r="B1544" t="s">
        <v>10</v>
      </c>
      <c r="C1544">
        <v>2021</v>
      </c>
      <c r="D1544">
        <v>7</v>
      </c>
      <c r="E1544" s="4">
        <v>53738</v>
      </c>
      <c r="F1544" s="9">
        <v>5.0000000000000001E-3</v>
      </c>
      <c r="G1544" s="6">
        <v>31500</v>
      </c>
      <c r="H1544" s="9">
        <f t="shared" si="24"/>
        <v>53738.004999999997</v>
      </c>
      <c r="I1544" s="6">
        <v>12275</v>
      </c>
      <c r="J1544" s="6">
        <f>VLOOKUP(Table1[[#This Row],[Province]],[1]Sheet1!$A$3:$F$37,5,FALSE)</f>
        <v>34019100</v>
      </c>
      <c r="K1544">
        <v>0</v>
      </c>
      <c r="L1544" s="4">
        <v>7.1509749999999999</v>
      </c>
      <c r="M1544" s="4">
        <v>110.140259</v>
      </c>
      <c r="N1544" s="13">
        <v>3.33</v>
      </c>
      <c r="P1544"/>
      <c r="Q1544" s="12"/>
      <c r="R1544" s="12"/>
    </row>
    <row r="1545" spans="1:18" x14ac:dyDescent="0.2">
      <c r="A1545">
        <v>13</v>
      </c>
      <c r="B1545" t="s">
        <v>10</v>
      </c>
      <c r="C1545">
        <v>2021</v>
      </c>
      <c r="D1545">
        <v>8</v>
      </c>
      <c r="E1545" s="4">
        <v>41372</v>
      </c>
      <c r="F1545" s="9">
        <v>19.2</v>
      </c>
      <c r="G1545" s="6">
        <v>36450</v>
      </c>
      <c r="H1545" s="9">
        <f t="shared" si="24"/>
        <v>41391.199999999997</v>
      </c>
      <c r="I1545" s="6">
        <v>12210</v>
      </c>
      <c r="J1545" s="6">
        <f>VLOOKUP(Table1[[#This Row],[Province]],[1]Sheet1!$A$3:$F$37,5,FALSE)</f>
        <v>34019100</v>
      </c>
      <c r="K1545">
        <v>0</v>
      </c>
      <c r="L1545" s="4">
        <v>7.1509749999999999</v>
      </c>
      <c r="M1545" s="4">
        <v>110.140259</v>
      </c>
      <c r="N1545" s="13">
        <v>3.33</v>
      </c>
      <c r="P1545"/>
      <c r="Q1545" s="12"/>
      <c r="R1545" s="12"/>
    </row>
    <row r="1546" spans="1:18" x14ac:dyDescent="0.2">
      <c r="A1546">
        <v>13</v>
      </c>
      <c r="B1546" t="s">
        <v>10</v>
      </c>
      <c r="C1546">
        <v>2021</v>
      </c>
      <c r="D1546">
        <v>9</v>
      </c>
      <c r="E1546" s="4">
        <v>19457</v>
      </c>
      <c r="F1546" s="9">
        <v>18.350999999999999</v>
      </c>
      <c r="G1546" s="6">
        <v>34591</v>
      </c>
      <c r="H1546" s="9">
        <f t="shared" si="24"/>
        <v>19475.350999999999</v>
      </c>
      <c r="I1546" s="6">
        <v>12239</v>
      </c>
      <c r="J1546" s="6">
        <f>VLOOKUP(Table1[[#This Row],[Province]],[1]Sheet1!$A$3:$F$37,5,FALSE)</f>
        <v>34019100</v>
      </c>
      <c r="K1546">
        <v>0</v>
      </c>
      <c r="L1546" s="4">
        <v>7.1509749999999999</v>
      </c>
      <c r="M1546" s="4">
        <v>110.140259</v>
      </c>
      <c r="N1546" s="13">
        <v>3.33</v>
      </c>
      <c r="P1546"/>
      <c r="Q1546" s="12"/>
      <c r="R1546" s="12"/>
    </row>
    <row r="1547" spans="1:18" x14ac:dyDescent="0.2">
      <c r="A1547">
        <v>13</v>
      </c>
      <c r="B1547" t="s">
        <v>10</v>
      </c>
      <c r="C1547">
        <v>2021</v>
      </c>
      <c r="D1547">
        <v>10</v>
      </c>
      <c r="E1547" s="4">
        <v>1925</v>
      </c>
      <c r="F1547" s="9">
        <v>10.993</v>
      </c>
      <c r="G1547" s="6">
        <v>54715</v>
      </c>
      <c r="H1547" s="9">
        <f t="shared" si="24"/>
        <v>1935.9929999999999</v>
      </c>
      <c r="I1547" s="6">
        <v>12318</v>
      </c>
      <c r="J1547" s="6">
        <f>VLOOKUP(Table1[[#This Row],[Province]],[1]Sheet1!$A$3:$F$37,5,FALSE)</f>
        <v>34019100</v>
      </c>
      <c r="K1547">
        <v>0</v>
      </c>
      <c r="L1547" s="4">
        <v>7.1509749999999999</v>
      </c>
      <c r="M1547" s="4">
        <v>110.140259</v>
      </c>
      <c r="N1547" s="13">
        <v>3.33</v>
      </c>
      <c r="P1547"/>
      <c r="Q1547" s="12"/>
      <c r="R1547" s="12"/>
    </row>
    <row r="1548" spans="1:18" x14ac:dyDescent="0.2">
      <c r="A1548">
        <v>13</v>
      </c>
      <c r="B1548" t="s">
        <v>10</v>
      </c>
      <c r="C1548">
        <v>2021</v>
      </c>
      <c r="D1548">
        <v>11</v>
      </c>
      <c r="E1548" s="4">
        <v>0</v>
      </c>
      <c r="F1548" s="9">
        <v>6.6109999999999998</v>
      </c>
      <c r="G1548" s="6">
        <v>22131</v>
      </c>
      <c r="H1548" s="9">
        <f t="shared" si="24"/>
        <v>6.6109999999999998</v>
      </c>
      <c r="I1548" s="6">
        <v>12460</v>
      </c>
      <c r="J1548" s="6">
        <f>VLOOKUP(Table1[[#This Row],[Province]],[1]Sheet1!$A$3:$F$37,5,FALSE)</f>
        <v>34019100</v>
      </c>
      <c r="K1548">
        <v>0</v>
      </c>
      <c r="L1548" s="4">
        <v>7.1509749999999999</v>
      </c>
      <c r="M1548" s="4">
        <v>110.140259</v>
      </c>
      <c r="N1548" s="13">
        <v>3.33</v>
      </c>
      <c r="P1548"/>
      <c r="Q1548" s="12"/>
      <c r="R1548" s="12"/>
    </row>
    <row r="1549" spans="1:18" x14ac:dyDescent="0.2">
      <c r="A1549">
        <v>13</v>
      </c>
      <c r="B1549" t="s">
        <v>10</v>
      </c>
      <c r="C1549">
        <v>2021</v>
      </c>
      <c r="D1549">
        <v>12</v>
      </c>
      <c r="E1549" s="4">
        <v>0</v>
      </c>
      <c r="F1549" s="9">
        <v>64.852000000000004</v>
      </c>
      <c r="G1549" s="6">
        <v>33136</v>
      </c>
      <c r="H1549" s="9">
        <f t="shared" si="24"/>
        <v>64.852000000000004</v>
      </c>
      <c r="I1549" s="6">
        <v>13125</v>
      </c>
      <c r="J1549" s="6">
        <f>VLOOKUP(Table1[[#This Row],[Province]],[1]Sheet1!$A$3:$F$37,5,FALSE)</f>
        <v>34019100</v>
      </c>
      <c r="K1549">
        <v>1</v>
      </c>
      <c r="L1549" s="4">
        <v>7.1509749999999999</v>
      </c>
      <c r="M1549" s="4">
        <v>110.140259</v>
      </c>
      <c r="N1549" s="13">
        <v>3.33</v>
      </c>
      <c r="P1549"/>
      <c r="Q1549" s="12"/>
      <c r="R1549" s="12"/>
    </row>
    <row r="1550" spans="1:18" x14ac:dyDescent="0.2">
      <c r="A1550">
        <v>13</v>
      </c>
      <c r="B1550" t="s">
        <v>10</v>
      </c>
      <c r="C1550">
        <v>2022</v>
      </c>
      <c r="D1550">
        <v>1</v>
      </c>
      <c r="E1550" s="6">
        <v>0</v>
      </c>
      <c r="F1550" s="9">
        <v>62.606999999999999</v>
      </c>
      <c r="G1550" s="6">
        <v>38477</v>
      </c>
      <c r="H1550" s="9">
        <f t="shared" si="24"/>
        <v>62.606999999999999</v>
      </c>
      <c r="I1550" s="6">
        <v>13470</v>
      </c>
      <c r="J1550" s="6">
        <f>VLOOKUP(Table1[[#This Row],[Province]],[1]Sheet1!$A$3:$F$37,5,FALSE)</f>
        <v>34019100</v>
      </c>
      <c r="K1550">
        <v>0</v>
      </c>
      <c r="L1550" s="4">
        <v>7.1509749999999999</v>
      </c>
      <c r="M1550" s="4">
        <v>110.140259</v>
      </c>
      <c r="N1550" s="13">
        <v>5.31</v>
      </c>
      <c r="P1550"/>
      <c r="Q1550" s="12"/>
      <c r="R1550" s="12"/>
    </row>
    <row r="1551" spans="1:18" x14ac:dyDescent="0.2">
      <c r="A1551">
        <v>13</v>
      </c>
      <c r="B1551" t="s">
        <v>10</v>
      </c>
      <c r="C1551">
        <v>2022</v>
      </c>
      <c r="D1551">
        <v>2</v>
      </c>
      <c r="E1551" s="6">
        <v>0</v>
      </c>
      <c r="F1551" s="9">
        <v>41.414999999999999</v>
      </c>
      <c r="G1551" s="6">
        <v>33682</v>
      </c>
      <c r="H1551" s="9">
        <f t="shared" si="24"/>
        <v>41.414999999999999</v>
      </c>
      <c r="I1551" s="6">
        <v>13808</v>
      </c>
      <c r="J1551" s="6">
        <f>VLOOKUP(Table1[[#This Row],[Province]],[1]Sheet1!$A$3:$F$37,5,FALSE)</f>
        <v>34019100</v>
      </c>
      <c r="K1551">
        <v>0</v>
      </c>
      <c r="L1551" s="4">
        <v>7.1509749999999999</v>
      </c>
      <c r="M1551" s="4">
        <v>110.140259</v>
      </c>
      <c r="N1551" s="13">
        <v>5.31</v>
      </c>
      <c r="P1551"/>
      <c r="Q1551" s="12"/>
      <c r="R1551" s="12"/>
    </row>
    <row r="1552" spans="1:18" x14ac:dyDescent="0.2">
      <c r="A1552">
        <v>13</v>
      </c>
      <c r="B1552" t="s">
        <v>10</v>
      </c>
      <c r="C1552">
        <v>2022</v>
      </c>
      <c r="D1552">
        <v>3</v>
      </c>
      <c r="E1552" s="6">
        <v>0</v>
      </c>
      <c r="F1552" s="9">
        <v>34.29</v>
      </c>
      <c r="G1552" s="6">
        <v>43755</v>
      </c>
      <c r="H1552" s="9">
        <f t="shared" si="24"/>
        <v>34.29</v>
      </c>
      <c r="I1552" s="6">
        <v>14059</v>
      </c>
      <c r="J1552" s="6">
        <f>VLOOKUP(Table1[[#This Row],[Province]],[1]Sheet1!$A$3:$F$37,5,FALSE)</f>
        <v>34019100</v>
      </c>
      <c r="K1552">
        <v>0</v>
      </c>
      <c r="L1552" s="4">
        <v>7.1509749999999999</v>
      </c>
      <c r="M1552" s="4">
        <v>110.140259</v>
      </c>
      <c r="N1552" s="13">
        <v>5.31</v>
      </c>
      <c r="P1552"/>
      <c r="Q1552" s="12"/>
      <c r="R1552" s="12"/>
    </row>
    <row r="1553" spans="1:18" x14ac:dyDescent="0.2">
      <c r="A1553">
        <v>13</v>
      </c>
      <c r="B1553" t="s">
        <v>10</v>
      </c>
      <c r="C1553">
        <v>2022</v>
      </c>
      <c r="D1553">
        <v>4</v>
      </c>
      <c r="E1553" s="6">
        <v>0</v>
      </c>
      <c r="F1553" s="9">
        <v>1.4999999999999999E-2</v>
      </c>
      <c r="G1553" s="6">
        <v>46186</v>
      </c>
      <c r="H1553" s="9">
        <f t="shared" si="24"/>
        <v>1.4999999999999999E-2</v>
      </c>
      <c r="I1553" s="6">
        <v>14603</v>
      </c>
      <c r="J1553" s="6">
        <f>VLOOKUP(Table1[[#This Row],[Province]],[1]Sheet1!$A$3:$F$37,5,FALSE)</f>
        <v>34019100</v>
      </c>
      <c r="K1553">
        <v>1</v>
      </c>
      <c r="L1553" s="4">
        <v>7.1509749999999999</v>
      </c>
      <c r="M1553" s="4">
        <v>110.140259</v>
      </c>
      <c r="N1553" s="13">
        <v>5.31</v>
      </c>
      <c r="P1553"/>
      <c r="Q1553" s="12"/>
      <c r="R1553" s="12"/>
    </row>
    <row r="1554" spans="1:18" x14ac:dyDescent="0.2">
      <c r="A1554">
        <v>13</v>
      </c>
      <c r="B1554" t="s">
        <v>10</v>
      </c>
      <c r="C1554">
        <v>2022</v>
      </c>
      <c r="D1554">
        <v>5</v>
      </c>
      <c r="E1554" s="6">
        <v>1067</v>
      </c>
      <c r="F1554" s="9">
        <v>35.911999999999999</v>
      </c>
      <c r="G1554" s="6">
        <v>29790</v>
      </c>
      <c r="H1554" s="9">
        <f t="shared" si="24"/>
        <v>1102.912</v>
      </c>
      <c r="I1554" s="6">
        <v>14290</v>
      </c>
      <c r="J1554" s="6">
        <f>VLOOKUP(Table1[[#This Row],[Province]],[1]Sheet1!$A$3:$F$37,5,FALSE)</f>
        <v>34019100</v>
      </c>
      <c r="K1554">
        <v>0</v>
      </c>
      <c r="L1554" s="4">
        <v>7.1509749999999999</v>
      </c>
      <c r="M1554" s="4">
        <v>110.140259</v>
      </c>
      <c r="N1554" s="13">
        <v>5.31</v>
      </c>
      <c r="P1554"/>
      <c r="Q1554" s="12"/>
      <c r="R1554" s="12"/>
    </row>
    <row r="1555" spans="1:18" x14ac:dyDescent="0.2">
      <c r="A1555">
        <v>13</v>
      </c>
      <c r="B1555" t="s">
        <v>10</v>
      </c>
      <c r="C1555">
        <v>2022</v>
      </c>
      <c r="D1555">
        <v>5</v>
      </c>
      <c r="E1555" s="6">
        <v>23380</v>
      </c>
      <c r="F1555" s="9">
        <v>35.911999999999999</v>
      </c>
      <c r="G1555" s="6">
        <v>22361</v>
      </c>
      <c r="H1555" s="9">
        <f t="shared" si="24"/>
        <v>23415.912</v>
      </c>
      <c r="I1555" s="6">
        <v>14587</v>
      </c>
      <c r="J1555" s="6">
        <f>VLOOKUP(Table1[[#This Row],[Province]],[1]Sheet1!$A$3:$F$37,5,FALSE)</f>
        <v>34019100</v>
      </c>
      <c r="K1555">
        <v>0</v>
      </c>
      <c r="L1555" s="4">
        <v>7.1509749999999999</v>
      </c>
      <c r="M1555" s="4">
        <v>110.140259</v>
      </c>
      <c r="N1555" s="13">
        <v>5.31</v>
      </c>
      <c r="P1555"/>
      <c r="Q1555" s="12"/>
      <c r="R1555" s="12"/>
    </row>
    <row r="1556" spans="1:18" x14ac:dyDescent="0.2">
      <c r="A1556">
        <v>13</v>
      </c>
      <c r="B1556" t="s">
        <v>10</v>
      </c>
      <c r="C1556">
        <v>2022</v>
      </c>
      <c r="D1556">
        <v>6</v>
      </c>
      <c r="E1556" s="6">
        <v>41899</v>
      </c>
      <c r="F1556" s="9">
        <v>18.058</v>
      </c>
      <c r="G1556" s="6">
        <v>26296</v>
      </c>
      <c r="H1556" s="9">
        <f t="shared" si="24"/>
        <v>41917.057999999997</v>
      </c>
      <c r="I1556" s="6">
        <v>13964</v>
      </c>
      <c r="J1556" s="6">
        <f>VLOOKUP(Table1[[#This Row],[Province]],[1]Sheet1!$A$3:$F$37,5,FALSE)</f>
        <v>34019100</v>
      </c>
      <c r="K1556">
        <v>0</v>
      </c>
      <c r="L1556" s="4">
        <v>7.1509749999999999</v>
      </c>
      <c r="M1556" s="4">
        <v>110.140259</v>
      </c>
      <c r="N1556" s="13">
        <v>5.31</v>
      </c>
      <c r="P1556"/>
      <c r="Q1556" s="12"/>
      <c r="R1556" s="12"/>
    </row>
    <row r="1557" spans="1:18" x14ac:dyDescent="0.2">
      <c r="A1557">
        <v>13</v>
      </c>
      <c r="B1557" t="s">
        <v>10</v>
      </c>
      <c r="C1557">
        <v>2022</v>
      </c>
      <c r="D1557">
        <v>7</v>
      </c>
      <c r="E1557" s="6">
        <v>51189</v>
      </c>
      <c r="F1557" s="9">
        <v>66.638999999999996</v>
      </c>
      <c r="G1557" s="6">
        <v>36771</v>
      </c>
      <c r="H1557" s="9">
        <f t="shared" si="24"/>
        <v>51255.639000000003</v>
      </c>
      <c r="I1557" s="6">
        <v>13429</v>
      </c>
      <c r="J1557" s="6">
        <f>VLOOKUP(Table1[[#This Row],[Province]],[1]Sheet1!$A$3:$F$37,5,FALSE)</f>
        <v>34019100</v>
      </c>
      <c r="K1557">
        <v>0</v>
      </c>
      <c r="L1557" s="4">
        <v>7.1509749999999999</v>
      </c>
      <c r="M1557" s="4">
        <v>110.140259</v>
      </c>
      <c r="N1557" s="13">
        <v>5.31</v>
      </c>
      <c r="P1557"/>
      <c r="Q1557" s="12"/>
      <c r="R1557" s="12"/>
    </row>
    <row r="1558" spans="1:18" x14ac:dyDescent="0.2">
      <c r="A1558">
        <v>13</v>
      </c>
      <c r="B1558" t="s">
        <v>10</v>
      </c>
      <c r="C1558">
        <v>2022</v>
      </c>
      <c r="D1558">
        <v>8</v>
      </c>
      <c r="E1558" s="6">
        <v>57653</v>
      </c>
      <c r="F1558" s="9">
        <v>79.775999999999996</v>
      </c>
      <c r="G1558" s="6">
        <v>32518</v>
      </c>
      <c r="H1558" s="9">
        <f t="shared" si="24"/>
        <v>57732.775999999998</v>
      </c>
      <c r="I1558" s="6">
        <v>13348</v>
      </c>
      <c r="J1558" s="6">
        <f>VLOOKUP(Table1[[#This Row],[Province]],[1]Sheet1!$A$3:$F$37,5,FALSE)</f>
        <v>34019100</v>
      </c>
      <c r="K1558">
        <v>0</v>
      </c>
      <c r="L1558" s="4">
        <v>7.1509749999999999</v>
      </c>
      <c r="M1558" s="4">
        <v>110.140259</v>
      </c>
      <c r="N1558" s="13">
        <v>5.31</v>
      </c>
      <c r="P1558"/>
      <c r="Q1558" s="12"/>
      <c r="R1558" s="12"/>
    </row>
    <row r="1559" spans="1:18" x14ac:dyDescent="0.2">
      <c r="A1559">
        <v>13</v>
      </c>
      <c r="B1559" t="s">
        <v>10</v>
      </c>
      <c r="C1559">
        <v>2022</v>
      </c>
      <c r="D1559">
        <v>9</v>
      </c>
      <c r="E1559" s="6">
        <v>47168</v>
      </c>
      <c r="F1559" s="9">
        <v>74.575000000000003</v>
      </c>
      <c r="G1559" s="6">
        <v>20303</v>
      </c>
      <c r="H1559" s="9">
        <f t="shared" si="24"/>
        <v>47242.574999999997</v>
      </c>
      <c r="I1559" s="6">
        <v>12722</v>
      </c>
      <c r="J1559" s="6">
        <f>VLOOKUP(Table1[[#This Row],[Province]],[1]Sheet1!$A$3:$F$37,5,FALSE)</f>
        <v>34019100</v>
      </c>
      <c r="K1559">
        <v>0</v>
      </c>
      <c r="L1559" s="4">
        <v>7.1509749999999999</v>
      </c>
      <c r="M1559" s="4">
        <v>110.140259</v>
      </c>
      <c r="N1559" s="13">
        <v>5.31</v>
      </c>
      <c r="P1559"/>
      <c r="Q1559" s="12"/>
      <c r="R1559" s="12"/>
    </row>
    <row r="1560" spans="1:18" x14ac:dyDescent="0.2">
      <c r="A1560">
        <v>13</v>
      </c>
      <c r="B1560" t="s">
        <v>10</v>
      </c>
      <c r="C1560">
        <v>2022</v>
      </c>
      <c r="D1560">
        <v>10</v>
      </c>
      <c r="E1560" s="6">
        <v>19208</v>
      </c>
      <c r="F1560" s="9">
        <v>27.803999999999998</v>
      </c>
      <c r="G1560" s="6">
        <v>23528</v>
      </c>
      <c r="H1560" s="9">
        <f t="shared" si="24"/>
        <v>19235.804</v>
      </c>
      <c r="I1560" s="6">
        <v>12691</v>
      </c>
      <c r="J1560" s="6">
        <f>VLOOKUP(Table1[[#This Row],[Province]],[1]Sheet1!$A$3:$F$37,5,FALSE)</f>
        <v>34019100</v>
      </c>
      <c r="K1560">
        <v>0</v>
      </c>
      <c r="L1560" s="4">
        <v>7.1509749999999999</v>
      </c>
      <c r="M1560" s="4">
        <v>110.140259</v>
      </c>
      <c r="N1560" s="13">
        <v>5.31</v>
      </c>
      <c r="P1560"/>
      <c r="Q1560" s="12"/>
      <c r="R1560" s="12"/>
    </row>
    <row r="1561" spans="1:18" x14ac:dyDescent="0.2">
      <c r="A1561">
        <v>13</v>
      </c>
      <c r="B1561" t="s">
        <v>10</v>
      </c>
      <c r="C1561">
        <v>2022</v>
      </c>
      <c r="D1561">
        <v>11</v>
      </c>
      <c r="E1561" s="6">
        <v>1632</v>
      </c>
      <c r="F1561" s="9">
        <v>50.112000000000002</v>
      </c>
      <c r="G1561" s="6">
        <v>19157</v>
      </c>
      <c r="H1561" s="9">
        <f t="shared" si="24"/>
        <v>1682.1120000000001</v>
      </c>
      <c r="I1561" s="6">
        <v>13357</v>
      </c>
      <c r="J1561" s="6">
        <f>VLOOKUP(Table1[[#This Row],[Province]],[1]Sheet1!$A$3:$F$37,5,FALSE)</f>
        <v>34019100</v>
      </c>
      <c r="K1561">
        <v>0</v>
      </c>
      <c r="L1561" s="4">
        <v>7.1509749999999999</v>
      </c>
      <c r="M1561" s="4">
        <v>110.140259</v>
      </c>
      <c r="N1561" s="13">
        <v>5.31</v>
      </c>
      <c r="P1561"/>
      <c r="Q1561" s="12"/>
      <c r="R1561" s="12"/>
    </row>
    <row r="1562" spans="1:18" x14ac:dyDescent="0.2">
      <c r="A1562">
        <v>14</v>
      </c>
      <c r="B1562" t="s">
        <v>34</v>
      </c>
      <c r="C1562">
        <v>2013</v>
      </c>
      <c r="D1562">
        <v>1</v>
      </c>
      <c r="E1562" s="4">
        <v>0</v>
      </c>
      <c r="F1562" s="9">
        <v>0</v>
      </c>
      <c r="G1562" s="6">
        <v>2434</v>
      </c>
      <c r="H1562" s="9">
        <f t="shared" si="24"/>
        <v>0</v>
      </c>
      <c r="I1562" s="6">
        <v>11444</v>
      </c>
      <c r="J1562" s="6">
        <f>VLOOKUP(Table1[[#This Row],[Province]],[1]Sheet1!$A$3:$F$37,5,FALSE)</f>
        <v>3720900</v>
      </c>
      <c r="K1562">
        <v>0</v>
      </c>
      <c r="L1562" s="4">
        <v>7.8014000000000001</v>
      </c>
      <c r="M1562" s="4">
        <v>110.3648</v>
      </c>
      <c r="N1562" s="6"/>
      <c r="P1562"/>
      <c r="Q1562" s="12"/>
      <c r="R1562" s="12"/>
    </row>
    <row r="1563" spans="1:18" x14ac:dyDescent="0.2">
      <c r="A1563">
        <v>14</v>
      </c>
      <c r="B1563" t="s">
        <v>34</v>
      </c>
      <c r="C1563">
        <v>2013</v>
      </c>
      <c r="D1563">
        <v>2</v>
      </c>
      <c r="E1563" s="4">
        <v>0</v>
      </c>
      <c r="F1563" s="9">
        <v>0</v>
      </c>
      <c r="G1563" s="6">
        <v>2333</v>
      </c>
      <c r="H1563" s="9">
        <f t="shared" si="24"/>
        <v>0</v>
      </c>
      <c r="I1563" s="6">
        <v>11463</v>
      </c>
      <c r="J1563" s="6">
        <f>VLOOKUP(Table1[[#This Row],[Province]],[1]Sheet1!$A$3:$F$37,5,FALSE)</f>
        <v>3720900</v>
      </c>
      <c r="K1563">
        <v>0</v>
      </c>
      <c r="L1563" s="4">
        <v>7.8014000000000001</v>
      </c>
      <c r="M1563" s="4">
        <v>110.3648</v>
      </c>
      <c r="N1563" s="6"/>
      <c r="P1563"/>
      <c r="Q1563" s="12"/>
      <c r="R1563" s="12"/>
    </row>
    <row r="1564" spans="1:18" x14ac:dyDescent="0.2">
      <c r="A1564">
        <v>14</v>
      </c>
      <c r="B1564" t="s">
        <v>34</v>
      </c>
      <c r="C1564">
        <v>2013</v>
      </c>
      <c r="D1564">
        <v>3</v>
      </c>
      <c r="E1564" s="4">
        <v>0</v>
      </c>
      <c r="F1564" s="9">
        <v>0</v>
      </c>
      <c r="G1564" s="6">
        <v>2405</v>
      </c>
      <c r="H1564" s="9">
        <f t="shared" si="24"/>
        <v>0</v>
      </c>
      <c r="I1564" s="6">
        <v>11447</v>
      </c>
      <c r="J1564" s="6">
        <f>VLOOKUP(Table1[[#This Row],[Province]],[1]Sheet1!$A$3:$F$37,5,FALSE)</f>
        <v>3720900</v>
      </c>
      <c r="K1564">
        <v>0</v>
      </c>
      <c r="L1564" s="4">
        <v>7.8014000000000001</v>
      </c>
      <c r="M1564" s="4">
        <v>110.3648</v>
      </c>
      <c r="N1564" s="6"/>
      <c r="P1564"/>
      <c r="Q1564" s="12"/>
      <c r="R1564" s="12"/>
    </row>
    <row r="1565" spans="1:18" x14ac:dyDescent="0.2">
      <c r="A1565">
        <v>14</v>
      </c>
      <c r="B1565" t="s">
        <v>34</v>
      </c>
      <c r="C1565">
        <v>2013</v>
      </c>
      <c r="D1565">
        <v>4</v>
      </c>
      <c r="E1565" s="4">
        <v>817</v>
      </c>
      <c r="F1565" s="9">
        <v>0</v>
      </c>
      <c r="G1565" s="6">
        <v>3125</v>
      </c>
      <c r="H1565" s="9">
        <f t="shared" si="24"/>
        <v>817</v>
      </c>
      <c r="I1565" s="6">
        <v>11582</v>
      </c>
      <c r="J1565" s="6">
        <f>VLOOKUP(Table1[[#This Row],[Province]],[1]Sheet1!$A$3:$F$37,5,FALSE)</f>
        <v>3720900</v>
      </c>
      <c r="K1565">
        <v>0</v>
      </c>
      <c r="L1565" s="4">
        <v>7.8014000000000001</v>
      </c>
      <c r="M1565" s="4">
        <v>110.3648</v>
      </c>
      <c r="N1565" s="6"/>
      <c r="P1565"/>
      <c r="Q1565" s="12"/>
      <c r="R1565" s="12"/>
    </row>
    <row r="1566" spans="1:18" x14ac:dyDescent="0.2">
      <c r="A1566">
        <v>14</v>
      </c>
      <c r="B1566" t="s">
        <v>34</v>
      </c>
      <c r="C1566">
        <v>2013</v>
      </c>
      <c r="D1566">
        <v>5</v>
      </c>
      <c r="E1566" s="4">
        <v>4633</v>
      </c>
      <c r="F1566" s="9">
        <v>0</v>
      </c>
      <c r="G1566" s="6">
        <v>3787</v>
      </c>
      <c r="H1566" s="9">
        <f t="shared" si="24"/>
        <v>4633</v>
      </c>
      <c r="I1566" s="6">
        <v>11949</v>
      </c>
      <c r="J1566" s="6">
        <f>VLOOKUP(Table1[[#This Row],[Province]],[1]Sheet1!$A$3:$F$37,5,FALSE)</f>
        <v>3720900</v>
      </c>
      <c r="K1566">
        <v>0</v>
      </c>
      <c r="L1566" s="4">
        <v>7.8014000000000001</v>
      </c>
      <c r="M1566" s="4">
        <v>110.3648</v>
      </c>
      <c r="N1566" s="6"/>
      <c r="P1566"/>
      <c r="Q1566" s="12"/>
      <c r="R1566" s="12"/>
    </row>
    <row r="1567" spans="1:18" x14ac:dyDescent="0.2">
      <c r="A1567">
        <v>14</v>
      </c>
      <c r="B1567" t="s">
        <v>34</v>
      </c>
      <c r="C1567">
        <v>2013</v>
      </c>
      <c r="D1567">
        <v>6</v>
      </c>
      <c r="E1567" s="4">
        <v>8739</v>
      </c>
      <c r="F1567" s="9">
        <v>0</v>
      </c>
      <c r="G1567" s="6">
        <v>3154</v>
      </c>
      <c r="H1567" s="9">
        <f t="shared" si="24"/>
        <v>8739</v>
      </c>
      <c r="I1567" s="6">
        <v>11708</v>
      </c>
      <c r="J1567" s="6">
        <f>VLOOKUP(Table1[[#This Row],[Province]],[1]Sheet1!$A$3:$F$37,5,FALSE)</f>
        <v>3720900</v>
      </c>
      <c r="K1567">
        <v>0</v>
      </c>
      <c r="L1567" s="4">
        <v>7.8014000000000001</v>
      </c>
      <c r="M1567" s="4">
        <v>110.3648</v>
      </c>
      <c r="N1567" s="6"/>
      <c r="P1567"/>
      <c r="Q1567" s="12"/>
      <c r="R1567" s="12"/>
    </row>
    <row r="1568" spans="1:18" x14ac:dyDescent="0.2">
      <c r="A1568">
        <v>14</v>
      </c>
      <c r="B1568" t="s">
        <v>34</v>
      </c>
      <c r="C1568">
        <v>2013</v>
      </c>
      <c r="D1568">
        <v>7</v>
      </c>
      <c r="E1568" s="4">
        <v>10531</v>
      </c>
      <c r="F1568" s="9">
        <v>0</v>
      </c>
      <c r="G1568" s="6">
        <v>5472</v>
      </c>
      <c r="H1568" s="9">
        <f t="shared" si="24"/>
        <v>10531</v>
      </c>
      <c r="I1568" s="6">
        <v>12532</v>
      </c>
      <c r="J1568" s="6">
        <f>VLOOKUP(Table1[[#This Row],[Province]],[1]Sheet1!$A$3:$F$37,5,FALSE)</f>
        <v>3720900</v>
      </c>
      <c r="K1568">
        <v>1</v>
      </c>
      <c r="L1568" s="4">
        <v>7.8014000000000001</v>
      </c>
      <c r="M1568" s="4">
        <v>110.3648</v>
      </c>
      <c r="N1568" s="6"/>
      <c r="P1568"/>
      <c r="Q1568" s="12"/>
      <c r="R1568" s="12"/>
    </row>
    <row r="1569" spans="1:18" x14ac:dyDescent="0.2">
      <c r="A1569">
        <v>14</v>
      </c>
      <c r="B1569" t="s">
        <v>34</v>
      </c>
      <c r="C1569">
        <v>2013</v>
      </c>
      <c r="D1569">
        <v>8</v>
      </c>
      <c r="E1569" s="4">
        <v>6881</v>
      </c>
      <c r="F1569" s="9">
        <v>0</v>
      </c>
      <c r="G1569" s="6">
        <v>2002</v>
      </c>
      <c r="H1569" s="9">
        <f t="shared" si="24"/>
        <v>6881</v>
      </c>
      <c r="I1569" s="6">
        <v>11147</v>
      </c>
      <c r="J1569" s="6">
        <f>VLOOKUP(Table1[[#This Row],[Province]],[1]Sheet1!$A$3:$F$37,5,FALSE)</f>
        <v>3720900</v>
      </c>
      <c r="K1569">
        <v>0</v>
      </c>
      <c r="L1569" s="4">
        <v>7.8014000000000001</v>
      </c>
      <c r="M1569" s="4">
        <v>110.3648</v>
      </c>
      <c r="N1569" s="6"/>
      <c r="P1569"/>
      <c r="Q1569" s="12"/>
      <c r="R1569" s="12"/>
    </row>
    <row r="1570" spans="1:18" x14ac:dyDescent="0.2">
      <c r="A1570">
        <v>14</v>
      </c>
      <c r="B1570" t="s">
        <v>34</v>
      </c>
      <c r="C1570">
        <v>2013</v>
      </c>
      <c r="D1570">
        <v>9</v>
      </c>
      <c r="E1570" s="4">
        <v>4329</v>
      </c>
      <c r="F1570" s="9">
        <v>0</v>
      </c>
      <c r="G1570" s="6">
        <v>4277</v>
      </c>
      <c r="H1570" s="9">
        <f t="shared" si="24"/>
        <v>4329</v>
      </c>
      <c r="I1570" s="6">
        <v>11068</v>
      </c>
      <c r="J1570" s="6">
        <f>VLOOKUP(Table1[[#This Row],[Province]],[1]Sheet1!$A$3:$F$37,5,FALSE)</f>
        <v>3720900</v>
      </c>
      <c r="K1570">
        <v>0</v>
      </c>
      <c r="L1570" s="4">
        <v>7.8014000000000001</v>
      </c>
      <c r="M1570" s="4">
        <v>110.3648</v>
      </c>
      <c r="N1570" s="6"/>
      <c r="P1570"/>
      <c r="Q1570" s="12"/>
      <c r="R1570" s="12"/>
    </row>
    <row r="1571" spans="1:18" x14ac:dyDescent="0.2">
      <c r="A1571">
        <v>14</v>
      </c>
      <c r="B1571" t="s">
        <v>34</v>
      </c>
      <c r="C1571">
        <v>2013</v>
      </c>
      <c r="D1571">
        <v>10</v>
      </c>
      <c r="E1571" s="4">
        <v>0</v>
      </c>
      <c r="F1571" s="9">
        <v>0</v>
      </c>
      <c r="G1571" s="6">
        <v>3499</v>
      </c>
      <c r="H1571" s="9">
        <f t="shared" si="24"/>
        <v>0</v>
      </c>
      <c r="I1571" s="6">
        <v>10811</v>
      </c>
      <c r="J1571" s="6">
        <f>VLOOKUP(Table1[[#This Row],[Province]],[1]Sheet1!$A$3:$F$37,5,FALSE)</f>
        <v>3720900</v>
      </c>
      <c r="K1571">
        <v>0</v>
      </c>
      <c r="L1571" s="4">
        <v>7.8014000000000001</v>
      </c>
      <c r="M1571" s="4">
        <v>110.3648</v>
      </c>
      <c r="N1571" s="6"/>
      <c r="P1571"/>
      <c r="Q1571" s="12"/>
      <c r="R1571" s="12"/>
    </row>
    <row r="1572" spans="1:18" x14ac:dyDescent="0.2">
      <c r="A1572">
        <v>14</v>
      </c>
      <c r="B1572" t="s">
        <v>34</v>
      </c>
      <c r="C1572">
        <v>2013</v>
      </c>
      <c r="D1572">
        <v>11</v>
      </c>
      <c r="E1572" s="4">
        <v>0</v>
      </c>
      <c r="F1572" s="9">
        <v>0</v>
      </c>
      <c r="G1572" s="6">
        <v>2578</v>
      </c>
      <c r="H1572" s="9">
        <f t="shared" si="24"/>
        <v>0</v>
      </c>
      <c r="I1572" s="6">
        <v>10765</v>
      </c>
      <c r="J1572" s="6">
        <f>VLOOKUP(Table1[[#This Row],[Province]],[1]Sheet1!$A$3:$F$37,5,FALSE)</f>
        <v>3720900</v>
      </c>
      <c r="K1572">
        <v>0</v>
      </c>
      <c r="L1572" s="4">
        <v>7.8014000000000001</v>
      </c>
      <c r="M1572" s="4">
        <v>110.3648</v>
      </c>
      <c r="N1572" s="6"/>
      <c r="P1572"/>
      <c r="Q1572" s="12"/>
      <c r="R1572" s="12"/>
    </row>
    <row r="1573" spans="1:18" x14ac:dyDescent="0.2">
      <c r="A1573">
        <v>14</v>
      </c>
      <c r="B1573" t="s">
        <v>34</v>
      </c>
      <c r="C1573">
        <v>2013</v>
      </c>
      <c r="D1573">
        <v>12</v>
      </c>
      <c r="E1573" s="4">
        <v>0</v>
      </c>
      <c r="F1573" s="9">
        <v>0</v>
      </c>
      <c r="G1573" s="6">
        <v>3586</v>
      </c>
      <c r="H1573" s="9">
        <f t="shared" si="24"/>
        <v>0</v>
      </c>
      <c r="I1573" s="6">
        <v>10842</v>
      </c>
      <c r="J1573" s="6">
        <f>VLOOKUP(Table1[[#This Row],[Province]],[1]Sheet1!$A$3:$F$37,5,FALSE)</f>
        <v>3720900</v>
      </c>
      <c r="K1573">
        <v>1</v>
      </c>
      <c r="L1573" s="4">
        <v>7.8014000000000001</v>
      </c>
      <c r="M1573" s="4">
        <v>110.3648</v>
      </c>
      <c r="N1573" s="6"/>
      <c r="P1573"/>
      <c r="Q1573" s="12"/>
      <c r="R1573" s="12"/>
    </row>
    <row r="1574" spans="1:18" x14ac:dyDescent="0.2">
      <c r="A1574">
        <v>14</v>
      </c>
      <c r="B1574" t="s">
        <v>34</v>
      </c>
      <c r="C1574">
        <v>2014</v>
      </c>
      <c r="D1574">
        <v>1</v>
      </c>
      <c r="E1574" s="4">
        <v>0</v>
      </c>
      <c r="F1574" s="9">
        <v>0</v>
      </c>
      <c r="G1574" s="6">
        <v>2510</v>
      </c>
      <c r="H1574" s="9">
        <f t="shared" si="24"/>
        <v>0</v>
      </c>
      <c r="I1574" s="6">
        <v>10647</v>
      </c>
      <c r="J1574" s="6">
        <f>VLOOKUP(Table1[[#This Row],[Province]],[1]Sheet1!$A$3:$F$37,5,FALSE)</f>
        <v>3720900</v>
      </c>
      <c r="K1574">
        <v>0</v>
      </c>
      <c r="L1574" s="4">
        <v>7.8014000000000001</v>
      </c>
      <c r="M1574" s="4">
        <v>110.3648</v>
      </c>
      <c r="N1574" s="6"/>
      <c r="P1574"/>
      <c r="Q1574" s="12"/>
      <c r="R1574" s="12"/>
    </row>
    <row r="1575" spans="1:18" x14ac:dyDescent="0.2">
      <c r="A1575">
        <v>14</v>
      </c>
      <c r="B1575" t="s">
        <v>34</v>
      </c>
      <c r="C1575">
        <v>2014</v>
      </c>
      <c r="D1575">
        <v>2</v>
      </c>
      <c r="E1575" s="4">
        <v>0</v>
      </c>
      <c r="F1575" s="9">
        <v>0</v>
      </c>
      <c r="G1575" s="6">
        <v>2239</v>
      </c>
      <c r="H1575" s="9">
        <f t="shared" si="24"/>
        <v>0</v>
      </c>
      <c r="I1575" s="6">
        <v>10750</v>
      </c>
      <c r="J1575" s="6">
        <f>VLOOKUP(Table1[[#This Row],[Province]],[1]Sheet1!$A$3:$F$37,5,FALSE)</f>
        <v>3720900</v>
      </c>
      <c r="K1575">
        <v>0</v>
      </c>
      <c r="L1575" s="4">
        <v>7.8014000000000001</v>
      </c>
      <c r="M1575" s="4">
        <v>110.3648</v>
      </c>
      <c r="N1575" s="6"/>
      <c r="P1575"/>
      <c r="Q1575" s="12"/>
      <c r="R1575" s="12"/>
    </row>
    <row r="1576" spans="1:18" x14ac:dyDescent="0.2">
      <c r="A1576">
        <v>14</v>
      </c>
      <c r="B1576" t="s">
        <v>34</v>
      </c>
      <c r="C1576">
        <v>2014</v>
      </c>
      <c r="D1576">
        <v>3</v>
      </c>
      <c r="E1576" s="4">
        <v>0</v>
      </c>
      <c r="F1576" s="9">
        <v>0</v>
      </c>
      <c r="G1576" s="6">
        <v>2514</v>
      </c>
      <c r="H1576" s="9">
        <f t="shared" si="24"/>
        <v>0</v>
      </c>
      <c r="I1576" s="6">
        <v>10573</v>
      </c>
      <c r="J1576" s="6">
        <f>VLOOKUP(Table1[[#This Row],[Province]],[1]Sheet1!$A$3:$F$37,5,FALSE)</f>
        <v>3720900</v>
      </c>
      <c r="K1576">
        <v>0</v>
      </c>
      <c r="L1576" s="4">
        <v>7.8014000000000001</v>
      </c>
      <c r="M1576" s="4">
        <v>110.3648</v>
      </c>
      <c r="N1576" s="6"/>
      <c r="P1576"/>
      <c r="Q1576" s="12"/>
      <c r="R1576" s="12"/>
    </row>
    <row r="1577" spans="1:18" x14ac:dyDescent="0.2">
      <c r="A1577">
        <v>14</v>
      </c>
      <c r="B1577" t="s">
        <v>34</v>
      </c>
      <c r="C1577">
        <v>2014</v>
      </c>
      <c r="D1577">
        <v>4</v>
      </c>
      <c r="E1577" s="4">
        <v>713</v>
      </c>
      <c r="F1577" s="9">
        <v>0</v>
      </c>
      <c r="G1577" s="6">
        <v>3239</v>
      </c>
      <c r="H1577" s="9">
        <f t="shared" si="24"/>
        <v>713</v>
      </c>
      <c r="I1577" s="6">
        <v>10545</v>
      </c>
      <c r="J1577" s="6">
        <f>VLOOKUP(Table1[[#This Row],[Province]],[1]Sheet1!$A$3:$F$37,5,FALSE)</f>
        <v>3720900</v>
      </c>
      <c r="K1577">
        <v>0</v>
      </c>
      <c r="L1577" s="4">
        <v>7.8014000000000001</v>
      </c>
      <c r="M1577" s="4">
        <v>110.3648</v>
      </c>
      <c r="N1577" s="6"/>
      <c r="P1577"/>
      <c r="Q1577" s="12"/>
      <c r="R1577" s="12"/>
    </row>
    <row r="1578" spans="1:18" x14ac:dyDescent="0.2">
      <c r="A1578">
        <v>14</v>
      </c>
      <c r="B1578" t="s">
        <v>34</v>
      </c>
      <c r="C1578">
        <v>2014</v>
      </c>
      <c r="D1578">
        <v>5</v>
      </c>
      <c r="E1578" s="4">
        <v>4041</v>
      </c>
      <c r="F1578" s="9">
        <v>0</v>
      </c>
      <c r="G1578" s="6">
        <v>3627</v>
      </c>
      <c r="H1578" s="9">
        <f t="shared" si="24"/>
        <v>4041</v>
      </c>
      <c r="I1578" s="6">
        <v>10511</v>
      </c>
      <c r="J1578" s="6">
        <f>VLOOKUP(Table1[[#This Row],[Province]],[1]Sheet1!$A$3:$F$37,5,FALSE)</f>
        <v>3720900</v>
      </c>
      <c r="K1578">
        <v>0</v>
      </c>
      <c r="L1578" s="4">
        <v>7.8014000000000001</v>
      </c>
      <c r="M1578" s="4">
        <v>110.3648</v>
      </c>
      <c r="N1578" s="6"/>
      <c r="P1578"/>
      <c r="Q1578" s="12"/>
      <c r="R1578" s="12"/>
    </row>
    <row r="1579" spans="1:18" x14ac:dyDescent="0.2">
      <c r="A1579">
        <v>14</v>
      </c>
      <c r="B1579" t="s">
        <v>34</v>
      </c>
      <c r="C1579">
        <v>2014</v>
      </c>
      <c r="D1579">
        <v>6</v>
      </c>
      <c r="E1579" s="4">
        <v>7622</v>
      </c>
      <c r="F1579" s="9">
        <v>0</v>
      </c>
      <c r="G1579" s="6">
        <v>5162</v>
      </c>
      <c r="H1579" s="9">
        <f t="shared" si="24"/>
        <v>7622</v>
      </c>
      <c r="I1579" s="6">
        <v>10075</v>
      </c>
      <c r="J1579" s="6">
        <f>VLOOKUP(Table1[[#This Row],[Province]],[1]Sheet1!$A$3:$F$37,5,FALSE)</f>
        <v>3720900</v>
      </c>
      <c r="K1579">
        <v>1</v>
      </c>
      <c r="L1579" s="4">
        <v>7.8014000000000001</v>
      </c>
      <c r="M1579" s="4">
        <v>110.3648</v>
      </c>
      <c r="N1579" s="6"/>
      <c r="P1579"/>
      <c r="Q1579" s="12"/>
      <c r="R1579" s="12"/>
    </row>
    <row r="1580" spans="1:18" x14ac:dyDescent="0.2">
      <c r="A1580">
        <v>14</v>
      </c>
      <c r="B1580" t="s">
        <v>34</v>
      </c>
      <c r="C1580">
        <v>2014</v>
      </c>
      <c r="D1580">
        <v>7</v>
      </c>
      <c r="E1580" s="4">
        <v>9184</v>
      </c>
      <c r="F1580" s="9">
        <v>0</v>
      </c>
      <c r="G1580" s="6">
        <v>3239</v>
      </c>
      <c r="H1580" s="9">
        <f t="shared" si="24"/>
        <v>9184</v>
      </c>
      <c r="I1580" s="6">
        <v>10000</v>
      </c>
      <c r="J1580" s="6">
        <f>VLOOKUP(Table1[[#This Row],[Province]],[1]Sheet1!$A$3:$F$37,5,FALSE)</f>
        <v>3720900</v>
      </c>
      <c r="K1580">
        <v>0</v>
      </c>
      <c r="L1580" s="4">
        <v>7.8014000000000001</v>
      </c>
      <c r="M1580" s="4">
        <v>110.3648</v>
      </c>
      <c r="N1580" s="6"/>
      <c r="P1580"/>
      <c r="Q1580" s="12"/>
      <c r="R1580" s="12"/>
    </row>
    <row r="1581" spans="1:18" x14ac:dyDescent="0.2">
      <c r="A1581">
        <v>14</v>
      </c>
      <c r="B1581" t="s">
        <v>34</v>
      </c>
      <c r="C1581">
        <v>2014</v>
      </c>
      <c r="D1581">
        <v>8</v>
      </c>
      <c r="E1581" s="4">
        <v>6002</v>
      </c>
      <c r="F1581" s="9">
        <v>0</v>
      </c>
      <c r="G1581" s="6">
        <v>3122</v>
      </c>
      <c r="H1581" s="9">
        <f t="shared" si="24"/>
        <v>6002</v>
      </c>
      <c r="I1581" s="6">
        <v>9925</v>
      </c>
      <c r="J1581" s="6">
        <f>VLOOKUP(Table1[[#This Row],[Province]],[1]Sheet1!$A$3:$F$37,5,FALSE)</f>
        <v>3720900</v>
      </c>
      <c r="K1581">
        <v>0</v>
      </c>
      <c r="L1581" s="4">
        <v>7.8014000000000001</v>
      </c>
      <c r="M1581" s="4">
        <v>110.3648</v>
      </c>
      <c r="N1581" s="6"/>
      <c r="P1581"/>
      <c r="Q1581" s="12"/>
      <c r="R1581" s="12"/>
    </row>
    <row r="1582" spans="1:18" x14ac:dyDescent="0.2">
      <c r="A1582">
        <v>14</v>
      </c>
      <c r="B1582" t="s">
        <v>34</v>
      </c>
      <c r="C1582">
        <v>2014</v>
      </c>
      <c r="D1582">
        <v>9</v>
      </c>
      <c r="E1582" s="4">
        <v>3774</v>
      </c>
      <c r="F1582" s="9">
        <v>0</v>
      </c>
      <c r="G1582" s="6">
        <v>3142</v>
      </c>
      <c r="H1582" s="9">
        <f t="shared" si="24"/>
        <v>3774</v>
      </c>
      <c r="I1582" s="6">
        <v>9691</v>
      </c>
      <c r="J1582" s="6">
        <f>VLOOKUP(Table1[[#This Row],[Province]],[1]Sheet1!$A$3:$F$37,5,FALSE)</f>
        <v>3720900</v>
      </c>
      <c r="K1582">
        <v>0</v>
      </c>
      <c r="L1582" s="4">
        <v>7.8014000000000001</v>
      </c>
      <c r="M1582" s="4">
        <v>110.3648</v>
      </c>
      <c r="N1582" s="6"/>
      <c r="P1582"/>
      <c r="Q1582" s="12"/>
      <c r="R1582" s="12"/>
    </row>
    <row r="1583" spans="1:18" x14ac:dyDescent="0.2">
      <c r="A1583">
        <v>14</v>
      </c>
      <c r="B1583" t="s">
        <v>34</v>
      </c>
      <c r="C1583">
        <v>2014</v>
      </c>
      <c r="D1583">
        <v>10</v>
      </c>
      <c r="E1583" s="4">
        <v>0</v>
      </c>
      <c r="F1583" s="9">
        <v>0</v>
      </c>
      <c r="G1583" s="6">
        <v>4661</v>
      </c>
      <c r="H1583" s="9">
        <f t="shared" si="24"/>
        <v>0</v>
      </c>
      <c r="I1583" s="6">
        <v>9676</v>
      </c>
      <c r="J1583" s="6">
        <f>VLOOKUP(Table1[[#This Row],[Province]],[1]Sheet1!$A$3:$F$37,5,FALSE)</f>
        <v>3720900</v>
      </c>
      <c r="K1583">
        <v>0</v>
      </c>
      <c r="L1583" s="4">
        <v>7.8014000000000001</v>
      </c>
      <c r="M1583" s="4">
        <v>110.3648</v>
      </c>
      <c r="N1583" s="6"/>
      <c r="P1583"/>
      <c r="Q1583" s="12"/>
      <c r="R1583" s="12"/>
    </row>
    <row r="1584" spans="1:18" x14ac:dyDescent="0.2">
      <c r="A1584">
        <v>14</v>
      </c>
      <c r="B1584" t="s">
        <v>34</v>
      </c>
      <c r="C1584">
        <v>2014</v>
      </c>
      <c r="D1584">
        <v>11</v>
      </c>
      <c r="E1584" s="4">
        <v>0</v>
      </c>
      <c r="F1584" s="9">
        <v>0</v>
      </c>
      <c r="G1584" s="6">
        <v>3720</v>
      </c>
      <c r="H1584" s="9">
        <f t="shared" si="24"/>
        <v>0</v>
      </c>
      <c r="I1584" s="6">
        <v>9762</v>
      </c>
      <c r="J1584" s="6">
        <f>VLOOKUP(Table1[[#This Row],[Province]],[1]Sheet1!$A$3:$F$37,5,FALSE)</f>
        <v>3720900</v>
      </c>
      <c r="K1584">
        <v>0</v>
      </c>
      <c r="L1584" s="4">
        <v>7.8014000000000001</v>
      </c>
      <c r="M1584" s="4">
        <v>110.3648</v>
      </c>
      <c r="N1584" s="6"/>
      <c r="P1584"/>
      <c r="Q1584" s="12"/>
      <c r="R1584" s="12"/>
    </row>
    <row r="1585" spans="1:18" x14ac:dyDescent="0.2">
      <c r="A1585">
        <v>14</v>
      </c>
      <c r="B1585" t="s">
        <v>34</v>
      </c>
      <c r="C1585">
        <v>2014</v>
      </c>
      <c r="D1585">
        <v>12</v>
      </c>
      <c r="E1585" s="4">
        <v>0</v>
      </c>
      <c r="F1585" s="9">
        <v>0</v>
      </c>
      <c r="G1585" s="6">
        <v>4337</v>
      </c>
      <c r="H1585" s="9">
        <f t="shared" si="24"/>
        <v>0</v>
      </c>
      <c r="I1585" s="6">
        <v>9900</v>
      </c>
      <c r="J1585" s="6">
        <f>VLOOKUP(Table1[[#This Row],[Province]],[1]Sheet1!$A$3:$F$37,5,FALSE)</f>
        <v>3720900</v>
      </c>
      <c r="K1585">
        <v>1</v>
      </c>
      <c r="L1585" s="4">
        <v>7.8014000000000001</v>
      </c>
      <c r="M1585" s="4">
        <v>110.3648</v>
      </c>
      <c r="N1585" s="6"/>
      <c r="P1585"/>
      <c r="Q1585" s="12"/>
      <c r="R1585" s="12"/>
    </row>
    <row r="1586" spans="1:18" x14ac:dyDescent="0.2">
      <c r="A1586">
        <v>14</v>
      </c>
      <c r="B1586" t="s">
        <v>34</v>
      </c>
      <c r="C1586">
        <v>2015</v>
      </c>
      <c r="D1586">
        <v>1</v>
      </c>
      <c r="E1586" s="4">
        <v>0</v>
      </c>
      <c r="F1586" s="9">
        <v>0</v>
      </c>
      <c r="G1586" s="6">
        <v>2132</v>
      </c>
      <c r="H1586" s="9">
        <f t="shared" si="24"/>
        <v>0</v>
      </c>
      <c r="I1586" s="6">
        <v>9900</v>
      </c>
      <c r="J1586" s="6">
        <f>VLOOKUP(Table1[[#This Row],[Province]],[1]Sheet1!$A$3:$F$37,5,FALSE)</f>
        <v>3720900</v>
      </c>
      <c r="K1586">
        <v>0</v>
      </c>
      <c r="L1586" s="4">
        <v>7.8014000000000001</v>
      </c>
      <c r="M1586" s="4">
        <v>110.3648</v>
      </c>
      <c r="N1586" s="6"/>
      <c r="P1586"/>
      <c r="Q1586" s="12"/>
      <c r="R1586" s="12"/>
    </row>
    <row r="1587" spans="1:18" x14ac:dyDescent="0.2">
      <c r="A1587">
        <v>14</v>
      </c>
      <c r="B1587" t="s">
        <v>34</v>
      </c>
      <c r="C1587">
        <v>2015</v>
      </c>
      <c r="D1587">
        <v>2</v>
      </c>
      <c r="E1587" s="4">
        <v>0</v>
      </c>
      <c r="F1587" s="9">
        <v>0</v>
      </c>
      <c r="G1587" s="6">
        <v>5377</v>
      </c>
      <c r="H1587" s="9">
        <f t="shared" si="24"/>
        <v>0</v>
      </c>
      <c r="I1587" s="6">
        <v>9900</v>
      </c>
      <c r="J1587" s="6">
        <f>VLOOKUP(Table1[[#This Row],[Province]],[1]Sheet1!$A$3:$F$37,5,FALSE)</f>
        <v>3720900</v>
      </c>
      <c r="K1587">
        <v>0</v>
      </c>
      <c r="L1587" s="4">
        <v>7.8014000000000001</v>
      </c>
      <c r="M1587" s="4">
        <v>110.3648</v>
      </c>
      <c r="N1587" s="6"/>
      <c r="P1587"/>
      <c r="Q1587" s="12"/>
      <c r="R1587" s="12"/>
    </row>
    <row r="1588" spans="1:18" x14ac:dyDescent="0.2">
      <c r="A1588">
        <v>14</v>
      </c>
      <c r="B1588" t="s">
        <v>34</v>
      </c>
      <c r="C1588">
        <v>2015</v>
      </c>
      <c r="D1588">
        <v>3</v>
      </c>
      <c r="E1588" s="4">
        <v>0</v>
      </c>
      <c r="F1588" s="9">
        <v>0</v>
      </c>
      <c r="G1588" s="6">
        <v>2440</v>
      </c>
      <c r="H1588" s="9">
        <f t="shared" si="24"/>
        <v>0</v>
      </c>
      <c r="I1588" s="6">
        <v>10411</v>
      </c>
      <c r="J1588" s="6">
        <f>VLOOKUP(Table1[[#This Row],[Province]],[1]Sheet1!$A$3:$F$37,5,FALSE)</f>
        <v>3720900</v>
      </c>
      <c r="K1588">
        <v>0</v>
      </c>
      <c r="L1588" s="4">
        <v>7.8014000000000001</v>
      </c>
      <c r="M1588" s="4">
        <v>110.3648</v>
      </c>
      <c r="N1588" s="6"/>
      <c r="P1588"/>
      <c r="Q1588" s="12"/>
      <c r="R1588" s="12"/>
    </row>
    <row r="1589" spans="1:18" x14ac:dyDescent="0.2">
      <c r="A1589">
        <v>14</v>
      </c>
      <c r="B1589" t="s">
        <v>34</v>
      </c>
      <c r="C1589">
        <v>2015</v>
      </c>
      <c r="D1589">
        <v>4</v>
      </c>
      <c r="E1589" s="4">
        <v>0</v>
      </c>
      <c r="F1589" s="9">
        <v>0</v>
      </c>
      <c r="G1589" s="6">
        <v>4042</v>
      </c>
      <c r="H1589" s="9">
        <f t="shared" si="24"/>
        <v>0</v>
      </c>
      <c r="I1589" s="6">
        <v>11262</v>
      </c>
      <c r="J1589" s="6">
        <f>VLOOKUP(Table1[[#This Row],[Province]],[1]Sheet1!$A$3:$F$37,5,FALSE)</f>
        <v>3720900</v>
      </c>
      <c r="K1589">
        <v>0</v>
      </c>
      <c r="L1589" s="4">
        <v>7.8014000000000001</v>
      </c>
      <c r="M1589" s="4">
        <v>110.3648</v>
      </c>
      <c r="N1589" s="6"/>
      <c r="P1589"/>
      <c r="Q1589" s="12"/>
      <c r="R1589" s="12"/>
    </row>
    <row r="1590" spans="1:18" x14ac:dyDescent="0.2">
      <c r="A1590">
        <v>14</v>
      </c>
      <c r="B1590" t="s">
        <v>34</v>
      </c>
      <c r="C1590">
        <v>2015</v>
      </c>
      <c r="D1590">
        <v>5</v>
      </c>
      <c r="E1590" s="4">
        <v>2722</v>
      </c>
      <c r="F1590" s="9">
        <v>0</v>
      </c>
      <c r="G1590" s="6">
        <v>3873</v>
      </c>
      <c r="H1590" s="9">
        <f t="shared" si="24"/>
        <v>2722</v>
      </c>
      <c r="I1590" s="6">
        <v>11789</v>
      </c>
      <c r="J1590" s="6">
        <f>VLOOKUP(Table1[[#This Row],[Province]],[1]Sheet1!$A$3:$F$37,5,FALSE)</f>
        <v>3720900</v>
      </c>
      <c r="K1590">
        <v>0</v>
      </c>
      <c r="L1590" s="4">
        <v>7.8014000000000001</v>
      </c>
      <c r="M1590" s="4">
        <v>110.3648</v>
      </c>
      <c r="N1590" s="6"/>
      <c r="P1590"/>
      <c r="Q1590" s="12"/>
      <c r="R1590" s="12"/>
    </row>
    <row r="1591" spans="1:18" x14ac:dyDescent="0.2">
      <c r="A1591">
        <v>14</v>
      </c>
      <c r="B1591" t="s">
        <v>34</v>
      </c>
      <c r="C1591">
        <v>2015</v>
      </c>
      <c r="D1591">
        <v>6</v>
      </c>
      <c r="E1591" s="4">
        <v>6455</v>
      </c>
      <c r="F1591" s="9">
        <v>0</v>
      </c>
      <c r="G1591" s="6">
        <v>4401</v>
      </c>
      <c r="H1591" s="9">
        <f t="shared" si="24"/>
        <v>6455</v>
      </c>
      <c r="I1591" s="6">
        <v>12448</v>
      </c>
      <c r="J1591" s="6">
        <f>VLOOKUP(Table1[[#This Row],[Province]],[1]Sheet1!$A$3:$F$37,5,FALSE)</f>
        <v>3720900</v>
      </c>
      <c r="K1591">
        <v>1</v>
      </c>
      <c r="L1591" s="4">
        <v>7.8014000000000001</v>
      </c>
      <c r="M1591" s="4">
        <v>110.3648</v>
      </c>
      <c r="N1591" s="6"/>
      <c r="P1591"/>
      <c r="Q1591" s="12"/>
      <c r="R1591" s="12"/>
    </row>
    <row r="1592" spans="1:18" x14ac:dyDescent="0.2">
      <c r="A1592">
        <v>14</v>
      </c>
      <c r="B1592" t="s">
        <v>34</v>
      </c>
      <c r="C1592">
        <v>2015</v>
      </c>
      <c r="D1592">
        <v>7</v>
      </c>
      <c r="E1592" s="4">
        <v>4171</v>
      </c>
      <c r="F1592" s="9">
        <v>0</v>
      </c>
      <c r="G1592" s="6">
        <v>3004</v>
      </c>
      <c r="H1592" s="9">
        <f t="shared" si="24"/>
        <v>4171</v>
      </c>
      <c r="I1592" s="6">
        <v>12011</v>
      </c>
      <c r="J1592" s="6">
        <f>VLOOKUP(Table1[[#This Row],[Province]],[1]Sheet1!$A$3:$F$37,5,FALSE)</f>
        <v>3720900</v>
      </c>
      <c r="K1592">
        <v>0</v>
      </c>
      <c r="L1592" s="4">
        <v>7.8014000000000001</v>
      </c>
      <c r="M1592" s="4">
        <v>110.3648</v>
      </c>
      <c r="N1592" s="6"/>
      <c r="P1592"/>
      <c r="Q1592" s="12"/>
      <c r="R1592" s="12"/>
    </row>
    <row r="1593" spans="1:18" x14ac:dyDescent="0.2">
      <c r="A1593">
        <v>14</v>
      </c>
      <c r="B1593" t="s">
        <v>34</v>
      </c>
      <c r="C1593">
        <v>2015</v>
      </c>
      <c r="D1593">
        <v>8</v>
      </c>
      <c r="E1593" s="4">
        <v>7465</v>
      </c>
      <c r="F1593" s="9">
        <v>0</v>
      </c>
      <c r="G1593" s="6">
        <v>2973</v>
      </c>
      <c r="H1593" s="9">
        <f t="shared" si="24"/>
        <v>7465</v>
      </c>
      <c r="I1593" s="6">
        <v>11300</v>
      </c>
      <c r="J1593" s="6">
        <f>VLOOKUP(Table1[[#This Row],[Province]],[1]Sheet1!$A$3:$F$37,5,FALSE)</f>
        <v>3720900</v>
      </c>
      <c r="K1593">
        <v>0</v>
      </c>
      <c r="L1593" s="4">
        <v>7.8014000000000001</v>
      </c>
      <c r="M1593" s="4">
        <v>110.3648</v>
      </c>
      <c r="N1593" s="6"/>
      <c r="P1593"/>
      <c r="Q1593" s="12"/>
      <c r="R1593" s="12"/>
    </row>
    <row r="1594" spans="1:18" x14ac:dyDescent="0.2">
      <c r="A1594">
        <v>14</v>
      </c>
      <c r="B1594" t="s">
        <v>34</v>
      </c>
      <c r="C1594">
        <v>2015</v>
      </c>
      <c r="D1594">
        <v>9</v>
      </c>
      <c r="E1594" s="4">
        <v>7070</v>
      </c>
      <c r="F1594" s="9">
        <v>0</v>
      </c>
      <c r="G1594" s="6">
        <v>3990</v>
      </c>
      <c r="H1594" s="9">
        <f t="shared" si="24"/>
        <v>7070</v>
      </c>
      <c r="I1594" s="6">
        <v>10990</v>
      </c>
      <c r="J1594" s="6">
        <f>VLOOKUP(Table1[[#This Row],[Province]],[1]Sheet1!$A$3:$F$37,5,FALSE)</f>
        <v>3720900</v>
      </c>
      <c r="K1594">
        <v>0</v>
      </c>
      <c r="L1594" s="4">
        <v>7.8014000000000001</v>
      </c>
      <c r="M1594" s="4">
        <v>110.3648</v>
      </c>
      <c r="N1594" s="6"/>
      <c r="P1594"/>
      <c r="Q1594" s="12"/>
      <c r="R1594" s="12"/>
    </row>
    <row r="1595" spans="1:18" x14ac:dyDescent="0.2">
      <c r="A1595">
        <v>14</v>
      </c>
      <c r="B1595" t="s">
        <v>34</v>
      </c>
      <c r="C1595">
        <v>2015</v>
      </c>
      <c r="D1595">
        <v>10</v>
      </c>
      <c r="E1595" s="4">
        <v>3895</v>
      </c>
      <c r="F1595" s="9">
        <v>0</v>
      </c>
      <c r="G1595" s="6">
        <v>2660</v>
      </c>
      <c r="H1595" s="9">
        <f t="shared" si="24"/>
        <v>3895</v>
      </c>
      <c r="I1595" s="6">
        <v>11643</v>
      </c>
      <c r="J1595" s="6">
        <f>VLOOKUP(Table1[[#This Row],[Province]],[1]Sheet1!$A$3:$F$37,5,FALSE)</f>
        <v>3720900</v>
      </c>
      <c r="K1595">
        <v>0</v>
      </c>
      <c r="L1595" s="4">
        <v>7.8014000000000001</v>
      </c>
      <c r="M1595" s="4">
        <v>110.3648</v>
      </c>
      <c r="N1595" s="6"/>
      <c r="P1595"/>
      <c r="Q1595" s="12"/>
      <c r="R1595" s="12"/>
    </row>
    <row r="1596" spans="1:18" x14ac:dyDescent="0.2">
      <c r="A1596">
        <v>14</v>
      </c>
      <c r="B1596" t="s">
        <v>34</v>
      </c>
      <c r="C1596">
        <v>2015</v>
      </c>
      <c r="D1596">
        <v>11</v>
      </c>
      <c r="E1596" s="4">
        <v>0</v>
      </c>
      <c r="F1596" s="9">
        <v>0</v>
      </c>
      <c r="G1596" s="6">
        <v>3507</v>
      </c>
      <c r="H1596" s="9">
        <f t="shared" si="24"/>
        <v>0</v>
      </c>
      <c r="I1596" s="6">
        <v>11962</v>
      </c>
      <c r="J1596" s="6">
        <f>VLOOKUP(Table1[[#This Row],[Province]],[1]Sheet1!$A$3:$F$37,5,FALSE)</f>
        <v>3720900</v>
      </c>
      <c r="K1596">
        <v>0</v>
      </c>
      <c r="L1596" s="4">
        <v>7.8014000000000001</v>
      </c>
      <c r="M1596" s="4">
        <v>110.3648</v>
      </c>
      <c r="N1596" s="6"/>
      <c r="P1596"/>
      <c r="Q1596" s="12"/>
      <c r="R1596" s="12"/>
    </row>
    <row r="1597" spans="1:18" x14ac:dyDescent="0.2">
      <c r="A1597">
        <v>14</v>
      </c>
      <c r="B1597" t="s">
        <v>34</v>
      </c>
      <c r="C1597">
        <v>2015</v>
      </c>
      <c r="D1597">
        <v>12</v>
      </c>
      <c r="E1597" s="4">
        <v>0</v>
      </c>
      <c r="F1597" s="9">
        <v>0</v>
      </c>
      <c r="G1597" s="6">
        <v>3759</v>
      </c>
      <c r="H1597" s="9">
        <f t="shared" si="24"/>
        <v>0</v>
      </c>
      <c r="I1597" s="6">
        <v>12150</v>
      </c>
      <c r="J1597" s="6">
        <f>VLOOKUP(Table1[[#This Row],[Province]],[1]Sheet1!$A$3:$F$37,5,FALSE)</f>
        <v>3720900</v>
      </c>
      <c r="K1597">
        <v>1</v>
      </c>
      <c r="L1597" s="4">
        <v>7.8014000000000001</v>
      </c>
      <c r="M1597" s="4">
        <v>110.3648</v>
      </c>
      <c r="N1597" s="6"/>
      <c r="P1597"/>
      <c r="Q1597" s="12"/>
      <c r="R1597" s="12"/>
    </row>
    <row r="1598" spans="1:18" x14ac:dyDescent="0.2">
      <c r="A1598">
        <v>14</v>
      </c>
      <c r="B1598" t="s">
        <v>34</v>
      </c>
      <c r="C1598">
        <v>2016</v>
      </c>
      <c r="D1598">
        <v>1</v>
      </c>
      <c r="E1598" s="4">
        <v>0</v>
      </c>
      <c r="F1598" s="9">
        <v>0</v>
      </c>
      <c r="G1598" s="6">
        <v>4171</v>
      </c>
      <c r="H1598" s="9">
        <f t="shared" si="24"/>
        <v>0</v>
      </c>
      <c r="I1598" s="6">
        <v>12840</v>
      </c>
      <c r="J1598" s="6">
        <f>VLOOKUP(Table1[[#This Row],[Province]],[1]Sheet1!$A$3:$F$37,5,FALSE)</f>
        <v>3720900</v>
      </c>
      <c r="K1598">
        <v>0</v>
      </c>
      <c r="L1598" s="4">
        <v>7.8014000000000001</v>
      </c>
      <c r="M1598" s="4">
        <v>110.3648</v>
      </c>
      <c r="N1598" s="13">
        <v>5.05</v>
      </c>
      <c r="P1598"/>
      <c r="Q1598" s="12"/>
      <c r="R1598" s="12"/>
    </row>
    <row r="1599" spans="1:18" x14ac:dyDescent="0.2">
      <c r="A1599">
        <v>14</v>
      </c>
      <c r="B1599" t="s">
        <v>34</v>
      </c>
      <c r="C1599">
        <v>2016</v>
      </c>
      <c r="D1599">
        <v>2</v>
      </c>
      <c r="E1599" s="4">
        <v>0</v>
      </c>
      <c r="F1599" s="9">
        <v>0</v>
      </c>
      <c r="G1599" s="6">
        <v>4569</v>
      </c>
      <c r="H1599" s="9">
        <f t="shared" si="24"/>
        <v>0</v>
      </c>
      <c r="I1599" s="6">
        <v>12785</v>
      </c>
      <c r="J1599" s="6">
        <f>VLOOKUP(Table1[[#This Row],[Province]],[1]Sheet1!$A$3:$F$37,5,FALSE)</f>
        <v>3720900</v>
      </c>
      <c r="K1599">
        <v>0</v>
      </c>
      <c r="L1599" s="4">
        <v>7.8014000000000001</v>
      </c>
      <c r="M1599" s="4">
        <v>110.3648</v>
      </c>
      <c r="N1599" s="13">
        <v>5.05</v>
      </c>
      <c r="P1599"/>
      <c r="Q1599" s="12"/>
      <c r="R1599" s="12"/>
    </row>
    <row r="1600" spans="1:18" x14ac:dyDescent="0.2">
      <c r="A1600">
        <v>14</v>
      </c>
      <c r="B1600" t="s">
        <v>34</v>
      </c>
      <c r="C1600">
        <v>2016</v>
      </c>
      <c r="D1600">
        <v>3</v>
      </c>
      <c r="E1600" s="4">
        <v>0</v>
      </c>
      <c r="F1600" s="9">
        <v>0</v>
      </c>
      <c r="G1600" s="6">
        <v>4745</v>
      </c>
      <c r="H1600" s="9">
        <f t="shared" si="24"/>
        <v>0</v>
      </c>
      <c r="I1600" s="6">
        <v>12557</v>
      </c>
      <c r="J1600" s="6">
        <f>VLOOKUP(Table1[[#This Row],[Province]],[1]Sheet1!$A$3:$F$37,5,FALSE)</f>
        <v>3720900</v>
      </c>
      <c r="K1600">
        <v>0</v>
      </c>
      <c r="L1600" s="4">
        <v>7.8014000000000001</v>
      </c>
      <c r="M1600" s="4">
        <v>110.3648</v>
      </c>
      <c r="N1600" s="13">
        <v>5.05</v>
      </c>
      <c r="P1600"/>
      <c r="Q1600" s="12"/>
      <c r="R1600" s="12"/>
    </row>
    <row r="1601" spans="1:18" x14ac:dyDescent="0.2">
      <c r="A1601">
        <v>14</v>
      </c>
      <c r="B1601" t="s">
        <v>34</v>
      </c>
      <c r="C1601">
        <v>2016</v>
      </c>
      <c r="D1601">
        <v>4</v>
      </c>
      <c r="E1601" s="4">
        <v>0</v>
      </c>
      <c r="F1601" s="9">
        <v>0</v>
      </c>
      <c r="G1601" s="6">
        <v>2117</v>
      </c>
      <c r="H1601" s="9">
        <f t="shared" si="24"/>
        <v>0</v>
      </c>
      <c r="I1601" s="6">
        <v>13248</v>
      </c>
      <c r="J1601" s="6">
        <f>VLOOKUP(Table1[[#This Row],[Province]],[1]Sheet1!$A$3:$F$37,5,FALSE)</f>
        <v>3720900</v>
      </c>
      <c r="K1601">
        <v>0</v>
      </c>
      <c r="L1601" s="4">
        <v>7.8014000000000001</v>
      </c>
      <c r="M1601" s="4">
        <v>110.3648</v>
      </c>
      <c r="N1601" s="13">
        <v>5.05</v>
      </c>
      <c r="P1601"/>
      <c r="Q1601" s="12"/>
      <c r="R1601" s="12"/>
    </row>
    <row r="1602" spans="1:18" x14ac:dyDescent="0.2">
      <c r="A1602">
        <v>14</v>
      </c>
      <c r="B1602" t="s">
        <v>34</v>
      </c>
      <c r="C1602">
        <v>2016</v>
      </c>
      <c r="D1602">
        <v>5</v>
      </c>
      <c r="E1602" s="4">
        <v>0</v>
      </c>
      <c r="F1602" s="9">
        <v>0</v>
      </c>
      <c r="G1602" s="6">
        <v>3454</v>
      </c>
      <c r="H1602" s="9">
        <f t="shared" ref="H1602:H1665" si="25">F1602+E1602</f>
        <v>0</v>
      </c>
      <c r="I1602" s="6">
        <v>15235</v>
      </c>
      <c r="J1602" s="6">
        <f>VLOOKUP(Table1[[#This Row],[Province]],[1]Sheet1!$A$3:$F$37,5,FALSE)</f>
        <v>3720900</v>
      </c>
      <c r="K1602">
        <v>0</v>
      </c>
      <c r="L1602" s="4">
        <v>7.8014000000000001</v>
      </c>
      <c r="M1602" s="4">
        <v>110.3648</v>
      </c>
      <c r="N1602" s="13">
        <v>5.05</v>
      </c>
      <c r="P1602"/>
      <c r="Q1602" s="12"/>
      <c r="R1602" s="12"/>
    </row>
    <row r="1603" spans="1:18" x14ac:dyDescent="0.2">
      <c r="A1603">
        <v>14</v>
      </c>
      <c r="B1603" t="s">
        <v>34</v>
      </c>
      <c r="C1603">
        <v>2016</v>
      </c>
      <c r="D1603">
        <v>6</v>
      </c>
      <c r="E1603" s="4">
        <v>3490</v>
      </c>
      <c r="F1603" s="9">
        <v>0</v>
      </c>
      <c r="G1603" s="6">
        <v>3828</v>
      </c>
      <c r="H1603" s="9">
        <f t="shared" si="25"/>
        <v>3490</v>
      </c>
      <c r="I1603" s="6">
        <v>15500</v>
      </c>
      <c r="J1603" s="6">
        <f>VLOOKUP(Table1[[#This Row],[Province]],[1]Sheet1!$A$3:$F$37,5,FALSE)</f>
        <v>3720900</v>
      </c>
      <c r="K1603">
        <v>1</v>
      </c>
      <c r="L1603" s="4">
        <v>7.8014000000000001</v>
      </c>
      <c r="M1603" s="4">
        <v>110.3648</v>
      </c>
      <c r="N1603" s="13">
        <v>5.05</v>
      </c>
      <c r="P1603"/>
      <c r="Q1603" s="12"/>
      <c r="R1603" s="12"/>
    </row>
    <row r="1604" spans="1:18" x14ac:dyDescent="0.2">
      <c r="A1604">
        <v>14</v>
      </c>
      <c r="B1604" t="s">
        <v>34</v>
      </c>
      <c r="C1604">
        <v>2016</v>
      </c>
      <c r="D1604">
        <v>7</v>
      </c>
      <c r="E1604" s="4">
        <v>0</v>
      </c>
      <c r="F1604" s="9">
        <v>0</v>
      </c>
      <c r="G1604" s="6">
        <v>3653</v>
      </c>
      <c r="H1604" s="9">
        <f t="shared" si="25"/>
        <v>0</v>
      </c>
      <c r="I1604" s="6">
        <v>15350</v>
      </c>
      <c r="J1604" s="6">
        <f>VLOOKUP(Table1[[#This Row],[Province]],[1]Sheet1!$A$3:$F$37,5,FALSE)</f>
        <v>3720900</v>
      </c>
      <c r="K1604">
        <v>0</v>
      </c>
      <c r="L1604" s="4">
        <v>7.8014000000000001</v>
      </c>
      <c r="M1604" s="4">
        <v>110.3648</v>
      </c>
      <c r="N1604" s="13">
        <v>5.05</v>
      </c>
      <c r="P1604"/>
      <c r="Q1604" s="12"/>
      <c r="R1604" s="12"/>
    </row>
    <row r="1605" spans="1:18" x14ac:dyDescent="0.2">
      <c r="A1605">
        <v>14</v>
      </c>
      <c r="B1605" t="s">
        <v>34</v>
      </c>
      <c r="C1605">
        <v>2016</v>
      </c>
      <c r="D1605">
        <v>8</v>
      </c>
      <c r="E1605" s="4">
        <v>0</v>
      </c>
      <c r="F1605" s="9">
        <v>0</v>
      </c>
      <c r="G1605" s="6">
        <v>3609</v>
      </c>
      <c r="H1605" s="9">
        <f t="shared" si="25"/>
        <v>0</v>
      </c>
      <c r="I1605" s="6">
        <v>14159</v>
      </c>
      <c r="J1605" s="6">
        <f>VLOOKUP(Table1[[#This Row],[Province]],[1]Sheet1!$A$3:$F$37,5,FALSE)</f>
        <v>3720900</v>
      </c>
      <c r="K1605">
        <v>0</v>
      </c>
      <c r="L1605" s="4">
        <v>7.8014000000000001</v>
      </c>
      <c r="M1605" s="4">
        <v>110.3648</v>
      </c>
      <c r="N1605" s="13">
        <v>5.05</v>
      </c>
      <c r="P1605"/>
      <c r="Q1605" s="12"/>
      <c r="R1605" s="12"/>
    </row>
    <row r="1606" spans="1:18" x14ac:dyDescent="0.2">
      <c r="A1606">
        <v>14</v>
      </c>
      <c r="B1606" t="s">
        <v>34</v>
      </c>
      <c r="C1606">
        <v>2016</v>
      </c>
      <c r="D1606">
        <v>9</v>
      </c>
      <c r="E1606" s="4">
        <v>0</v>
      </c>
      <c r="F1606" s="9">
        <v>0</v>
      </c>
      <c r="G1606" s="6">
        <v>1395</v>
      </c>
      <c r="H1606" s="9">
        <f t="shared" si="25"/>
        <v>0</v>
      </c>
      <c r="I1606" s="6">
        <v>13319</v>
      </c>
      <c r="J1606" s="6">
        <f>VLOOKUP(Table1[[#This Row],[Province]],[1]Sheet1!$A$3:$F$37,6,FALSE)</f>
        <v>3762200</v>
      </c>
      <c r="K1606">
        <v>0</v>
      </c>
      <c r="L1606" s="4">
        <v>7.8014000000000001</v>
      </c>
      <c r="M1606" s="4">
        <v>110.3648</v>
      </c>
      <c r="N1606" s="13">
        <v>5.05</v>
      </c>
      <c r="P1606"/>
      <c r="Q1606" s="12"/>
      <c r="R1606" s="12"/>
    </row>
    <row r="1607" spans="1:18" x14ac:dyDescent="0.2">
      <c r="A1607">
        <v>14</v>
      </c>
      <c r="B1607" t="s">
        <v>34</v>
      </c>
      <c r="C1607">
        <v>2016</v>
      </c>
      <c r="D1607">
        <v>10</v>
      </c>
      <c r="E1607" s="4">
        <v>0</v>
      </c>
      <c r="F1607" s="9">
        <v>0</v>
      </c>
      <c r="G1607" s="6">
        <v>6094</v>
      </c>
      <c r="H1607" s="9">
        <f t="shared" si="25"/>
        <v>0</v>
      </c>
      <c r="I1607" s="6">
        <v>13310</v>
      </c>
      <c r="J1607" s="6">
        <f>VLOOKUP(Table1[[#This Row],[Province]],[1]Sheet1!$A$3:$F$37,6,FALSE)</f>
        <v>3762200</v>
      </c>
      <c r="K1607">
        <v>0</v>
      </c>
      <c r="L1607" s="4">
        <v>7.8014000000000001</v>
      </c>
      <c r="M1607" s="4">
        <v>110.3648</v>
      </c>
      <c r="N1607" s="13">
        <v>5.05</v>
      </c>
      <c r="P1607"/>
      <c r="Q1607" s="12"/>
      <c r="R1607" s="12"/>
    </row>
    <row r="1608" spans="1:18" x14ac:dyDescent="0.2">
      <c r="A1608">
        <v>14</v>
      </c>
      <c r="B1608" t="s">
        <v>34</v>
      </c>
      <c r="C1608">
        <v>2016</v>
      </c>
      <c r="D1608">
        <v>11</v>
      </c>
      <c r="E1608" s="4">
        <v>0</v>
      </c>
      <c r="F1608" s="9">
        <v>0</v>
      </c>
      <c r="G1608" s="6">
        <v>1725</v>
      </c>
      <c r="H1608" s="9">
        <f t="shared" si="25"/>
        <v>0</v>
      </c>
      <c r="I1608" s="6">
        <v>13255</v>
      </c>
      <c r="J1608" s="6">
        <f>VLOOKUP(Table1[[#This Row],[Province]],[1]Sheet1!$A$3:$F$37,6,FALSE)</f>
        <v>3762200</v>
      </c>
      <c r="K1608">
        <v>0</v>
      </c>
      <c r="L1608" s="4">
        <v>7.8014000000000001</v>
      </c>
      <c r="M1608" s="4">
        <v>110.3648</v>
      </c>
      <c r="N1608" s="13">
        <v>5.05</v>
      </c>
      <c r="P1608"/>
      <c r="Q1608" s="12"/>
      <c r="R1608" s="12"/>
    </row>
    <row r="1609" spans="1:18" x14ac:dyDescent="0.2">
      <c r="A1609">
        <v>14</v>
      </c>
      <c r="B1609" t="s">
        <v>34</v>
      </c>
      <c r="C1609">
        <v>2016</v>
      </c>
      <c r="D1609">
        <v>12</v>
      </c>
      <c r="E1609" s="4">
        <v>0</v>
      </c>
      <c r="F1609" s="9">
        <v>0</v>
      </c>
      <c r="G1609" s="6">
        <v>1727</v>
      </c>
      <c r="H1609" s="9">
        <f t="shared" si="25"/>
        <v>0</v>
      </c>
      <c r="I1609" s="6">
        <v>13255</v>
      </c>
      <c r="J1609" s="6">
        <f>VLOOKUP(Table1[[#This Row],[Province]],[1]Sheet1!$A$3:$F$37,6,FALSE)</f>
        <v>3762200</v>
      </c>
      <c r="K1609">
        <v>1</v>
      </c>
      <c r="L1609" s="4">
        <v>7.8014000000000001</v>
      </c>
      <c r="M1609" s="4">
        <v>110.3648</v>
      </c>
      <c r="N1609" s="13">
        <v>5.05</v>
      </c>
      <c r="P1609"/>
      <c r="Q1609" s="12"/>
      <c r="R1609" s="12"/>
    </row>
    <row r="1610" spans="1:18" x14ac:dyDescent="0.2">
      <c r="A1610">
        <v>14</v>
      </c>
      <c r="B1610" t="s">
        <v>34</v>
      </c>
      <c r="C1610">
        <v>2017</v>
      </c>
      <c r="D1610">
        <v>1</v>
      </c>
      <c r="E1610" s="4">
        <v>0</v>
      </c>
      <c r="F1610" s="9">
        <v>0</v>
      </c>
      <c r="G1610" s="6">
        <v>3422</v>
      </c>
      <c r="H1610" s="9">
        <f t="shared" si="25"/>
        <v>0</v>
      </c>
      <c r="I1610" s="6">
        <v>13110</v>
      </c>
      <c r="J1610" s="6">
        <f>VLOOKUP(Table1[[#This Row],[Province]],[1]Sheet1!$A$3:$F$37,6,FALSE)</f>
        <v>3762200</v>
      </c>
      <c r="K1610">
        <v>0</v>
      </c>
      <c r="L1610" s="4">
        <v>7.8014000000000001</v>
      </c>
      <c r="M1610" s="4">
        <v>110.3648</v>
      </c>
      <c r="N1610" s="13">
        <v>5.26</v>
      </c>
      <c r="P1610"/>
      <c r="Q1610" s="12"/>
      <c r="R1610" s="12"/>
    </row>
    <row r="1611" spans="1:18" x14ac:dyDescent="0.2">
      <c r="A1611">
        <v>14</v>
      </c>
      <c r="B1611" t="s">
        <v>34</v>
      </c>
      <c r="C1611">
        <v>2017</v>
      </c>
      <c r="D1611">
        <v>2</v>
      </c>
      <c r="E1611" s="4">
        <v>0</v>
      </c>
      <c r="F1611" s="9">
        <v>0</v>
      </c>
      <c r="G1611" s="6">
        <v>1966</v>
      </c>
      <c r="H1611" s="9">
        <f t="shared" si="25"/>
        <v>0</v>
      </c>
      <c r="I1611" s="6">
        <v>13100</v>
      </c>
      <c r="J1611" s="6">
        <f>VLOOKUP(Table1[[#This Row],[Province]],[1]Sheet1!$A$3:$F$37,6,FALSE)</f>
        <v>3762200</v>
      </c>
      <c r="K1611">
        <v>0</v>
      </c>
      <c r="L1611" s="4">
        <v>7.8014000000000001</v>
      </c>
      <c r="M1611" s="4">
        <v>110.3648</v>
      </c>
      <c r="N1611" s="13">
        <v>5.26</v>
      </c>
      <c r="P1611"/>
      <c r="Q1611" s="12"/>
      <c r="R1611" s="12"/>
    </row>
    <row r="1612" spans="1:18" x14ac:dyDescent="0.2">
      <c r="A1612">
        <v>14</v>
      </c>
      <c r="B1612" t="s">
        <v>34</v>
      </c>
      <c r="C1612">
        <v>2017</v>
      </c>
      <c r="D1612">
        <v>3</v>
      </c>
      <c r="E1612" s="4">
        <v>0</v>
      </c>
      <c r="F1612" s="9">
        <v>0</v>
      </c>
      <c r="G1612" s="6">
        <v>1536</v>
      </c>
      <c r="H1612" s="9">
        <f t="shared" si="25"/>
        <v>0</v>
      </c>
      <c r="I1612" s="6">
        <v>13100</v>
      </c>
      <c r="J1612" s="6">
        <f>VLOOKUP(Table1[[#This Row],[Province]],[1]Sheet1!$A$3:$F$37,6,FALSE)</f>
        <v>3762200</v>
      </c>
      <c r="K1612">
        <v>0</v>
      </c>
      <c r="L1612" s="4">
        <v>7.8014000000000001</v>
      </c>
      <c r="M1612" s="4">
        <v>110.3648</v>
      </c>
      <c r="N1612" s="13">
        <v>5.26</v>
      </c>
      <c r="P1612"/>
      <c r="Q1612" s="12"/>
      <c r="R1612" s="12"/>
    </row>
    <row r="1613" spans="1:18" x14ac:dyDescent="0.2">
      <c r="A1613">
        <v>14</v>
      </c>
      <c r="B1613" t="s">
        <v>34</v>
      </c>
      <c r="C1613">
        <v>2017</v>
      </c>
      <c r="D1613">
        <v>4</v>
      </c>
      <c r="E1613" s="4">
        <v>0</v>
      </c>
      <c r="F1613" s="9">
        <v>0</v>
      </c>
      <c r="G1613" s="6">
        <v>1097</v>
      </c>
      <c r="H1613" s="9">
        <f t="shared" si="25"/>
        <v>0</v>
      </c>
      <c r="I1613" s="6">
        <v>13229</v>
      </c>
      <c r="J1613" s="6">
        <f>VLOOKUP(Table1[[#This Row],[Province]],[1]Sheet1!$A$3:$F$37,6,FALSE)</f>
        <v>3762200</v>
      </c>
      <c r="K1613">
        <v>0</v>
      </c>
      <c r="L1613" s="4">
        <v>7.8014000000000001</v>
      </c>
      <c r="M1613" s="4">
        <v>110.3648</v>
      </c>
      <c r="N1613" s="13">
        <v>5.26</v>
      </c>
      <c r="P1613"/>
      <c r="Q1613" s="12"/>
      <c r="R1613" s="12"/>
    </row>
    <row r="1614" spans="1:18" x14ac:dyDescent="0.2">
      <c r="A1614">
        <v>14</v>
      </c>
      <c r="B1614" t="s">
        <v>34</v>
      </c>
      <c r="C1614">
        <v>2017</v>
      </c>
      <c r="D1614">
        <v>5</v>
      </c>
      <c r="E1614" s="4">
        <v>4105</v>
      </c>
      <c r="F1614" s="9">
        <v>0</v>
      </c>
      <c r="G1614" s="6">
        <v>1057</v>
      </c>
      <c r="H1614" s="9">
        <f t="shared" si="25"/>
        <v>4105</v>
      </c>
      <c r="I1614" s="6">
        <v>13015</v>
      </c>
      <c r="J1614" s="6">
        <f>VLOOKUP(Table1[[#This Row],[Province]],[1]Sheet1!$A$3:$F$37,6,FALSE)</f>
        <v>3762200</v>
      </c>
      <c r="K1614">
        <v>1</v>
      </c>
      <c r="L1614" s="4">
        <v>7.8014000000000001</v>
      </c>
      <c r="M1614" s="4">
        <v>110.3648</v>
      </c>
      <c r="N1614" s="13">
        <v>5.26</v>
      </c>
      <c r="P1614"/>
      <c r="Q1614" s="12"/>
      <c r="R1614" s="12"/>
    </row>
    <row r="1615" spans="1:18" x14ac:dyDescent="0.2">
      <c r="A1615">
        <v>14</v>
      </c>
      <c r="B1615" t="s">
        <v>34</v>
      </c>
      <c r="C1615">
        <v>2017</v>
      </c>
      <c r="D1615">
        <v>6</v>
      </c>
      <c r="E1615" s="4">
        <v>4287</v>
      </c>
      <c r="F1615" s="9">
        <v>0</v>
      </c>
      <c r="G1615" s="6">
        <v>1955</v>
      </c>
      <c r="H1615" s="9">
        <f t="shared" si="25"/>
        <v>4287</v>
      </c>
      <c r="I1615" s="6">
        <v>12607</v>
      </c>
      <c r="J1615" s="6">
        <f>VLOOKUP(Table1[[#This Row],[Province]],[1]Sheet1!$A$3:$F$37,6,FALSE)</f>
        <v>3762200</v>
      </c>
      <c r="K1615">
        <v>0</v>
      </c>
      <c r="L1615" s="4">
        <v>7.8014000000000001</v>
      </c>
      <c r="M1615" s="4">
        <v>110.3648</v>
      </c>
      <c r="N1615" s="13">
        <v>5.26</v>
      </c>
      <c r="P1615"/>
      <c r="Q1615" s="12"/>
      <c r="R1615" s="12"/>
    </row>
    <row r="1616" spans="1:18" x14ac:dyDescent="0.2">
      <c r="A1616">
        <v>14</v>
      </c>
      <c r="B1616" t="s">
        <v>34</v>
      </c>
      <c r="C1616">
        <v>2017</v>
      </c>
      <c r="D1616">
        <v>7</v>
      </c>
      <c r="E1616" s="4">
        <v>5783</v>
      </c>
      <c r="F1616" s="9">
        <v>0</v>
      </c>
      <c r="G1616" s="6">
        <v>2177</v>
      </c>
      <c r="H1616" s="9">
        <f t="shared" si="25"/>
        <v>5783</v>
      </c>
      <c r="I1616" s="6">
        <v>12471</v>
      </c>
      <c r="J1616" s="6">
        <f>VLOOKUP(Table1[[#This Row],[Province]],[1]Sheet1!$A$3:$F$37,6,FALSE)</f>
        <v>3762200</v>
      </c>
      <c r="K1616">
        <v>0</v>
      </c>
      <c r="L1616" s="4">
        <v>7.8014000000000001</v>
      </c>
      <c r="M1616" s="4">
        <v>110.3648</v>
      </c>
      <c r="N1616" s="13">
        <v>5.26</v>
      </c>
      <c r="P1616"/>
      <c r="Q1616" s="12"/>
      <c r="R1616" s="12"/>
    </row>
    <row r="1617" spans="1:18" x14ac:dyDescent="0.2">
      <c r="A1617">
        <v>14</v>
      </c>
      <c r="B1617" t="s">
        <v>34</v>
      </c>
      <c r="C1617">
        <v>2017</v>
      </c>
      <c r="D1617">
        <v>8</v>
      </c>
      <c r="E1617" s="4">
        <v>5787</v>
      </c>
      <c r="F1617" s="9">
        <v>0</v>
      </c>
      <c r="G1617" s="6">
        <v>4173</v>
      </c>
      <c r="H1617" s="9">
        <f t="shared" si="25"/>
        <v>5787</v>
      </c>
      <c r="I1617" s="6">
        <v>11659</v>
      </c>
      <c r="J1617" s="6">
        <f>VLOOKUP(Table1[[#This Row],[Province]],[1]Sheet1!$A$3:$F$37,6,FALSE)</f>
        <v>3762200</v>
      </c>
      <c r="K1617">
        <v>0</v>
      </c>
      <c r="L1617" s="4">
        <v>7.8014000000000001</v>
      </c>
      <c r="M1617" s="4">
        <v>110.3648</v>
      </c>
      <c r="N1617" s="13">
        <v>5.26</v>
      </c>
      <c r="P1617"/>
      <c r="Q1617" s="12"/>
      <c r="R1617" s="12"/>
    </row>
    <row r="1618" spans="1:18" x14ac:dyDescent="0.2">
      <c r="A1618">
        <v>14</v>
      </c>
      <c r="B1618" t="s">
        <v>34</v>
      </c>
      <c r="C1618">
        <v>2017</v>
      </c>
      <c r="D1618">
        <v>9</v>
      </c>
      <c r="E1618" s="4">
        <v>2304</v>
      </c>
      <c r="F1618" s="9">
        <v>0</v>
      </c>
      <c r="G1618" s="6">
        <v>4043</v>
      </c>
      <c r="H1618" s="9">
        <f t="shared" si="25"/>
        <v>2304</v>
      </c>
      <c r="I1618" s="6">
        <v>11600</v>
      </c>
      <c r="J1618" s="6">
        <f>VLOOKUP(Table1[[#This Row],[Province]],[1]Sheet1!$A$3:$F$37,6,FALSE)</f>
        <v>3762200</v>
      </c>
      <c r="K1618">
        <v>0</v>
      </c>
      <c r="L1618" s="4">
        <v>7.8014000000000001</v>
      </c>
      <c r="M1618" s="4">
        <v>110.3648</v>
      </c>
      <c r="N1618" s="13">
        <v>5.26</v>
      </c>
      <c r="P1618"/>
      <c r="Q1618" s="12"/>
      <c r="R1618" s="12"/>
    </row>
    <row r="1619" spans="1:18" x14ac:dyDescent="0.2">
      <c r="A1619">
        <v>14</v>
      </c>
      <c r="B1619" t="s">
        <v>34</v>
      </c>
      <c r="C1619">
        <v>2017</v>
      </c>
      <c r="D1619">
        <v>10</v>
      </c>
      <c r="E1619" s="4">
        <v>0</v>
      </c>
      <c r="F1619" s="9">
        <v>0</v>
      </c>
      <c r="G1619" s="6">
        <v>5248</v>
      </c>
      <c r="H1619" s="9">
        <f t="shared" si="25"/>
        <v>0</v>
      </c>
      <c r="I1619" s="6">
        <v>11636</v>
      </c>
      <c r="J1619" s="6">
        <f>VLOOKUP(Table1[[#This Row],[Province]],[1]Sheet1!$A$3:$F$37,6,FALSE)</f>
        <v>3762200</v>
      </c>
      <c r="K1619">
        <v>0</v>
      </c>
      <c r="L1619" s="4">
        <v>7.8014000000000001</v>
      </c>
      <c r="M1619" s="4">
        <v>110.3648</v>
      </c>
      <c r="N1619" s="13">
        <v>5.26</v>
      </c>
      <c r="P1619"/>
      <c r="Q1619" s="12"/>
      <c r="R1619" s="12"/>
    </row>
    <row r="1620" spans="1:18" x14ac:dyDescent="0.2">
      <c r="A1620">
        <v>14</v>
      </c>
      <c r="B1620" t="s">
        <v>34</v>
      </c>
      <c r="C1620">
        <v>2017</v>
      </c>
      <c r="D1620">
        <v>11</v>
      </c>
      <c r="E1620" s="4">
        <v>0</v>
      </c>
      <c r="F1620" s="9">
        <v>0</v>
      </c>
      <c r="G1620" s="6">
        <v>1371</v>
      </c>
      <c r="H1620" s="9">
        <f t="shared" si="25"/>
        <v>0</v>
      </c>
      <c r="I1620" s="6">
        <v>11709</v>
      </c>
      <c r="J1620" s="6">
        <f>VLOOKUP(Table1[[#This Row],[Province]],[1]Sheet1!$A$3:$F$37,6,FALSE)</f>
        <v>3762200</v>
      </c>
      <c r="K1620">
        <v>0</v>
      </c>
      <c r="L1620" s="4">
        <v>7.8014000000000001</v>
      </c>
      <c r="M1620" s="4">
        <v>110.3648</v>
      </c>
      <c r="N1620" s="13">
        <v>5.26</v>
      </c>
      <c r="P1620"/>
      <c r="Q1620" s="12"/>
      <c r="R1620" s="12"/>
    </row>
    <row r="1621" spans="1:18" x14ac:dyDescent="0.2">
      <c r="A1621">
        <v>14</v>
      </c>
      <c r="B1621" t="s">
        <v>34</v>
      </c>
      <c r="C1621">
        <v>2017</v>
      </c>
      <c r="D1621">
        <v>12</v>
      </c>
      <c r="E1621" s="4">
        <v>0</v>
      </c>
      <c r="F1621" s="9">
        <v>0</v>
      </c>
      <c r="G1621" s="6">
        <v>2555</v>
      </c>
      <c r="H1621" s="9">
        <f t="shared" si="25"/>
        <v>0</v>
      </c>
      <c r="I1621" s="6">
        <v>11800</v>
      </c>
      <c r="J1621" s="6">
        <f>VLOOKUP(Table1[[#This Row],[Province]],[1]Sheet1!$A$3:$F$37,6,FALSE)</f>
        <v>3762200</v>
      </c>
      <c r="K1621">
        <v>1</v>
      </c>
      <c r="L1621" s="4">
        <v>7.8014000000000001</v>
      </c>
      <c r="M1621" s="4">
        <v>110.3648</v>
      </c>
      <c r="N1621" s="13">
        <v>5.26</v>
      </c>
      <c r="P1621"/>
      <c r="Q1621" s="12"/>
      <c r="R1621" s="12"/>
    </row>
    <row r="1622" spans="1:18" x14ac:dyDescent="0.2">
      <c r="A1622">
        <v>14</v>
      </c>
      <c r="B1622" t="s">
        <v>34</v>
      </c>
      <c r="C1622">
        <v>2018</v>
      </c>
      <c r="D1622">
        <v>1</v>
      </c>
      <c r="E1622" s="4">
        <v>0</v>
      </c>
      <c r="F1622" s="9">
        <v>0</v>
      </c>
      <c r="G1622" s="6">
        <v>2658</v>
      </c>
      <c r="H1622" s="9">
        <f t="shared" si="25"/>
        <v>0</v>
      </c>
      <c r="I1622" s="6">
        <v>12000</v>
      </c>
      <c r="J1622" s="6">
        <f>VLOOKUP(Table1[[#This Row],[Province]],[1]Sheet1!$A$3:$F$37,6,FALSE)</f>
        <v>3762200</v>
      </c>
      <c r="K1622">
        <v>0</v>
      </c>
      <c r="L1622" s="4">
        <v>7.8014000000000001</v>
      </c>
      <c r="M1622" s="4">
        <v>110.3648</v>
      </c>
      <c r="N1622" s="13">
        <v>6.2</v>
      </c>
      <c r="P1622"/>
      <c r="Q1622" s="12"/>
      <c r="R1622" s="12"/>
    </row>
    <row r="1623" spans="1:18" x14ac:dyDescent="0.2">
      <c r="A1623">
        <v>14</v>
      </c>
      <c r="B1623" t="s">
        <v>34</v>
      </c>
      <c r="C1623">
        <v>2018</v>
      </c>
      <c r="D1623">
        <v>2</v>
      </c>
      <c r="E1623" s="4">
        <v>0</v>
      </c>
      <c r="F1623" s="9">
        <v>0</v>
      </c>
      <c r="G1623" s="6">
        <v>1960</v>
      </c>
      <c r="H1623" s="9">
        <f t="shared" si="25"/>
        <v>0</v>
      </c>
      <c r="I1623" s="6">
        <v>12000</v>
      </c>
      <c r="J1623" s="6">
        <f>VLOOKUP(Table1[[#This Row],[Province]],[1]Sheet1!$A$3:$F$37,6,FALSE)</f>
        <v>3762200</v>
      </c>
      <c r="K1623">
        <v>0</v>
      </c>
      <c r="L1623" s="4">
        <v>7.8014000000000001</v>
      </c>
      <c r="M1623" s="4">
        <v>110.3648</v>
      </c>
      <c r="N1623" s="13">
        <v>6.2</v>
      </c>
      <c r="P1623"/>
      <c r="Q1623" s="12"/>
      <c r="R1623" s="12"/>
    </row>
    <row r="1624" spans="1:18" x14ac:dyDescent="0.2">
      <c r="A1624">
        <v>14</v>
      </c>
      <c r="B1624" t="s">
        <v>34</v>
      </c>
      <c r="C1624">
        <v>2018</v>
      </c>
      <c r="D1624">
        <v>3</v>
      </c>
      <c r="E1624" s="4">
        <v>0</v>
      </c>
      <c r="F1624" s="9">
        <v>0</v>
      </c>
      <c r="G1624" s="6">
        <v>2357</v>
      </c>
      <c r="H1624" s="9">
        <f t="shared" si="25"/>
        <v>0</v>
      </c>
      <c r="I1624" s="6">
        <v>12071</v>
      </c>
      <c r="J1624" s="6">
        <f>VLOOKUP(Table1[[#This Row],[Province]],[1]Sheet1!$A$3:$F$37,6,FALSE)</f>
        <v>3762200</v>
      </c>
      <c r="K1624">
        <v>0</v>
      </c>
      <c r="L1624" s="4">
        <v>7.8014000000000001</v>
      </c>
      <c r="M1624" s="4">
        <v>110.3648</v>
      </c>
      <c r="N1624" s="13">
        <v>6.2</v>
      </c>
      <c r="P1624"/>
      <c r="Q1624" s="12"/>
      <c r="R1624" s="12"/>
    </row>
    <row r="1625" spans="1:18" x14ac:dyDescent="0.2">
      <c r="A1625">
        <v>14</v>
      </c>
      <c r="B1625" t="s">
        <v>34</v>
      </c>
      <c r="C1625">
        <v>2018</v>
      </c>
      <c r="D1625">
        <v>4</v>
      </c>
      <c r="E1625" s="4">
        <v>0</v>
      </c>
      <c r="F1625" s="9">
        <v>0</v>
      </c>
      <c r="G1625" s="6">
        <v>1827</v>
      </c>
      <c r="H1625" s="9">
        <f t="shared" si="25"/>
        <v>0</v>
      </c>
      <c r="I1625" s="6">
        <v>11893</v>
      </c>
      <c r="J1625" s="6">
        <f>VLOOKUP(Table1[[#This Row],[Province]],[1]Sheet1!$A$3:$F$37,6,FALSE)</f>
        <v>3762200</v>
      </c>
      <c r="K1625">
        <v>0</v>
      </c>
      <c r="L1625" s="4">
        <v>7.8014000000000001</v>
      </c>
      <c r="M1625" s="4">
        <v>110.3648</v>
      </c>
      <c r="N1625" s="13">
        <v>6.2</v>
      </c>
      <c r="P1625"/>
      <c r="Q1625" s="12"/>
      <c r="R1625" s="12"/>
    </row>
    <row r="1626" spans="1:18" x14ac:dyDescent="0.2">
      <c r="A1626">
        <v>14</v>
      </c>
      <c r="B1626" t="s">
        <v>34</v>
      </c>
      <c r="C1626">
        <v>2018</v>
      </c>
      <c r="D1626">
        <v>5</v>
      </c>
      <c r="E1626" s="4">
        <v>6880</v>
      </c>
      <c r="F1626" s="9">
        <v>0</v>
      </c>
      <c r="G1626" s="6">
        <v>348</v>
      </c>
      <c r="H1626" s="9">
        <f t="shared" si="25"/>
        <v>6880</v>
      </c>
      <c r="I1626" s="6">
        <v>11500</v>
      </c>
      <c r="J1626" s="6">
        <f>VLOOKUP(Table1[[#This Row],[Province]],[1]Sheet1!$A$3:$F$37,6,FALSE)</f>
        <v>3762200</v>
      </c>
      <c r="K1626">
        <v>1</v>
      </c>
      <c r="L1626" s="4">
        <v>7.8014000000000001</v>
      </c>
      <c r="M1626" s="4">
        <v>110.3648</v>
      </c>
      <c r="N1626" s="13">
        <v>6.2</v>
      </c>
      <c r="P1626"/>
      <c r="Q1626" s="12"/>
      <c r="R1626" s="12"/>
    </row>
    <row r="1627" spans="1:18" x14ac:dyDescent="0.2">
      <c r="A1627">
        <v>14</v>
      </c>
      <c r="B1627" t="s">
        <v>34</v>
      </c>
      <c r="C1627">
        <v>2018</v>
      </c>
      <c r="D1627">
        <v>6</v>
      </c>
      <c r="E1627" s="4">
        <v>2338</v>
      </c>
      <c r="F1627" s="9">
        <v>0</v>
      </c>
      <c r="G1627" s="6">
        <v>2215</v>
      </c>
      <c r="H1627" s="9">
        <f t="shared" si="25"/>
        <v>2338</v>
      </c>
      <c r="I1627" s="6">
        <v>11500</v>
      </c>
      <c r="J1627" s="6">
        <f>VLOOKUP(Table1[[#This Row],[Province]],[1]Sheet1!$A$3:$F$37,6,FALSE)</f>
        <v>3762200</v>
      </c>
      <c r="K1627">
        <v>0</v>
      </c>
      <c r="L1627" s="4">
        <v>7.8014000000000001</v>
      </c>
      <c r="M1627" s="4">
        <v>110.3648</v>
      </c>
      <c r="N1627" s="13">
        <v>6.2</v>
      </c>
      <c r="P1627"/>
      <c r="Q1627" s="12"/>
      <c r="R1627" s="12"/>
    </row>
    <row r="1628" spans="1:18" x14ac:dyDescent="0.2">
      <c r="A1628">
        <v>14</v>
      </c>
      <c r="B1628" t="s">
        <v>34</v>
      </c>
      <c r="C1628">
        <v>2018</v>
      </c>
      <c r="D1628">
        <v>7</v>
      </c>
      <c r="E1628" s="4">
        <v>6197</v>
      </c>
      <c r="F1628" s="9">
        <v>0</v>
      </c>
      <c r="G1628" s="6">
        <v>3103</v>
      </c>
      <c r="H1628" s="9">
        <f t="shared" si="25"/>
        <v>6197</v>
      </c>
      <c r="I1628" s="6">
        <v>11500</v>
      </c>
      <c r="J1628" s="6">
        <f>VLOOKUP(Table1[[#This Row],[Province]],[1]Sheet1!$A$3:$F$37,6,FALSE)</f>
        <v>3762200</v>
      </c>
      <c r="K1628">
        <v>0</v>
      </c>
      <c r="L1628" s="4">
        <v>7.8014000000000001</v>
      </c>
      <c r="M1628" s="4">
        <v>110.3648</v>
      </c>
      <c r="N1628" s="13">
        <v>6.2</v>
      </c>
      <c r="P1628"/>
      <c r="Q1628" s="12"/>
      <c r="R1628" s="12"/>
    </row>
    <row r="1629" spans="1:18" x14ac:dyDescent="0.2">
      <c r="A1629">
        <v>14</v>
      </c>
      <c r="B1629" t="s">
        <v>34</v>
      </c>
      <c r="C1629">
        <v>2018</v>
      </c>
      <c r="D1629">
        <v>8</v>
      </c>
      <c r="E1629" s="4">
        <v>4751</v>
      </c>
      <c r="F1629" s="9">
        <v>0</v>
      </c>
      <c r="G1629" s="6">
        <v>4537</v>
      </c>
      <c r="H1629" s="9">
        <f t="shared" si="25"/>
        <v>4751</v>
      </c>
      <c r="I1629" s="6">
        <v>11123</v>
      </c>
      <c r="J1629" s="6">
        <f>VLOOKUP(Table1[[#This Row],[Province]],[1]Sheet1!$A$3:$F$37,6,FALSE)</f>
        <v>3762200</v>
      </c>
      <c r="K1629">
        <v>0</v>
      </c>
      <c r="L1629" s="4">
        <v>7.8014000000000001</v>
      </c>
      <c r="M1629" s="4">
        <v>110.3648</v>
      </c>
      <c r="N1629" s="13">
        <v>6.2</v>
      </c>
      <c r="P1629"/>
      <c r="Q1629" s="12"/>
      <c r="R1629" s="12"/>
    </row>
    <row r="1630" spans="1:18" x14ac:dyDescent="0.2">
      <c r="A1630">
        <v>14</v>
      </c>
      <c r="B1630" t="s">
        <v>34</v>
      </c>
      <c r="C1630">
        <v>2018</v>
      </c>
      <c r="D1630">
        <v>9</v>
      </c>
      <c r="E1630" s="4">
        <v>4565</v>
      </c>
      <c r="F1630" s="9">
        <v>0</v>
      </c>
      <c r="G1630" s="6">
        <v>2762</v>
      </c>
      <c r="H1630" s="9">
        <f t="shared" si="25"/>
        <v>4565</v>
      </c>
      <c r="I1630" s="6">
        <v>11064</v>
      </c>
      <c r="J1630" s="6">
        <f>VLOOKUP(Table1[[#This Row],[Province]],[1]Sheet1!$A$3:$F$37,6,FALSE)</f>
        <v>3762200</v>
      </c>
      <c r="K1630">
        <v>0</v>
      </c>
      <c r="L1630" s="4">
        <v>7.8014000000000001</v>
      </c>
      <c r="M1630" s="4">
        <v>110.3648</v>
      </c>
      <c r="N1630" s="13">
        <v>6.2</v>
      </c>
      <c r="P1630"/>
      <c r="Q1630" s="12"/>
      <c r="R1630" s="12"/>
    </row>
    <row r="1631" spans="1:18" x14ac:dyDescent="0.2">
      <c r="A1631">
        <v>14</v>
      </c>
      <c r="B1631" t="s">
        <v>34</v>
      </c>
      <c r="C1631">
        <v>2018</v>
      </c>
      <c r="D1631">
        <v>10</v>
      </c>
      <c r="E1631" s="4">
        <v>0</v>
      </c>
      <c r="F1631" s="9">
        <v>0</v>
      </c>
      <c r="G1631" s="6">
        <v>2761</v>
      </c>
      <c r="H1631" s="9">
        <f t="shared" si="25"/>
        <v>0</v>
      </c>
      <c r="I1631" s="6">
        <v>11000</v>
      </c>
      <c r="J1631" s="6">
        <f>VLOOKUP(Table1[[#This Row],[Province]],[1]Sheet1!$A$3:$F$37,6,FALSE)</f>
        <v>3762200</v>
      </c>
      <c r="K1631">
        <v>0</v>
      </c>
      <c r="L1631" s="4">
        <v>7.8014000000000001</v>
      </c>
      <c r="M1631" s="4">
        <v>110.3648</v>
      </c>
      <c r="N1631" s="13">
        <v>6.2</v>
      </c>
      <c r="P1631"/>
      <c r="Q1631" s="12"/>
      <c r="R1631" s="12"/>
    </row>
    <row r="1632" spans="1:18" x14ac:dyDescent="0.2">
      <c r="A1632">
        <v>14</v>
      </c>
      <c r="B1632" t="s">
        <v>34</v>
      </c>
      <c r="C1632">
        <v>2018</v>
      </c>
      <c r="D1632">
        <v>11</v>
      </c>
      <c r="E1632" s="4">
        <v>0</v>
      </c>
      <c r="F1632" s="9">
        <v>0</v>
      </c>
      <c r="G1632" s="6">
        <v>2102</v>
      </c>
      <c r="H1632" s="9">
        <f t="shared" si="25"/>
        <v>0</v>
      </c>
      <c r="I1632" s="6">
        <v>10994</v>
      </c>
      <c r="J1632" s="6">
        <f>VLOOKUP(Table1[[#This Row],[Province]],[1]Sheet1!$A$3:$F$37,6,FALSE)</f>
        <v>3762200</v>
      </c>
      <c r="K1632">
        <v>0</v>
      </c>
      <c r="L1632" s="4">
        <v>7.8014000000000001</v>
      </c>
      <c r="M1632" s="4">
        <v>110.3648</v>
      </c>
      <c r="N1632" s="13">
        <v>6.2</v>
      </c>
      <c r="P1632"/>
      <c r="Q1632" s="12"/>
      <c r="R1632" s="12"/>
    </row>
    <row r="1633" spans="1:18" x14ac:dyDescent="0.2">
      <c r="A1633">
        <v>14</v>
      </c>
      <c r="B1633" t="s">
        <v>34</v>
      </c>
      <c r="C1633">
        <v>2018</v>
      </c>
      <c r="D1633">
        <v>12</v>
      </c>
      <c r="E1633" s="4">
        <v>0</v>
      </c>
      <c r="F1633" s="9">
        <v>0</v>
      </c>
      <c r="G1633" s="6">
        <v>3320</v>
      </c>
      <c r="H1633" s="9">
        <f t="shared" si="25"/>
        <v>0</v>
      </c>
      <c r="I1633" s="6">
        <v>11035</v>
      </c>
      <c r="J1633" s="6">
        <f>VLOOKUP(Table1[[#This Row],[Province]],[1]Sheet1!$A$3:$F$37,6,FALSE)</f>
        <v>3762200</v>
      </c>
      <c r="K1633">
        <v>1</v>
      </c>
      <c r="L1633" s="4">
        <v>7.8014000000000001</v>
      </c>
      <c r="M1633" s="4">
        <v>110.3648</v>
      </c>
      <c r="N1633" s="13">
        <v>6.2</v>
      </c>
      <c r="P1633"/>
      <c r="Q1633" s="12"/>
      <c r="R1633" s="12"/>
    </row>
    <row r="1634" spans="1:18" x14ac:dyDescent="0.2">
      <c r="A1634">
        <v>14</v>
      </c>
      <c r="B1634" t="s">
        <v>34</v>
      </c>
      <c r="C1634">
        <v>2019</v>
      </c>
      <c r="D1634">
        <v>1</v>
      </c>
      <c r="E1634" s="4">
        <v>0</v>
      </c>
      <c r="F1634" s="9">
        <v>0</v>
      </c>
      <c r="G1634" s="6">
        <v>1879</v>
      </c>
      <c r="H1634" s="9">
        <f t="shared" si="25"/>
        <v>0</v>
      </c>
      <c r="I1634" s="6">
        <v>11203</v>
      </c>
      <c r="J1634" s="6">
        <f>VLOOKUP(Table1[[#This Row],[Province]],[1]Sheet1!$A$3:$F$37,6,FALSE)</f>
        <v>3762200</v>
      </c>
      <c r="K1634">
        <v>0</v>
      </c>
      <c r="L1634" s="4">
        <v>7.8014000000000001</v>
      </c>
      <c r="M1634" s="4">
        <v>110.3648</v>
      </c>
      <c r="N1634" s="13">
        <v>6.59</v>
      </c>
      <c r="P1634"/>
      <c r="Q1634" s="12"/>
      <c r="R1634" s="12"/>
    </row>
    <row r="1635" spans="1:18" x14ac:dyDescent="0.2">
      <c r="A1635">
        <v>14</v>
      </c>
      <c r="B1635" t="s">
        <v>34</v>
      </c>
      <c r="C1635">
        <v>2019</v>
      </c>
      <c r="D1635">
        <v>2</v>
      </c>
      <c r="E1635" s="4">
        <v>0</v>
      </c>
      <c r="F1635" s="9">
        <v>0</v>
      </c>
      <c r="G1635" s="6">
        <v>2297</v>
      </c>
      <c r="H1635" s="9">
        <f t="shared" si="25"/>
        <v>0</v>
      </c>
      <c r="I1635" s="6">
        <v>11126</v>
      </c>
      <c r="J1635" s="6">
        <f>VLOOKUP(Table1[[#This Row],[Province]],[1]Sheet1!$A$3:$F$37,6,FALSE)</f>
        <v>3762200</v>
      </c>
      <c r="K1635">
        <v>0</v>
      </c>
      <c r="L1635" s="4">
        <v>7.8014000000000001</v>
      </c>
      <c r="M1635" s="4">
        <v>110.3648</v>
      </c>
      <c r="N1635" s="13">
        <v>6.59</v>
      </c>
      <c r="P1635"/>
      <c r="Q1635" s="12"/>
      <c r="R1635" s="12"/>
    </row>
    <row r="1636" spans="1:18" x14ac:dyDescent="0.2">
      <c r="A1636">
        <v>14</v>
      </c>
      <c r="B1636" t="s">
        <v>34</v>
      </c>
      <c r="C1636">
        <v>2019</v>
      </c>
      <c r="D1636">
        <v>3</v>
      </c>
      <c r="E1636" s="4">
        <v>0</v>
      </c>
      <c r="F1636" s="9">
        <v>0</v>
      </c>
      <c r="G1636" s="6">
        <v>3753</v>
      </c>
      <c r="H1636" s="9">
        <f t="shared" si="25"/>
        <v>0</v>
      </c>
      <c r="I1636" s="6">
        <v>11137</v>
      </c>
      <c r="J1636" s="6">
        <f>VLOOKUP(Table1[[#This Row],[Province]],[1]Sheet1!$A$3:$F$37,6,FALSE)</f>
        <v>3762200</v>
      </c>
      <c r="K1636">
        <v>0</v>
      </c>
      <c r="L1636" s="4">
        <v>7.8014000000000001</v>
      </c>
      <c r="M1636" s="4">
        <v>110.3648</v>
      </c>
      <c r="N1636" s="13">
        <v>6.59</v>
      </c>
      <c r="P1636"/>
      <c r="Q1636" s="12"/>
      <c r="R1636" s="12"/>
    </row>
    <row r="1637" spans="1:18" x14ac:dyDescent="0.2">
      <c r="A1637">
        <v>14</v>
      </c>
      <c r="B1637" t="s">
        <v>34</v>
      </c>
      <c r="C1637">
        <v>2019</v>
      </c>
      <c r="D1637">
        <v>4</v>
      </c>
      <c r="E1637" s="4">
        <v>0</v>
      </c>
      <c r="F1637" s="9">
        <v>0</v>
      </c>
      <c r="G1637" s="6">
        <v>2098</v>
      </c>
      <c r="H1637" s="9">
        <f t="shared" si="25"/>
        <v>0</v>
      </c>
      <c r="I1637" s="6">
        <v>11177</v>
      </c>
      <c r="J1637" s="6">
        <f>VLOOKUP(Table1[[#This Row],[Province]],[1]Sheet1!$A$3:$F$37,6,FALSE)</f>
        <v>3762200</v>
      </c>
      <c r="K1637">
        <v>0</v>
      </c>
      <c r="L1637" s="4">
        <v>7.8014000000000001</v>
      </c>
      <c r="M1637" s="4">
        <v>110.3648</v>
      </c>
      <c r="N1637" s="13">
        <v>6.59</v>
      </c>
      <c r="P1637"/>
      <c r="Q1637" s="12"/>
      <c r="R1637" s="12"/>
    </row>
    <row r="1638" spans="1:18" x14ac:dyDescent="0.2">
      <c r="A1638">
        <v>14</v>
      </c>
      <c r="B1638" t="s">
        <v>34</v>
      </c>
      <c r="C1638">
        <v>2019</v>
      </c>
      <c r="D1638">
        <v>5</v>
      </c>
      <c r="E1638" s="4">
        <v>2621</v>
      </c>
      <c r="F1638" s="9">
        <v>0</v>
      </c>
      <c r="G1638" s="6">
        <v>2627</v>
      </c>
      <c r="H1638" s="9">
        <f t="shared" si="25"/>
        <v>2621</v>
      </c>
      <c r="I1638" s="6">
        <v>11782</v>
      </c>
      <c r="J1638" s="6">
        <f>VLOOKUP(Table1[[#This Row],[Province]],[1]Sheet1!$A$3:$F$37,6,FALSE)</f>
        <v>3762200</v>
      </c>
      <c r="K1638">
        <v>1</v>
      </c>
      <c r="L1638" s="4">
        <v>7.8014000000000001</v>
      </c>
      <c r="M1638" s="4">
        <v>110.3648</v>
      </c>
      <c r="N1638" s="13">
        <v>6.59</v>
      </c>
      <c r="P1638"/>
      <c r="Q1638" s="12"/>
      <c r="R1638" s="12"/>
    </row>
    <row r="1639" spans="1:18" x14ac:dyDescent="0.2">
      <c r="A1639">
        <v>14</v>
      </c>
      <c r="B1639" t="s">
        <v>34</v>
      </c>
      <c r="C1639">
        <v>2019</v>
      </c>
      <c r="D1639">
        <v>6</v>
      </c>
      <c r="E1639" s="4">
        <v>891</v>
      </c>
      <c r="F1639" s="9">
        <v>0</v>
      </c>
      <c r="G1639" s="6">
        <v>3451</v>
      </c>
      <c r="H1639" s="9">
        <f t="shared" si="25"/>
        <v>891</v>
      </c>
      <c r="I1639" s="6">
        <v>12000</v>
      </c>
      <c r="J1639" s="6">
        <f>VLOOKUP(Table1[[#This Row],[Province]],[1]Sheet1!$A$3:$F$37,6,FALSE)</f>
        <v>3762200</v>
      </c>
      <c r="K1639">
        <v>0</v>
      </c>
      <c r="L1639" s="4">
        <v>7.8014000000000001</v>
      </c>
      <c r="M1639" s="4">
        <v>110.3648</v>
      </c>
      <c r="N1639" s="13">
        <v>6.59</v>
      </c>
      <c r="P1639"/>
      <c r="Q1639" s="12"/>
      <c r="R1639" s="12"/>
    </row>
    <row r="1640" spans="1:18" x14ac:dyDescent="0.2">
      <c r="A1640">
        <v>14</v>
      </c>
      <c r="B1640" t="s">
        <v>34</v>
      </c>
      <c r="C1640">
        <v>2019</v>
      </c>
      <c r="D1640">
        <v>7</v>
      </c>
      <c r="E1640" s="4">
        <v>2361</v>
      </c>
      <c r="F1640" s="9">
        <v>0</v>
      </c>
      <c r="G1640" s="6">
        <v>2256</v>
      </c>
      <c r="H1640" s="9">
        <f t="shared" si="25"/>
        <v>2361</v>
      </c>
      <c r="I1640" s="6">
        <v>12000</v>
      </c>
      <c r="J1640" s="6">
        <f>VLOOKUP(Table1[[#This Row],[Province]],[1]Sheet1!$A$3:$F$37,6,FALSE)</f>
        <v>3762200</v>
      </c>
      <c r="K1640">
        <v>0</v>
      </c>
      <c r="L1640" s="4">
        <v>7.8014000000000001</v>
      </c>
      <c r="M1640" s="4">
        <v>110.3648</v>
      </c>
      <c r="N1640" s="13">
        <v>6.59</v>
      </c>
      <c r="P1640"/>
      <c r="Q1640" s="12"/>
      <c r="R1640" s="12"/>
    </row>
    <row r="1641" spans="1:18" x14ac:dyDescent="0.2">
      <c r="A1641">
        <v>14</v>
      </c>
      <c r="B1641" t="s">
        <v>34</v>
      </c>
      <c r="C1641">
        <v>2019</v>
      </c>
      <c r="D1641">
        <v>8</v>
      </c>
      <c r="E1641" s="4">
        <v>1810</v>
      </c>
      <c r="F1641" s="9">
        <v>0</v>
      </c>
      <c r="G1641" s="6">
        <v>5721</v>
      </c>
      <c r="H1641" s="9">
        <f t="shared" si="25"/>
        <v>1810</v>
      </c>
      <c r="I1641" s="6">
        <v>12000</v>
      </c>
      <c r="J1641" s="6">
        <f>VLOOKUP(Table1[[#This Row],[Province]],[1]Sheet1!$A$3:$F$37,6,FALSE)</f>
        <v>3762200</v>
      </c>
      <c r="K1641">
        <v>0</v>
      </c>
      <c r="L1641" s="4">
        <v>7.8014000000000001</v>
      </c>
      <c r="M1641" s="4">
        <v>110.3648</v>
      </c>
      <c r="N1641" s="13">
        <v>6.59</v>
      </c>
      <c r="P1641"/>
      <c r="Q1641" s="12"/>
      <c r="R1641" s="12"/>
    </row>
    <row r="1642" spans="1:18" x14ac:dyDescent="0.2">
      <c r="A1642">
        <v>14</v>
      </c>
      <c r="B1642" t="s">
        <v>34</v>
      </c>
      <c r="C1642">
        <v>2019</v>
      </c>
      <c r="D1642">
        <v>9</v>
      </c>
      <c r="E1642" s="4">
        <v>1740</v>
      </c>
      <c r="F1642" s="9">
        <v>0</v>
      </c>
      <c r="G1642" s="6">
        <v>2198</v>
      </c>
      <c r="H1642" s="9">
        <f t="shared" si="25"/>
        <v>1740</v>
      </c>
      <c r="I1642" s="6">
        <v>12000</v>
      </c>
      <c r="J1642" s="6">
        <f>VLOOKUP(Table1[[#This Row],[Province]],[1]Sheet1!$A$3:$F$37,6,FALSE)</f>
        <v>3762200</v>
      </c>
      <c r="K1642">
        <v>0</v>
      </c>
      <c r="L1642" s="4">
        <v>7.8014000000000001</v>
      </c>
      <c r="M1642" s="4">
        <v>110.3648</v>
      </c>
      <c r="N1642" s="13">
        <v>6.59</v>
      </c>
      <c r="P1642"/>
      <c r="Q1642" s="12"/>
      <c r="R1642" s="12"/>
    </row>
    <row r="1643" spans="1:18" x14ac:dyDescent="0.2">
      <c r="A1643">
        <v>14</v>
      </c>
      <c r="B1643" t="s">
        <v>34</v>
      </c>
      <c r="C1643">
        <v>2019</v>
      </c>
      <c r="D1643">
        <v>10</v>
      </c>
      <c r="E1643" s="4">
        <v>0</v>
      </c>
      <c r="F1643" s="9">
        <v>0</v>
      </c>
      <c r="G1643" s="6">
        <v>4744</v>
      </c>
      <c r="H1643" s="9">
        <f t="shared" si="25"/>
        <v>0</v>
      </c>
      <c r="I1643" s="6">
        <v>12000</v>
      </c>
      <c r="J1643" s="6">
        <f>VLOOKUP(Table1[[#This Row],[Province]],[1]Sheet1!$A$3:$F$37,6,FALSE)</f>
        <v>3762200</v>
      </c>
      <c r="K1643">
        <v>0</v>
      </c>
      <c r="L1643" s="4">
        <v>7.8014000000000001</v>
      </c>
      <c r="M1643" s="4">
        <v>110.3648</v>
      </c>
      <c r="N1643" s="13">
        <v>6.59</v>
      </c>
      <c r="P1643"/>
      <c r="Q1643" s="12"/>
      <c r="R1643" s="12"/>
    </row>
    <row r="1644" spans="1:18" x14ac:dyDescent="0.2">
      <c r="A1644">
        <v>14</v>
      </c>
      <c r="B1644" t="s">
        <v>34</v>
      </c>
      <c r="C1644">
        <v>2019</v>
      </c>
      <c r="D1644">
        <v>11</v>
      </c>
      <c r="E1644" s="4">
        <v>0</v>
      </c>
      <c r="F1644" s="9">
        <v>0</v>
      </c>
      <c r="G1644" s="6">
        <v>2268</v>
      </c>
      <c r="H1644" s="9">
        <f t="shared" si="25"/>
        <v>0</v>
      </c>
      <c r="I1644" s="6">
        <v>12076</v>
      </c>
      <c r="J1644" s="6">
        <f>VLOOKUP(Table1[[#This Row],[Province]],[1]Sheet1!$A$3:$F$37,6,FALSE)</f>
        <v>3762200</v>
      </c>
      <c r="K1644">
        <v>0</v>
      </c>
      <c r="L1644" s="4">
        <v>7.8014000000000001</v>
      </c>
      <c r="M1644" s="4">
        <v>110.3648</v>
      </c>
      <c r="N1644" s="13">
        <v>6.59</v>
      </c>
      <c r="P1644"/>
      <c r="Q1644" s="12"/>
      <c r="R1644" s="12"/>
    </row>
    <row r="1645" spans="1:18" x14ac:dyDescent="0.2">
      <c r="A1645">
        <v>14</v>
      </c>
      <c r="B1645" t="s">
        <v>34</v>
      </c>
      <c r="C1645">
        <v>2019</v>
      </c>
      <c r="D1645">
        <v>12</v>
      </c>
      <c r="E1645" s="4">
        <v>0</v>
      </c>
      <c r="F1645" s="9">
        <v>0</v>
      </c>
      <c r="G1645" s="6">
        <v>4297</v>
      </c>
      <c r="H1645" s="9">
        <f t="shared" si="25"/>
        <v>0</v>
      </c>
      <c r="I1645" s="6">
        <v>12424</v>
      </c>
      <c r="J1645" s="6">
        <f>VLOOKUP(Table1[[#This Row],[Province]],[1]Sheet1!$A$3:$F$37,6,FALSE)</f>
        <v>3762200</v>
      </c>
      <c r="K1645">
        <v>1</v>
      </c>
      <c r="L1645" s="4">
        <v>7.8014000000000001</v>
      </c>
      <c r="M1645" s="4">
        <v>110.3648</v>
      </c>
      <c r="N1645" s="13">
        <v>6.59</v>
      </c>
      <c r="P1645"/>
      <c r="Q1645" s="12"/>
      <c r="R1645" s="12"/>
    </row>
    <row r="1646" spans="1:18" x14ac:dyDescent="0.2">
      <c r="A1646">
        <v>14</v>
      </c>
      <c r="B1646" t="s">
        <v>34</v>
      </c>
      <c r="C1646">
        <v>2020</v>
      </c>
      <c r="D1646">
        <v>1</v>
      </c>
      <c r="E1646" s="4">
        <v>0</v>
      </c>
      <c r="F1646" s="9">
        <v>0</v>
      </c>
      <c r="G1646" s="6">
        <v>2950</v>
      </c>
      <c r="H1646" s="9">
        <f t="shared" si="25"/>
        <v>0</v>
      </c>
      <c r="I1646" s="6">
        <v>13399</v>
      </c>
      <c r="J1646" s="6">
        <f>VLOOKUP(Table1[[#This Row],[Province]],[1]Sheet1!$A$3:$F$37,6,FALSE)</f>
        <v>3762200</v>
      </c>
      <c r="K1646">
        <v>0</v>
      </c>
      <c r="L1646" s="4">
        <v>7.8014000000000001</v>
      </c>
      <c r="M1646" s="4">
        <v>110.3648</v>
      </c>
      <c r="N1646" s="13">
        <v>-2.67</v>
      </c>
      <c r="P1646"/>
      <c r="Q1646" s="12"/>
      <c r="R1646" s="12"/>
    </row>
    <row r="1647" spans="1:18" x14ac:dyDescent="0.2">
      <c r="A1647">
        <v>14</v>
      </c>
      <c r="B1647" t="s">
        <v>34</v>
      </c>
      <c r="C1647">
        <v>2020</v>
      </c>
      <c r="D1647">
        <v>2</v>
      </c>
      <c r="E1647" s="4">
        <v>0</v>
      </c>
      <c r="F1647" s="9">
        <v>0</v>
      </c>
      <c r="G1647" s="6">
        <v>1746</v>
      </c>
      <c r="H1647" s="9">
        <f t="shared" si="25"/>
        <v>0</v>
      </c>
      <c r="I1647" s="6">
        <v>14000</v>
      </c>
      <c r="J1647" s="6">
        <f>VLOOKUP(Table1[[#This Row],[Province]],[1]Sheet1!$A$3:$F$37,6,FALSE)</f>
        <v>3762200</v>
      </c>
      <c r="K1647">
        <v>0</v>
      </c>
      <c r="L1647" s="4">
        <v>7.8014000000000001</v>
      </c>
      <c r="M1647" s="4">
        <v>110.3648</v>
      </c>
      <c r="N1647" s="13">
        <v>-2.67</v>
      </c>
      <c r="P1647"/>
      <c r="Q1647" s="12"/>
      <c r="R1647" s="12"/>
    </row>
    <row r="1648" spans="1:18" x14ac:dyDescent="0.2">
      <c r="A1648">
        <v>14</v>
      </c>
      <c r="B1648" t="s">
        <v>34</v>
      </c>
      <c r="C1648">
        <v>2020</v>
      </c>
      <c r="D1648">
        <v>3</v>
      </c>
      <c r="E1648" s="4">
        <v>0</v>
      </c>
      <c r="F1648" s="9">
        <v>0</v>
      </c>
      <c r="G1648" s="6">
        <v>1523</v>
      </c>
      <c r="H1648" s="9">
        <f t="shared" si="25"/>
        <v>0</v>
      </c>
      <c r="I1648" s="6">
        <v>16822</v>
      </c>
      <c r="J1648" s="6">
        <f>VLOOKUP(Table1[[#This Row],[Province]],[1]Sheet1!$A$3:$F$37,6,FALSE)</f>
        <v>3762200</v>
      </c>
      <c r="K1648">
        <v>0</v>
      </c>
      <c r="L1648" s="4">
        <v>7.8014000000000001</v>
      </c>
      <c r="M1648" s="4">
        <v>110.3648</v>
      </c>
      <c r="N1648" s="13">
        <v>-2.67</v>
      </c>
      <c r="P1648"/>
      <c r="Q1648" s="12"/>
      <c r="R1648" s="12"/>
    </row>
    <row r="1649" spans="1:18" x14ac:dyDescent="0.2">
      <c r="A1649">
        <v>14</v>
      </c>
      <c r="B1649" t="s">
        <v>34</v>
      </c>
      <c r="C1649">
        <v>2020</v>
      </c>
      <c r="D1649">
        <v>4</v>
      </c>
      <c r="E1649" s="4">
        <v>0</v>
      </c>
      <c r="F1649" s="9">
        <v>0</v>
      </c>
      <c r="G1649" s="6">
        <v>964</v>
      </c>
      <c r="H1649" s="9">
        <f t="shared" si="25"/>
        <v>0</v>
      </c>
      <c r="I1649" s="6">
        <v>17482</v>
      </c>
      <c r="J1649" s="6">
        <f>VLOOKUP(Table1[[#This Row],[Province]],[1]Sheet1!$A$3:$F$37,6,FALSE)</f>
        <v>3762200</v>
      </c>
      <c r="K1649">
        <v>1</v>
      </c>
      <c r="L1649" s="4">
        <v>7.8014000000000001</v>
      </c>
      <c r="M1649" s="4">
        <v>110.3648</v>
      </c>
      <c r="N1649" s="13">
        <v>-2.67</v>
      </c>
      <c r="P1649"/>
      <c r="Q1649" s="12"/>
      <c r="R1649" s="12"/>
    </row>
    <row r="1650" spans="1:18" x14ac:dyDescent="0.2">
      <c r="A1650">
        <v>14</v>
      </c>
      <c r="B1650" t="s">
        <v>34</v>
      </c>
      <c r="C1650">
        <v>2020</v>
      </c>
      <c r="D1650">
        <v>5</v>
      </c>
      <c r="E1650" s="4">
        <v>2003</v>
      </c>
      <c r="F1650" s="9">
        <v>0</v>
      </c>
      <c r="G1650" s="6">
        <v>299</v>
      </c>
      <c r="H1650" s="9">
        <f t="shared" si="25"/>
        <v>2003</v>
      </c>
      <c r="I1650" s="6">
        <v>14853</v>
      </c>
      <c r="J1650" s="6">
        <f>VLOOKUP(Table1[[#This Row],[Province]],[1]Sheet1!$A$3:$F$37,6,FALSE)</f>
        <v>3762200</v>
      </c>
      <c r="K1650">
        <v>0</v>
      </c>
      <c r="L1650" s="4">
        <v>7.8014000000000001</v>
      </c>
      <c r="M1650" s="4">
        <v>110.3648</v>
      </c>
      <c r="N1650" s="13">
        <v>-2.67</v>
      </c>
      <c r="P1650"/>
      <c r="Q1650" s="12"/>
      <c r="R1650" s="12"/>
    </row>
    <row r="1651" spans="1:18" x14ac:dyDescent="0.2">
      <c r="A1651">
        <v>14</v>
      </c>
      <c r="B1651" t="s">
        <v>34</v>
      </c>
      <c r="C1651">
        <v>2020</v>
      </c>
      <c r="D1651">
        <v>6</v>
      </c>
      <c r="E1651" s="4">
        <v>2794</v>
      </c>
      <c r="F1651" s="9">
        <v>0</v>
      </c>
      <c r="G1651" s="6">
        <v>2012</v>
      </c>
      <c r="H1651" s="9">
        <f t="shared" si="25"/>
        <v>2794</v>
      </c>
      <c r="I1651" s="6">
        <v>12982</v>
      </c>
      <c r="J1651" s="6">
        <f>VLOOKUP(Table1[[#This Row],[Province]],[1]Sheet1!$A$3:$F$37,6,FALSE)</f>
        <v>3762200</v>
      </c>
      <c r="K1651">
        <v>0</v>
      </c>
      <c r="L1651" s="4">
        <v>7.8014000000000001</v>
      </c>
      <c r="M1651" s="4">
        <v>110.3648</v>
      </c>
      <c r="N1651" s="13">
        <v>-2.67</v>
      </c>
      <c r="P1651"/>
      <c r="Q1651" s="12"/>
      <c r="R1651" s="12"/>
    </row>
    <row r="1652" spans="1:18" x14ac:dyDescent="0.2">
      <c r="A1652">
        <v>14</v>
      </c>
      <c r="B1652" t="s">
        <v>34</v>
      </c>
      <c r="C1652">
        <v>2020</v>
      </c>
      <c r="D1652">
        <v>7</v>
      </c>
      <c r="E1652" s="4">
        <v>2810</v>
      </c>
      <c r="F1652" s="9">
        <v>0</v>
      </c>
      <c r="G1652" s="6">
        <v>446</v>
      </c>
      <c r="H1652" s="9">
        <f t="shared" si="25"/>
        <v>2810</v>
      </c>
      <c r="I1652" s="6">
        <v>12271</v>
      </c>
      <c r="J1652" s="6">
        <f>VLOOKUP(Table1[[#This Row],[Province]],[1]Sheet1!$A$3:$F$37,6,FALSE)</f>
        <v>3762200</v>
      </c>
      <c r="K1652">
        <v>0</v>
      </c>
      <c r="L1652" s="4">
        <v>7.8014000000000001</v>
      </c>
      <c r="M1652" s="4">
        <v>110.3648</v>
      </c>
      <c r="N1652" s="13">
        <v>-2.67</v>
      </c>
      <c r="P1652"/>
      <c r="Q1652" s="12"/>
      <c r="R1652" s="12"/>
    </row>
    <row r="1653" spans="1:18" x14ac:dyDescent="0.2">
      <c r="A1653">
        <v>14</v>
      </c>
      <c r="B1653" t="s">
        <v>34</v>
      </c>
      <c r="C1653">
        <v>2020</v>
      </c>
      <c r="D1653">
        <v>8</v>
      </c>
      <c r="E1653" s="4">
        <v>3428</v>
      </c>
      <c r="F1653" s="9">
        <v>0</v>
      </c>
      <c r="G1653" s="6">
        <v>890</v>
      </c>
      <c r="H1653" s="9">
        <f t="shared" si="25"/>
        <v>3428</v>
      </c>
      <c r="I1653" s="6">
        <v>12500</v>
      </c>
      <c r="J1653" s="6">
        <f>VLOOKUP(Table1[[#This Row],[Province]],[1]Sheet1!$A$3:$F$37,6,FALSE)</f>
        <v>3762200</v>
      </c>
      <c r="K1653">
        <v>0</v>
      </c>
      <c r="L1653" s="4">
        <v>7.8014000000000001</v>
      </c>
      <c r="M1653" s="4">
        <v>110.3648</v>
      </c>
      <c r="N1653" s="13">
        <v>-2.67</v>
      </c>
      <c r="P1653"/>
      <c r="Q1653" s="12"/>
      <c r="R1653" s="12"/>
    </row>
    <row r="1654" spans="1:18" x14ac:dyDescent="0.2">
      <c r="A1654">
        <v>14</v>
      </c>
      <c r="B1654" t="s">
        <v>34</v>
      </c>
      <c r="C1654">
        <v>2020</v>
      </c>
      <c r="D1654">
        <v>9</v>
      </c>
      <c r="E1654" s="4">
        <v>0</v>
      </c>
      <c r="F1654" s="9">
        <v>0</v>
      </c>
      <c r="G1654" s="6">
        <v>2752</v>
      </c>
      <c r="H1654" s="9">
        <f t="shared" si="25"/>
        <v>0</v>
      </c>
      <c r="I1654" s="6">
        <v>12500</v>
      </c>
      <c r="J1654" s="6">
        <f>VLOOKUP(Table1[[#This Row],[Province]],[1]Sheet1!$A$3:$F$37,6,FALSE)</f>
        <v>3762200</v>
      </c>
      <c r="K1654">
        <v>0</v>
      </c>
      <c r="L1654" s="4">
        <v>7.8014000000000001</v>
      </c>
      <c r="M1654" s="4">
        <v>110.3648</v>
      </c>
      <c r="N1654" s="13">
        <v>-2.67</v>
      </c>
      <c r="P1654"/>
      <c r="Q1654" s="12"/>
      <c r="R1654" s="12"/>
    </row>
    <row r="1655" spans="1:18" x14ac:dyDescent="0.2">
      <c r="A1655">
        <v>14</v>
      </c>
      <c r="B1655" t="s">
        <v>34</v>
      </c>
      <c r="C1655">
        <v>2020</v>
      </c>
      <c r="D1655">
        <v>10</v>
      </c>
      <c r="E1655" s="4">
        <v>0</v>
      </c>
      <c r="F1655" s="9">
        <v>0</v>
      </c>
      <c r="G1655" s="6">
        <v>1445</v>
      </c>
      <c r="H1655" s="9">
        <f t="shared" si="25"/>
        <v>0</v>
      </c>
      <c r="I1655" s="6">
        <v>12500</v>
      </c>
      <c r="J1655" s="6">
        <f>VLOOKUP(Table1[[#This Row],[Province]],[1]Sheet1!$A$3:$F$37,6,FALSE)</f>
        <v>3762200</v>
      </c>
      <c r="K1655">
        <v>0</v>
      </c>
      <c r="L1655" s="4">
        <v>7.8014000000000001</v>
      </c>
      <c r="M1655" s="4">
        <v>110.3648</v>
      </c>
      <c r="N1655" s="13">
        <v>-2.67</v>
      </c>
      <c r="P1655"/>
      <c r="Q1655" s="12"/>
      <c r="R1655" s="12"/>
    </row>
    <row r="1656" spans="1:18" x14ac:dyDescent="0.2">
      <c r="A1656">
        <v>14</v>
      </c>
      <c r="B1656" t="s">
        <v>34</v>
      </c>
      <c r="C1656">
        <v>2020</v>
      </c>
      <c r="D1656">
        <v>11</v>
      </c>
      <c r="E1656" s="4">
        <v>0</v>
      </c>
      <c r="F1656" s="9">
        <v>0</v>
      </c>
      <c r="G1656" s="6">
        <v>4801</v>
      </c>
      <c r="H1656" s="9">
        <f t="shared" si="25"/>
        <v>0</v>
      </c>
      <c r="I1656" s="6">
        <v>12500</v>
      </c>
      <c r="J1656" s="6">
        <f>VLOOKUP(Table1[[#This Row],[Province]],[1]Sheet1!$A$3:$F$37,6,FALSE)</f>
        <v>3762200</v>
      </c>
      <c r="K1656">
        <v>0</v>
      </c>
      <c r="L1656" s="4">
        <v>7.8014000000000001</v>
      </c>
      <c r="M1656" s="4">
        <v>110.3648</v>
      </c>
      <c r="N1656" s="13">
        <v>-2.67</v>
      </c>
      <c r="P1656"/>
      <c r="Q1656" s="12"/>
      <c r="R1656" s="12"/>
    </row>
    <row r="1657" spans="1:18" x14ac:dyDescent="0.2">
      <c r="A1657">
        <v>14</v>
      </c>
      <c r="B1657" t="s">
        <v>34</v>
      </c>
      <c r="C1657">
        <v>2020</v>
      </c>
      <c r="D1657">
        <v>12</v>
      </c>
      <c r="E1657" s="4">
        <v>0</v>
      </c>
      <c r="F1657" s="9">
        <v>0</v>
      </c>
      <c r="G1657" s="6">
        <v>2670</v>
      </c>
      <c r="H1657" s="9">
        <f t="shared" si="25"/>
        <v>0</v>
      </c>
      <c r="I1657" s="6">
        <v>12500</v>
      </c>
      <c r="J1657" s="6">
        <f>VLOOKUP(Table1[[#This Row],[Province]],[1]Sheet1!$A$3:$F$37,6,FALSE)</f>
        <v>3762200</v>
      </c>
      <c r="K1657">
        <v>1</v>
      </c>
      <c r="L1657" s="4">
        <v>7.8014000000000001</v>
      </c>
      <c r="M1657" s="4">
        <v>110.3648</v>
      </c>
      <c r="N1657" s="13">
        <v>-2.67</v>
      </c>
      <c r="P1657"/>
      <c r="Q1657" s="12"/>
      <c r="R1657" s="12"/>
    </row>
    <row r="1658" spans="1:18" x14ac:dyDescent="0.2">
      <c r="A1658">
        <v>14</v>
      </c>
      <c r="B1658" t="s">
        <v>34</v>
      </c>
      <c r="C1658">
        <v>2021</v>
      </c>
      <c r="D1658">
        <v>1</v>
      </c>
      <c r="E1658" s="4">
        <v>0</v>
      </c>
      <c r="F1658" s="9">
        <v>0</v>
      </c>
      <c r="G1658" s="6">
        <v>3695</v>
      </c>
      <c r="H1658" s="9">
        <f t="shared" si="25"/>
        <v>0</v>
      </c>
      <c r="I1658" s="6">
        <v>12500</v>
      </c>
      <c r="J1658" s="6">
        <f>VLOOKUP(Table1[[#This Row],[Province]],[1]Sheet1!$A$3:$F$37,6,FALSE)</f>
        <v>3762200</v>
      </c>
      <c r="K1658">
        <v>0</v>
      </c>
      <c r="L1658" s="4">
        <v>7.8014000000000001</v>
      </c>
      <c r="M1658" s="4">
        <v>110.3648</v>
      </c>
      <c r="N1658" s="13">
        <v>5.58</v>
      </c>
      <c r="P1658"/>
      <c r="Q1658" s="12"/>
      <c r="R1658" s="12"/>
    </row>
    <row r="1659" spans="1:18" x14ac:dyDescent="0.2">
      <c r="A1659">
        <v>14</v>
      </c>
      <c r="B1659" t="s">
        <v>34</v>
      </c>
      <c r="C1659">
        <v>2021</v>
      </c>
      <c r="D1659">
        <v>2</v>
      </c>
      <c r="E1659" s="4">
        <v>0</v>
      </c>
      <c r="F1659" s="9">
        <v>0</v>
      </c>
      <c r="G1659" s="6">
        <v>4799</v>
      </c>
      <c r="H1659" s="9">
        <f t="shared" si="25"/>
        <v>0</v>
      </c>
      <c r="I1659" s="6">
        <v>12470</v>
      </c>
      <c r="J1659" s="6">
        <f>VLOOKUP(Table1[[#This Row],[Province]],[1]Sheet1!$A$3:$F$37,6,FALSE)</f>
        <v>3762200</v>
      </c>
      <c r="K1659">
        <v>0</v>
      </c>
      <c r="L1659" s="4">
        <v>7.8014000000000001</v>
      </c>
      <c r="M1659" s="4">
        <v>110.3648</v>
      </c>
      <c r="N1659" s="13">
        <v>5.58</v>
      </c>
      <c r="P1659"/>
      <c r="Q1659" s="12"/>
      <c r="R1659" s="12"/>
    </row>
    <row r="1660" spans="1:18" x14ac:dyDescent="0.2">
      <c r="A1660">
        <v>14</v>
      </c>
      <c r="B1660" t="s">
        <v>34</v>
      </c>
      <c r="C1660">
        <v>2021</v>
      </c>
      <c r="D1660">
        <v>3</v>
      </c>
      <c r="E1660" s="4">
        <v>0</v>
      </c>
      <c r="F1660" s="9">
        <v>0</v>
      </c>
      <c r="G1660" s="6">
        <v>3940</v>
      </c>
      <c r="H1660" s="9">
        <f t="shared" si="25"/>
        <v>0</v>
      </c>
      <c r="I1660" s="6">
        <v>12345</v>
      </c>
      <c r="J1660" s="6">
        <f>VLOOKUP(Table1[[#This Row],[Province]],[1]Sheet1!$A$3:$F$37,6,FALSE)</f>
        <v>3762200</v>
      </c>
      <c r="K1660">
        <v>0</v>
      </c>
      <c r="L1660" s="4">
        <v>7.8014000000000001</v>
      </c>
      <c r="M1660" s="4">
        <v>110.3648</v>
      </c>
      <c r="N1660" s="13">
        <v>5.58</v>
      </c>
      <c r="P1660"/>
      <c r="Q1660" s="12"/>
      <c r="R1660" s="12"/>
    </row>
    <row r="1661" spans="1:18" x14ac:dyDescent="0.2">
      <c r="A1661">
        <v>14</v>
      </c>
      <c r="B1661" t="s">
        <v>34</v>
      </c>
      <c r="C1661">
        <v>2021</v>
      </c>
      <c r="D1661">
        <v>4</v>
      </c>
      <c r="E1661" s="4">
        <v>283</v>
      </c>
      <c r="F1661" s="9">
        <v>0</v>
      </c>
      <c r="G1661" s="6">
        <v>4346</v>
      </c>
      <c r="H1661" s="9">
        <f t="shared" si="25"/>
        <v>283</v>
      </c>
      <c r="I1661" s="6">
        <v>12750</v>
      </c>
      <c r="J1661" s="6">
        <f>VLOOKUP(Table1[[#This Row],[Province]],[1]Sheet1!$A$3:$F$37,6,FALSE)</f>
        <v>3762200</v>
      </c>
      <c r="K1661">
        <v>1</v>
      </c>
      <c r="L1661" s="4">
        <v>7.8014000000000001</v>
      </c>
      <c r="M1661" s="4">
        <v>110.3648</v>
      </c>
      <c r="N1661" s="13">
        <v>5.58</v>
      </c>
      <c r="P1661"/>
      <c r="Q1661" s="12"/>
      <c r="R1661" s="12"/>
    </row>
    <row r="1662" spans="1:18" x14ac:dyDescent="0.2">
      <c r="A1662">
        <v>14</v>
      </c>
      <c r="B1662" t="s">
        <v>34</v>
      </c>
      <c r="C1662">
        <v>2021</v>
      </c>
      <c r="D1662">
        <v>5</v>
      </c>
      <c r="E1662" s="4">
        <v>1564</v>
      </c>
      <c r="F1662" s="9">
        <v>0</v>
      </c>
      <c r="G1662" s="6">
        <v>4050</v>
      </c>
      <c r="H1662" s="9">
        <f t="shared" si="25"/>
        <v>1564</v>
      </c>
      <c r="I1662" s="6">
        <v>12750</v>
      </c>
      <c r="J1662" s="6">
        <f>VLOOKUP(Table1[[#This Row],[Province]],[1]Sheet1!$A$3:$F$37,6,FALSE)</f>
        <v>3762200</v>
      </c>
      <c r="K1662">
        <v>0</v>
      </c>
      <c r="L1662" s="4">
        <v>7.8014000000000001</v>
      </c>
      <c r="M1662" s="4">
        <v>110.3648</v>
      </c>
      <c r="N1662" s="13">
        <v>5.58</v>
      </c>
      <c r="P1662"/>
      <c r="Q1662" s="12"/>
      <c r="R1662" s="12"/>
    </row>
    <row r="1663" spans="1:18" x14ac:dyDescent="0.2">
      <c r="A1663">
        <v>14</v>
      </c>
      <c r="B1663" t="s">
        <v>34</v>
      </c>
      <c r="C1663">
        <v>2021</v>
      </c>
      <c r="D1663">
        <v>6</v>
      </c>
      <c r="E1663" s="4">
        <v>1708</v>
      </c>
      <c r="F1663" s="9">
        <v>0</v>
      </c>
      <c r="G1663" s="6">
        <v>4481</v>
      </c>
      <c r="H1663" s="9">
        <f t="shared" si="25"/>
        <v>1708</v>
      </c>
      <c r="I1663" s="6">
        <v>12725</v>
      </c>
      <c r="J1663" s="6">
        <f>VLOOKUP(Table1[[#This Row],[Province]],[1]Sheet1!$A$3:$F$37,6,FALSE)</f>
        <v>3762200</v>
      </c>
      <c r="K1663">
        <v>0</v>
      </c>
      <c r="L1663" s="4">
        <v>7.8014000000000001</v>
      </c>
      <c r="M1663" s="4">
        <v>110.3648</v>
      </c>
      <c r="N1663" s="13">
        <v>5.58</v>
      </c>
      <c r="P1663"/>
      <c r="Q1663" s="12"/>
      <c r="R1663" s="12"/>
    </row>
    <row r="1664" spans="1:18" x14ac:dyDescent="0.2">
      <c r="A1664">
        <v>14</v>
      </c>
      <c r="B1664" t="s">
        <v>34</v>
      </c>
      <c r="C1664">
        <v>2021</v>
      </c>
      <c r="D1664">
        <v>7</v>
      </c>
      <c r="E1664" s="4">
        <v>1590</v>
      </c>
      <c r="F1664" s="9">
        <v>0</v>
      </c>
      <c r="G1664" s="6">
        <v>2920</v>
      </c>
      <c r="H1664" s="9">
        <f t="shared" si="25"/>
        <v>1590</v>
      </c>
      <c r="I1664" s="6">
        <v>12650</v>
      </c>
      <c r="J1664" s="6">
        <f>VLOOKUP(Table1[[#This Row],[Province]],[1]Sheet1!$A$3:$F$37,6,FALSE)</f>
        <v>3762200</v>
      </c>
      <c r="K1664">
        <v>0</v>
      </c>
      <c r="L1664" s="4">
        <v>7.8014000000000001</v>
      </c>
      <c r="M1664" s="4">
        <v>110.3648</v>
      </c>
      <c r="N1664" s="13">
        <v>5.58</v>
      </c>
      <c r="P1664"/>
      <c r="Q1664" s="12"/>
      <c r="R1664" s="12"/>
    </row>
    <row r="1665" spans="1:18" x14ac:dyDescent="0.2">
      <c r="A1665">
        <v>14</v>
      </c>
      <c r="B1665" t="s">
        <v>34</v>
      </c>
      <c r="C1665">
        <v>2021</v>
      </c>
      <c r="D1665">
        <v>8</v>
      </c>
      <c r="E1665" s="4">
        <v>1794</v>
      </c>
      <c r="F1665" s="9">
        <v>0</v>
      </c>
      <c r="G1665" s="6">
        <v>4060</v>
      </c>
      <c r="H1665" s="9">
        <f t="shared" si="25"/>
        <v>1794</v>
      </c>
      <c r="I1665" s="6">
        <v>12530</v>
      </c>
      <c r="J1665" s="6">
        <f>VLOOKUP(Table1[[#This Row],[Province]],[1]Sheet1!$A$3:$F$37,6,FALSE)</f>
        <v>3762200</v>
      </c>
      <c r="K1665">
        <v>0</v>
      </c>
      <c r="L1665" s="4">
        <v>7.8014000000000001</v>
      </c>
      <c r="M1665" s="4">
        <v>110.3648</v>
      </c>
      <c r="N1665" s="13">
        <v>5.58</v>
      </c>
      <c r="P1665"/>
      <c r="Q1665" s="12"/>
      <c r="R1665" s="12"/>
    </row>
    <row r="1666" spans="1:18" x14ac:dyDescent="0.2">
      <c r="A1666">
        <v>14</v>
      </c>
      <c r="B1666" t="s">
        <v>34</v>
      </c>
      <c r="C1666">
        <v>2021</v>
      </c>
      <c r="D1666">
        <v>9</v>
      </c>
      <c r="E1666" s="4">
        <v>1397</v>
      </c>
      <c r="F1666" s="9">
        <v>0</v>
      </c>
      <c r="G1666" s="6">
        <v>3262</v>
      </c>
      <c r="H1666" s="9">
        <f t="shared" ref="H1666:H1729" si="26">F1666+E1666</f>
        <v>1397</v>
      </c>
      <c r="I1666" s="6">
        <v>12500</v>
      </c>
      <c r="J1666" s="6">
        <f>VLOOKUP(Table1[[#This Row],[Province]],[1]Sheet1!$A$3:$F$37,6,FALSE)</f>
        <v>3762200</v>
      </c>
      <c r="K1666">
        <v>0</v>
      </c>
      <c r="L1666" s="4">
        <v>7.8014000000000001</v>
      </c>
      <c r="M1666" s="4">
        <v>110.3648</v>
      </c>
      <c r="N1666" s="13">
        <v>5.58</v>
      </c>
      <c r="P1666"/>
      <c r="Q1666" s="12"/>
      <c r="R1666" s="12"/>
    </row>
    <row r="1667" spans="1:18" x14ac:dyDescent="0.2">
      <c r="A1667">
        <v>14</v>
      </c>
      <c r="B1667" t="s">
        <v>34</v>
      </c>
      <c r="C1667">
        <v>2021</v>
      </c>
      <c r="D1667">
        <v>10</v>
      </c>
      <c r="E1667" s="4">
        <v>0</v>
      </c>
      <c r="F1667" s="9">
        <v>0</v>
      </c>
      <c r="G1667" s="6">
        <v>3829</v>
      </c>
      <c r="H1667" s="9">
        <f t="shared" si="26"/>
        <v>0</v>
      </c>
      <c r="I1667" s="6">
        <v>12490</v>
      </c>
      <c r="J1667" s="6">
        <f>VLOOKUP(Table1[[#This Row],[Province]],[1]Sheet1!$A$3:$F$37,6,FALSE)</f>
        <v>3762200</v>
      </c>
      <c r="K1667">
        <v>0</v>
      </c>
      <c r="L1667" s="4">
        <v>7.8014000000000001</v>
      </c>
      <c r="M1667" s="4">
        <v>110.3648</v>
      </c>
      <c r="N1667" s="13">
        <v>5.58</v>
      </c>
      <c r="P1667"/>
      <c r="Q1667" s="12"/>
      <c r="R1667" s="12"/>
    </row>
    <row r="1668" spans="1:18" x14ac:dyDescent="0.2">
      <c r="A1668">
        <v>14</v>
      </c>
      <c r="B1668" t="s">
        <v>34</v>
      </c>
      <c r="C1668">
        <v>2021</v>
      </c>
      <c r="D1668">
        <v>11</v>
      </c>
      <c r="E1668" s="4">
        <v>0</v>
      </c>
      <c r="F1668" s="9">
        <v>0</v>
      </c>
      <c r="G1668" s="6">
        <v>3117</v>
      </c>
      <c r="H1668" s="9">
        <f t="shared" si="26"/>
        <v>0</v>
      </c>
      <c r="I1668" s="6">
        <v>12500</v>
      </c>
      <c r="J1668" s="6">
        <f>VLOOKUP(Table1[[#This Row],[Province]],[1]Sheet1!$A$3:$F$37,6,FALSE)</f>
        <v>3762200</v>
      </c>
      <c r="K1668">
        <v>0</v>
      </c>
      <c r="L1668" s="4">
        <v>7.8014000000000001</v>
      </c>
      <c r="M1668" s="4">
        <v>110.3648</v>
      </c>
      <c r="N1668" s="13">
        <v>5.58</v>
      </c>
      <c r="P1668"/>
      <c r="Q1668" s="12"/>
      <c r="R1668" s="12"/>
    </row>
    <row r="1669" spans="1:18" x14ac:dyDescent="0.2">
      <c r="A1669">
        <v>14</v>
      </c>
      <c r="B1669" t="s">
        <v>34</v>
      </c>
      <c r="C1669">
        <v>2021</v>
      </c>
      <c r="D1669">
        <v>12</v>
      </c>
      <c r="E1669" s="4">
        <v>0</v>
      </c>
      <c r="F1669" s="9">
        <v>0</v>
      </c>
      <c r="G1669" s="6">
        <v>3180</v>
      </c>
      <c r="H1669" s="9">
        <f t="shared" si="26"/>
        <v>0</v>
      </c>
      <c r="I1669" s="6">
        <v>12500</v>
      </c>
      <c r="J1669" s="6">
        <f>VLOOKUP(Table1[[#This Row],[Province]],[1]Sheet1!$A$3:$F$37,6,FALSE)</f>
        <v>3762200</v>
      </c>
      <c r="K1669">
        <v>1</v>
      </c>
      <c r="L1669" s="4">
        <v>7.8014000000000001</v>
      </c>
      <c r="M1669" s="4">
        <v>110.3648</v>
      </c>
      <c r="N1669" s="13">
        <v>5.58</v>
      </c>
      <c r="P1669"/>
      <c r="Q1669" s="12"/>
      <c r="R1669" s="12"/>
    </row>
    <row r="1670" spans="1:18" x14ac:dyDescent="0.2">
      <c r="A1670">
        <v>14</v>
      </c>
      <c r="B1670" t="s">
        <v>34</v>
      </c>
      <c r="C1670">
        <v>2022</v>
      </c>
      <c r="D1670">
        <v>1</v>
      </c>
      <c r="E1670" s="6">
        <v>0</v>
      </c>
      <c r="F1670" s="9">
        <v>0</v>
      </c>
      <c r="G1670" s="6">
        <v>3680</v>
      </c>
      <c r="H1670" s="9">
        <f t="shared" si="26"/>
        <v>0</v>
      </c>
      <c r="I1670" s="6">
        <v>13850</v>
      </c>
      <c r="J1670" s="6">
        <f>VLOOKUP(Table1[[#This Row],[Province]],[1]Sheet1!$A$3:$F$37,6,FALSE)</f>
        <v>3762200</v>
      </c>
      <c r="K1670">
        <v>0</v>
      </c>
      <c r="L1670" s="4">
        <v>7.8014000000000001</v>
      </c>
      <c r="M1670" s="4">
        <v>110.3648</v>
      </c>
      <c r="N1670" s="13">
        <v>5.15</v>
      </c>
      <c r="P1670"/>
      <c r="Q1670" s="12"/>
      <c r="R1670" s="12"/>
    </row>
    <row r="1671" spans="1:18" x14ac:dyDescent="0.2">
      <c r="A1671">
        <v>14</v>
      </c>
      <c r="B1671" t="s">
        <v>34</v>
      </c>
      <c r="C1671">
        <v>2022</v>
      </c>
      <c r="D1671">
        <v>2</v>
      </c>
      <c r="E1671" s="6">
        <v>0</v>
      </c>
      <c r="F1671" s="9">
        <v>0</v>
      </c>
      <c r="G1671" s="6">
        <v>3492</v>
      </c>
      <c r="H1671" s="9">
        <f t="shared" si="26"/>
        <v>0</v>
      </c>
      <c r="I1671" s="6">
        <v>14500</v>
      </c>
      <c r="J1671" s="6">
        <f>VLOOKUP(Table1[[#This Row],[Province]],[1]Sheet1!$A$3:$F$37,6,FALSE)</f>
        <v>3762200</v>
      </c>
      <c r="K1671">
        <v>0</v>
      </c>
      <c r="L1671" s="4">
        <v>7.8014000000000001</v>
      </c>
      <c r="M1671" s="4">
        <v>110.3648</v>
      </c>
      <c r="N1671" s="13">
        <v>5.15</v>
      </c>
      <c r="P1671"/>
      <c r="Q1671" s="12"/>
      <c r="R1671" s="12"/>
    </row>
    <row r="1672" spans="1:18" x14ac:dyDescent="0.2">
      <c r="A1672">
        <v>14</v>
      </c>
      <c r="B1672" t="s">
        <v>34</v>
      </c>
      <c r="C1672">
        <v>2022</v>
      </c>
      <c r="D1672">
        <v>3</v>
      </c>
      <c r="E1672" s="6">
        <v>0</v>
      </c>
      <c r="F1672" s="9">
        <v>0</v>
      </c>
      <c r="G1672" s="6">
        <v>5524</v>
      </c>
      <c r="H1672" s="9">
        <f t="shared" si="26"/>
        <v>0</v>
      </c>
      <c r="I1672" s="6">
        <v>14527</v>
      </c>
      <c r="J1672" s="6">
        <f>VLOOKUP(Table1[[#This Row],[Province]],[1]Sheet1!$A$3:$F$37,6,FALSE)</f>
        <v>3762200</v>
      </c>
      <c r="K1672">
        <v>0</v>
      </c>
      <c r="L1672" s="4">
        <v>7.8014000000000001</v>
      </c>
      <c r="M1672" s="4">
        <v>110.3648</v>
      </c>
      <c r="N1672" s="13">
        <v>5.15</v>
      </c>
      <c r="P1672"/>
      <c r="Q1672" s="12"/>
      <c r="R1672" s="12"/>
    </row>
    <row r="1673" spans="1:18" x14ac:dyDescent="0.2">
      <c r="A1673">
        <v>14</v>
      </c>
      <c r="B1673" t="s">
        <v>34</v>
      </c>
      <c r="C1673">
        <v>2022</v>
      </c>
      <c r="D1673">
        <v>4</v>
      </c>
      <c r="E1673" s="6">
        <v>0</v>
      </c>
      <c r="F1673" s="9">
        <v>0</v>
      </c>
      <c r="G1673" s="6">
        <v>2234</v>
      </c>
      <c r="H1673" s="9">
        <f t="shared" si="26"/>
        <v>0</v>
      </c>
      <c r="I1673" s="6">
        <v>14650</v>
      </c>
      <c r="J1673" s="6">
        <f>VLOOKUP(Table1[[#This Row],[Province]],[1]Sheet1!$A$3:$F$37,6,FALSE)</f>
        <v>3762200</v>
      </c>
      <c r="K1673">
        <v>1</v>
      </c>
      <c r="L1673" s="4">
        <v>7.8014000000000001</v>
      </c>
      <c r="M1673" s="4">
        <v>110.3648</v>
      </c>
      <c r="N1673" s="13">
        <v>5.15</v>
      </c>
      <c r="P1673"/>
      <c r="Q1673" s="12"/>
      <c r="R1673" s="12"/>
    </row>
    <row r="1674" spans="1:18" x14ac:dyDescent="0.2">
      <c r="A1674">
        <v>14</v>
      </c>
      <c r="B1674" t="s">
        <v>34</v>
      </c>
      <c r="C1674">
        <v>2022</v>
      </c>
      <c r="D1674">
        <v>5</v>
      </c>
      <c r="E1674" s="6">
        <v>408</v>
      </c>
      <c r="F1674" s="9">
        <v>0</v>
      </c>
      <c r="G1674" s="6">
        <v>3346</v>
      </c>
      <c r="H1674" s="9">
        <f t="shared" si="26"/>
        <v>408</v>
      </c>
      <c r="I1674" s="6">
        <v>14600</v>
      </c>
      <c r="J1674" s="6">
        <f>VLOOKUP(Table1[[#This Row],[Province]],[1]Sheet1!$A$3:$F$37,6,FALSE)</f>
        <v>3762200</v>
      </c>
      <c r="K1674">
        <v>0</v>
      </c>
      <c r="L1674" s="4">
        <v>7.8014000000000001</v>
      </c>
      <c r="M1674" s="4">
        <v>110.3648</v>
      </c>
      <c r="N1674" s="13">
        <v>5.15</v>
      </c>
      <c r="P1674"/>
      <c r="Q1674" s="12"/>
      <c r="R1674" s="12"/>
    </row>
    <row r="1675" spans="1:18" x14ac:dyDescent="0.2">
      <c r="A1675">
        <v>14</v>
      </c>
      <c r="B1675" t="s">
        <v>34</v>
      </c>
      <c r="C1675">
        <v>2022</v>
      </c>
      <c r="D1675">
        <v>6</v>
      </c>
      <c r="E1675" s="6">
        <v>1033</v>
      </c>
      <c r="F1675" s="9">
        <v>0</v>
      </c>
      <c r="G1675" s="6">
        <v>3896</v>
      </c>
      <c r="H1675" s="9">
        <f t="shared" si="26"/>
        <v>1033</v>
      </c>
      <c r="I1675" s="6">
        <v>14621</v>
      </c>
      <c r="J1675" s="6">
        <f>VLOOKUP(Table1[[#This Row],[Province]],[1]Sheet1!$A$3:$F$37,6,FALSE)</f>
        <v>3762200</v>
      </c>
      <c r="K1675">
        <v>0</v>
      </c>
      <c r="L1675" s="4">
        <v>7.8014000000000001</v>
      </c>
      <c r="M1675" s="4">
        <v>110.3648</v>
      </c>
      <c r="N1675" s="13">
        <v>5.15</v>
      </c>
      <c r="P1675"/>
      <c r="Q1675" s="12"/>
      <c r="R1675" s="12"/>
    </row>
    <row r="1676" spans="1:18" x14ac:dyDescent="0.2">
      <c r="A1676">
        <v>14</v>
      </c>
      <c r="B1676" t="s">
        <v>34</v>
      </c>
      <c r="C1676">
        <v>2022</v>
      </c>
      <c r="D1676">
        <v>7</v>
      </c>
      <c r="E1676" s="6">
        <v>1389</v>
      </c>
      <c r="F1676" s="9">
        <v>0</v>
      </c>
      <c r="G1676" s="6">
        <v>3411</v>
      </c>
      <c r="H1676" s="9">
        <f t="shared" si="26"/>
        <v>1389</v>
      </c>
      <c r="I1676" s="6">
        <v>14400</v>
      </c>
      <c r="J1676" s="6">
        <f>VLOOKUP(Table1[[#This Row],[Province]],[1]Sheet1!$A$3:$F$37,6,FALSE)</f>
        <v>3762200</v>
      </c>
      <c r="K1676">
        <v>0</v>
      </c>
      <c r="L1676" s="4">
        <v>7.8014000000000001</v>
      </c>
      <c r="M1676" s="4">
        <v>110.3648</v>
      </c>
      <c r="N1676" s="13">
        <v>5.15</v>
      </c>
      <c r="P1676"/>
      <c r="Q1676" s="12"/>
      <c r="R1676" s="12"/>
    </row>
    <row r="1677" spans="1:18" x14ac:dyDescent="0.2">
      <c r="A1677">
        <v>14</v>
      </c>
      <c r="B1677" t="s">
        <v>34</v>
      </c>
      <c r="C1677">
        <v>2022</v>
      </c>
      <c r="D1677">
        <v>8</v>
      </c>
      <c r="E1677" s="6">
        <v>1275</v>
      </c>
      <c r="F1677" s="9">
        <v>0</v>
      </c>
      <c r="G1677" s="6">
        <v>4431</v>
      </c>
      <c r="H1677" s="9">
        <f t="shared" si="26"/>
        <v>1275</v>
      </c>
      <c r="I1677" s="6">
        <v>13855</v>
      </c>
      <c r="J1677" s="6">
        <f>VLOOKUP(Table1[[#This Row],[Province]],[1]Sheet1!$A$3:$F$37,6,FALSE)</f>
        <v>3762200</v>
      </c>
      <c r="K1677">
        <v>0</v>
      </c>
      <c r="L1677" s="4">
        <v>7.8014000000000001</v>
      </c>
      <c r="M1677" s="4">
        <v>110.3648</v>
      </c>
      <c r="N1677" s="13">
        <v>5.15</v>
      </c>
      <c r="P1677"/>
      <c r="Q1677" s="12"/>
      <c r="R1677" s="12"/>
    </row>
    <row r="1678" spans="1:18" x14ac:dyDescent="0.2">
      <c r="A1678">
        <v>14</v>
      </c>
      <c r="B1678" t="s">
        <v>34</v>
      </c>
      <c r="C1678">
        <v>2022</v>
      </c>
      <c r="D1678">
        <v>9</v>
      </c>
      <c r="E1678" s="6">
        <v>1405</v>
      </c>
      <c r="F1678" s="9">
        <v>0</v>
      </c>
      <c r="G1678" s="6">
        <v>4677</v>
      </c>
      <c r="H1678" s="9">
        <f t="shared" si="26"/>
        <v>1405</v>
      </c>
      <c r="I1678" s="6">
        <v>13152</v>
      </c>
      <c r="J1678" s="6">
        <f>VLOOKUP(Table1[[#This Row],[Province]],[1]Sheet1!$A$3:$F$37,6,FALSE)</f>
        <v>3762200</v>
      </c>
      <c r="K1678">
        <v>0</v>
      </c>
      <c r="L1678" s="4">
        <v>7.8014000000000001</v>
      </c>
      <c r="M1678" s="4">
        <v>110.3648</v>
      </c>
      <c r="N1678" s="13">
        <v>5.15</v>
      </c>
      <c r="P1678"/>
      <c r="Q1678" s="12"/>
      <c r="R1678" s="12"/>
    </row>
    <row r="1679" spans="1:18" x14ac:dyDescent="0.2">
      <c r="A1679">
        <v>14</v>
      </c>
      <c r="B1679" t="s">
        <v>34</v>
      </c>
      <c r="C1679">
        <v>2022</v>
      </c>
      <c r="D1679">
        <v>10</v>
      </c>
      <c r="E1679" s="6">
        <v>0</v>
      </c>
      <c r="F1679" s="9">
        <v>0</v>
      </c>
      <c r="G1679" s="6">
        <v>2264</v>
      </c>
      <c r="H1679" s="9">
        <f t="shared" si="26"/>
        <v>0</v>
      </c>
      <c r="I1679" s="6">
        <v>12830</v>
      </c>
      <c r="J1679" s="6">
        <f>VLOOKUP(Table1[[#This Row],[Province]],[1]Sheet1!$A$3:$F$37,6,FALSE)</f>
        <v>3762200</v>
      </c>
      <c r="K1679">
        <v>0</v>
      </c>
      <c r="L1679" s="4">
        <v>7.8014000000000001</v>
      </c>
      <c r="M1679" s="4">
        <v>110.3648</v>
      </c>
      <c r="N1679" s="13">
        <v>5.15</v>
      </c>
      <c r="P1679"/>
      <c r="Q1679" s="12"/>
      <c r="R1679" s="12"/>
    </row>
    <row r="1680" spans="1:18" x14ac:dyDescent="0.2">
      <c r="A1680">
        <v>14</v>
      </c>
      <c r="B1680" t="s">
        <v>34</v>
      </c>
      <c r="C1680">
        <v>2022</v>
      </c>
      <c r="D1680">
        <v>11</v>
      </c>
      <c r="E1680" s="6">
        <v>0</v>
      </c>
      <c r="F1680" s="9">
        <v>0</v>
      </c>
      <c r="G1680" s="6">
        <v>2663</v>
      </c>
      <c r="H1680" s="9">
        <f t="shared" si="26"/>
        <v>0</v>
      </c>
      <c r="I1680" s="6">
        <v>13239</v>
      </c>
      <c r="J1680" s="6">
        <f>VLOOKUP(Table1[[#This Row],[Province]],[1]Sheet1!$A$3:$F$37,6,FALSE)</f>
        <v>3762200</v>
      </c>
      <c r="K1680">
        <v>0</v>
      </c>
      <c r="L1680" s="4">
        <v>7.8014000000000001</v>
      </c>
      <c r="M1680" s="4">
        <v>110.3648</v>
      </c>
      <c r="N1680" s="13">
        <v>5.15</v>
      </c>
      <c r="P1680"/>
      <c r="Q1680" s="12"/>
      <c r="R1680" s="12"/>
    </row>
    <row r="1681" spans="1:18" x14ac:dyDescent="0.2">
      <c r="A1681">
        <v>14</v>
      </c>
      <c r="B1681" t="s">
        <v>34</v>
      </c>
      <c r="C1681">
        <v>2022</v>
      </c>
      <c r="D1681">
        <v>12</v>
      </c>
      <c r="E1681" s="6">
        <v>0</v>
      </c>
      <c r="F1681" s="9">
        <v>0</v>
      </c>
      <c r="G1681" s="6">
        <v>3724</v>
      </c>
      <c r="H1681" s="9">
        <f t="shared" si="26"/>
        <v>0</v>
      </c>
      <c r="I1681" s="6">
        <v>13386</v>
      </c>
      <c r="J1681" s="6">
        <f>VLOOKUP(Table1[[#This Row],[Province]],[1]Sheet1!$A$3:$F$37,6,FALSE)</f>
        <v>3762200</v>
      </c>
      <c r="K1681">
        <v>1</v>
      </c>
      <c r="L1681" s="4">
        <v>7.8014000000000001</v>
      </c>
      <c r="M1681" s="4">
        <v>110.3648</v>
      </c>
      <c r="N1681" s="13">
        <v>5.15</v>
      </c>
      <c r="P1681"/>
      <c r="Q1681" s="12"/>
      <c r="R1681" s="12"/>
    </row>
    <row r="1682" spans="1:18" x14ac:dyDescent="0.2">
      <c r="A1682">
        <v>15</v>
      </c>
      <c r="B1682" t="s">
        <v>11</v>
      </c>
      <c r="C1682">
        <v>2013</v>
      </c>
      <c r="D1682">
        <v>1</v>
      </c>
      <c r="E1682" s="4">
        <v>0</v>
      </c>
      <c r="F1682" s="9">
        <v>328.26600000000002</v>
      </c>
      <c r="G1682" s="6">
        <v>26060</v>
      </c>
      <c r="H1682" s="9">
        <f t="shared" si="26"/>
        <v>328.26600000000002</v>
      </c>
      <c r="I1682" s="6">
        <v>10788</v>
      </c>
      <c r="J1682" s="6">
        <f>VLOOKUP(Table1[[#This Row],[Province]],[1]Sheet1!$A$3:$F$37,6,FALSE)</f>
        <v>39293000</v>
      </c>
      <c r="K1682">
        <v>0</v>
      </c>
      <c r="L1682" s="4">
        <v>7.5360639999999997</v>
      </c>
      <c r="M1682" s="4">
        <v>112.23840199999999</v>
      </c>
      <c r="N1682" s="6"/>
      <c r="P1682"/>
      <c r="Q1682" s="12"/>
      <c r="R1682" s="12"/>
    </row>
    <row r="1683" spans="1:18" x14ac:dyDescent="0.2">
      <c r="A1683">
        <v>15</v>
      </c>
      <c r="B1683" t="s">
        <v>11</v>
      </c>
      <c r="C1683">
        <v>2013</v>
      </c>
      <c r="D1683">
        <v>2</v>
      </c>
      <c r="E1683" s="4">
        <v>0</v>
      </c>
      <c r="F1683" s="9">
        <v>318.45100000000002</v>
      </c>
      <c r="G1683" s="6">
        <v>24980</v>
      </c>
      <c r="H1683" s="9">
        <f t="shared" si="26"/>
        <v>318.45100000000002</v>
      </c>
      <c r="I1683" s="6">
        <v>10984</v>
      </c>
      <c r="J1683" s="6">
        <f>VLOOKUP(Table1[[#This Row],[Province]],[1]Sheet1!$A$3:$F$37,6,FALSE)</f>
        <v>39293000</v>
      </c>
      <c r="K1683">
        <v>0</v>
      </c>
      <c r="L1683" s="4">
        <v>7.5360639999999997</v>
      </c>
      <c r="M1683" s="4">
        <v>112.23840199999999</v>
      </c>
      <c r="N1683" s="6"/>
      <c r="P1683"/>
      <c r="Q1683" s="12"/>
      <c r="R1683" s="12"/>
    </row>
    <row r="1684" spans="1:18" x14ac:dyDescent="0.2">
      <c r="A1684">
        <v>15</v>
      </c>
      <c r="B1684" t="s">
        <v>11</v>
      </c>
      <c r="C1684">
        <v>2013</v>
      </c>
      <c r="D1684">
        <v>3</v>
      </c>
      <c r="E1684" s="4">
        <v>0</v>
      </c>
      <c r="F1684" s="9">
        <v>262.74200000000002</v>
      </c>
      <c r="G1684" s="6">
        <v>25751</v>
      </c>
      <c r="H1684" s="9">
        <f t="shared" si="26"/>
        <v>262.74200000000002</v>
      </c>
      <c r="I1684" s="6">
        <v>10773</v>
      </c>
      <c r="J1684" s="6">
        <f>VLOOKUP(Table1[[#This Row],[Province]],[1]Sheet1!$A$3:$F$37,6,FALSE)</f>
        <v>39293000</v>
      </c>
      <c r="K1684">
        <v>0</v>
      </c>
      <c r="L1684" s="4">
        <v>7.5360639999999997</v>
      </c>
      <c r="M1684" s="4">
        <v>112.23840199999999</v>
      </c>
      <c r="N1684" s="6"/>
      <c r="P1684"/>
      <c r="Q1684" s="12"/>
      <c r="R1684" s="12"/>
    </row>
    <row r="1685" spans="1:18" x14ac:dyDescent="0.2">
      <c r="A1685">
        <v>15</v>
      </c>
      <c r="B1685" t="s">
        <v>11</v>
      </c>
      <c r="C1685">
        <v>2013</v>
      </c>
      <c r="D1685">
        <v>4</v>
      </c>
      <c r="E1685" s="4">
        <v>110</v>
      </c>
      <c r="F1685" s="9">
        <v>336.04</v>
      </c>
      <c r="G1685" s="6">
        <v>33461</v>
      </c>
      <c r="H1685" s="9">
        <f t="shared" si="26"/>
        <v>446.04</v>
      </c>
      <c r="I1685" s="6">
        <v>11273</v>
      </c>
      <c r="J1685" s="6">
        <f>VLOOKUP(Table1[[#This Row],[Province]],[1]Sheet1!$A$3:$F$37,6,FALSE)</f>
        <v>39293000</v>
      </c>
      <c r="K1685">
        <v>0</v>
      </c>
      <c r="L1685" s="4">
        <v>7.5360639999999997</v>
      </c>
      <c r="M1685" s="4">
        <v>112.23840199999999</v>
      </c>
      <c r="N1685" s="6"/>
      <c r="P1685"/>
      <c r="Q1685" s="12"/>
      <c r="R1685" s="12"/>
    </row>
    <row r="1686" spans="1:18" x14ac:dyDescent="0.2">
      <c r="A1686">
        <v>15</v>
      </c>
      <c r="B1686" t="s">
        <v>11</v>
      </c>
      <c r="C1686">
        <v>2013</v>
      </c>
      <c r="D1686">
        <v>5</v>
      </c>
      <c r="E1686" s="4">
        <v>46041</v>
      </c>
      <c r="F1686" s="9">
        <v>485.197</v>
      </c>
      <c r="G1686" s="6">
        <v>40555</v>
      </c>
      <c r="H1686" s="9">
        <f t="shared" si="26"/>
        <v>46526.197</v>
      </c>
      <c r="I1686" s="6">
        <v>11433</v>
      </c>
      <c r="J1686" s="6">
        <f>VLOOKUP(Table1[[#This Row],[Province]],[1]Sheet1!$A$3:$F$37,6,FALSE)</f>
        <v>39293000</v>
      </c>
      <c r="K1686">
        <v>0</v>
      </c>
      <c r="L1686" s="4">
        <v>7.5360639999999997</v>
      </c>
      <c r="M1686" s="4">
        <v>112.23840199999999</v>
      </c>
      <c r="N1686" s="6"/>
      <c r="P1686"/>
      <c r="Q1686" s="12"/>
      <c r="R1686" s="12"/>
    </row>
    <row r="1687" spans="1:18" x14ac:dyDescent="0.2">
      <c r="A1687">
        <v>15</v>
      </c>
      <c r="B1687" t="s">
        <v>11</v>
      </c>
      <c r="C1687">
        <v>2013</v>
      </c>
      <c r="D1687">
        <v>6</v>
      </c>
      <c r="E1687" s="4">
        <v>169419</v>
      </c>
      <c r="F1687" s="9">
        <v>397.24599999999998</v>
      </c>
      <c r="G1687" s="6">
        <v>33770</v>
      </c>
      <c r="H1687" s="9">
        <f t="shared" si="26"/>
        <v>169816.24600000001</v>
      </c>
      <c r="I1687" s="6">
        <v>11377</v>
      </c>
      <c r="J1687" s="6">
        <f>VLOOKUP(Table1[[#This Row],[Province]],[1]Sheet1!$A$3:$F$37,6,FALSE)</f>
        <v>39293000</v>
      </c>
      <c r="K1687">
        <v>0</v>
      </c>
      <c r="L1687" s="4">
        <v>7.5360639999999997</v>
      </c>
      <c r="M1687" s="4">
        <v>112.23840199999999</v>
      </c>
      <c r="N1687" s="6"/>
      <c r="P1687"/>
      <c r="Q1687" s="12"/>
      <c r="R1687" s="12"/>
    </row>
    <row r="1688" spans="1:18" x14ac:dyDescent="0.2">
      <c r="A1688">
        <v>15</v>
      </c>
      <c r="B1688" t="s">
        <v>11</v>
      </c>
      <c r="C1688">
        <v>2013</v>
      </c>
      <c r="D1688">
        <v>7</v>
      </c>
      <c r="E1688" s="4">
        <v>254447</v>
      </c>
      <c r="F1688" s="9">
        <v>431.47800000000001</v>
      </c>
      <c r="G1688" s="6">
        <v>58596</v>
      </c>
      <c r="H1688" s="9">
        <f t="shared" si="26"/>
        <v>254878.478</v>
      </c>
      <c r="I1688" s="6">
        <v>12564</v>
      </c>
      <c r="J1688" s="6">
        <f>VLOOKUP(Table1[[#This Row],[Province]],[1]Sheet1!$A$3:$F$37,6,FALSE)</f>
        <v>39293000</v>
      </c>
      <c r="K1688">
        <v>1</v>
      </c>
      <c r="L1688" s="4">
        <v>7.5360639999999997</v>
      </c>
      <c r="M1688" s="4">
        <v>112.23840199999999</v>
      </c>
      <c r="N1688" s="6"/>
      <c r="P1688"/>
      <c r="Q1688" s="12"/>
      <c r="R1688" s="12"/>
    </row>
    <row r="1689" spans="1:18" x14ac:dyDescent="0.2">
      <c r="A1689">
        <v>15</v>
      </c>
      <c r="B1689" t="s">
        <v>11</v>
      </c>
      <c r="C1689">
        <v>2013</v>
      </c>
      <c r="D1689">
        <v>8</v>
      </c>
      <c r="E1689" s="4">
        <v>192264</v>
      </c>
      <c r="F1689" s="9">
        <v>329.92399999999998</v>
      </c>
      <c r="G1689" s="6">
        <v>21434</v>
      </c>
      <c r="H1689" s="9">
        <f t="shared" si="26"/>
        <v>192593.924</v>
      </c>
      <c r="I1689" s="6">
        <v>11320</v>
      </c>
      <c r="J1689" s="6">
        <f>VLOOKUP(Table1[[#This Row],[Province]],[1]Sheet1!$A$3:$F$37,6,FALSE)</f>
        <v>39293000</v>
      </c>
      <c r="K1689">
        <v>0</v>
      </c>
      <c r="L1689" s="4">
        <v>7.5360639999999997</v>
      </c>
      <c r="M1689" s="4">
        <v>112.23840199999999</v>
      </c>
      <c r="N1689" s="6"/>
      <c r="P1689"/>
      <c r="Q1689" s="12"/>
      <c r="R1689" s="12"/>
    </row>
    <row r="1690" spans="1:18" x14ac:dyDescent="0.2">
      <c r="A1690">
        <v>15</v>
      </c>
      <c r="B1690" t="s">
        <v>11</v>
      </c>
      <c r="C1690">
        <v>2013</v>
      </c>
      <c r="D1690">
        <v>9</v>
      </c>
      <c r="E1690" s="4">
        <v>250333</v>
      </c>
      <c r="F1690" s="9">
        <v>295.58300000000003</v>
      </c>
      <c r="G1690" s="6">
        <v>45797</v>
      </c>
      <c r="H1690" s="9">
        <f t="shared" si="26"/>
        <v>250628.58300000001</v>
      </c>
      <c r="I1690" s="6">
        <v>11048</v>
      </c>
      <c r="J1690" s="6">
        <f>VLOOKUP(Table1[[#This Row],[Province]],[1]Sheet1!$A$3:$F$37,6,FALSE)</f>
        <v>39293000</v>
      </c>
      <c r="K1690">
        <v>0</v>
      </c>
      <c r="L1690" s="4">
        <v>7.5360639999999997</v>
      </c>
      <c r="M1690" s="4">
        <v>112.23840199999999</v>
      </c>
      <c r="N1690" s="6"/>
      <c r="P1690"/>
      <c r="Q1690" s="12"/>
      <c r="R1690" s="12"/>
    </row>
    <row r="1691" spans="1:18" x14ac:dyDescent="0.2">
      <c r="A1691">
        <v>15</v>
      </c>
      <c r="B1691" t="s">
        <v>11</v>
      </c>
      <c r="C1691">
        <v>2013</v>
      </c>
      <c r="D1691">
        <v>10</v>
      </c>
      <c r="E1691" s="4">
        <v>206083</v>
      </c>
      <c r="F1691" s="9">
        <v>445.00400000000002</v>
      </c>
      <c r="G1691" s="6">
        <v>37471</v>
      </c>
      <c r="H1691" s="9">
        <f t="shared" si="26"/>
        <v>206528.00399999999</v>
      </c>
      <c r="I1691" s="6">
        <v>11364</v>
      </c>
      <c r="J1691" s="6">
        <f>VLOOKUP(Table1[[#This Row],[Province]],[1]Sheet1!$A$3:$F$37,6,FALSE)</f>
        <v>39293000</v>
      </c>
      <c r="K1691">
        <v>0</v>
      </c>
      <c r="L1691" s="4">
        <v>7.5360639999999997</v>
      </c>
      <c r="M1691" s="4">
        <v>112.23840199999999</v>
      </c>
      <c r="N1691" s="6"/>
      <c r="P1691"/>
      <c r="Q1691" s="12"/>
      <c r="R1691" s="12"/>
    </row>
    <row r="1692" spans="1:18" x14ac:dyDescent="0.2">
      <c r="A1692">
        <v>15</v>
      </c>
      <c r="B1692" t="s">
        <v>11</v>
      </c>
      <c r="C1692">
        <v>2013</v>
      </c>
      <c r="D1692">
        <v>11</v>
      </c>
      <c r="E1692" s="4">
        <v>106599</v>
      </c>
      <c r="F1692" s="9">
        <v>470.12599999999998</v>
      </c>
      <c r="G1692" s="6">
        <v>27602</v>
      </c>
      <c r="H1692" s="9">
        <f t="shared" si="26"/>
        <v>107069.126</v>
      </c>
      <c r="I1692" s="6">
        <v>10630</v>
      </c>
      <c r="J1692" s="6">
        <f>VLOOKUP(Table1[[#This Row],[Province]],[1]Sheet1!$A$3:$F$37,6,FALSE)</f>
        <v>39293000</v>
      </c>
      <c r="K1692">
        <v>0</v>
      </c>
      <c r="L1692" s="4">
        <v>7.5360639999999997</v>
      </c>
      <c r="M1692" s="4">
        <v>112.23840199999999</v>
      </c>
      <c r="N1692" s="6"/>
      <c r="P1692"/>
      <c r="Q1692" s="12"/>
      <c r="R1692" s="12"/>
    </row>
    <row r="1693" spans="1:18" x14ac:dyDescent="0.2">
      <c r="A1693">
        <v>15</v>
      </c>
      <c r="B1693" t="s">
        <v>11</v>
      </c>
      <c r="C1693">
        <v>2013</v>
      </c>
      <c r="D1693">
        <v>12</v>
      </c>
      <c r="E1693" s="4">
        <v>18090</v>
      </c>
      <c r="F1693" s="9">
        <v>555.53700000000003</v>
      </c>
      <c r="G1693" s="6">
        <v>38396</v>
      </c>
      <c r="H1693" s="9">
        <f t="shared" si="26"/>
        <v>18645.537</v>
      </c>
      <c r="I1693" s="6">
        <v>10248</v>
      </c>
      <c r="J1693" s="6">
        <f>VLOOKUP(Table1[[#This Row],[Province]],[1]Sheet1!$A$3:$F$37,6,FALSE)</f>
        <v>39293000</v>
      </c>
      <c r="K1693">
        <v>1</v>
      </c>
      <c r="L1693" s="4">
        <v>7.5360639999999997</v>
      </c>
      <c r="M1693" s="4">
        <v>112.23840199999999</v>
      </c>
      <c r="N1693" s="6"/>
      <c r="P1693"/>
      <c r="Q1693" s="12"/>
      <c r="R1693" s="12"/>
    </row>
    <row r="1694" spans="1:18" x14ac:dyDescent="0.2">
      <c r="A1694">
        <v>15</v>
      </c>
      <c r="B1694" t="s">
        <v>11</v>
      </c>
      <c r="C1694">
        <v>2014</v>
      </c>
      <c r="D1694">
        <v>1</v>
      </c>
      <c r="E1694" s="4">
        <v>0</v>
      </c>
      <c r="F1694" s="9">
        <v>612.86800000000005</v>
      </c>
      <c r="G1694" s="6">
        <v>26685</v>
      </c>
      <c r="H1694" s="9">
        <f t="shared" si="26"/>
        <v>612.86800000000005</v>
      </c>
      <c r="I1694" s="6">
        <v>10208</v>
      </c>
      <c r="J1694" s="6">
        <f>VLOOKUP(Table1[[#This Row],[Province]],[1]Sheet1!$A$3:$F$37,6,FALSE)</f>
        <v>39293000</v>
      </c>
      <c r="K1694">
        <v>0</v>
      </c>
      <c r="L1694" s="4">
        <v>7.5360639999999997</v>
      </c>
      <c r="M1694" s="4">
        <v>112.23840199999999</v>
      </c>
      <c r="N1694" s="6"/>
      <c r="P1694"/>
      <c r="Q1694" s="12"/>
      <c r="R1694" s="12"/>
    </row>
    <row r="1695" spans="1:18" x14ac:dyDescent="0.2">
      <c r="A1695">
        <v>15</v>
      </c>
      <c r="B1695" t="s">
        <v>11</v>
      </c>
      <c r="C1695">
        <v>2014</v>
      </c>
      <c r="D1695">
        <v>2</v>
      </c>
      <c r="E1695" s="4">
        <v>0</v>
      </c>
      <c r="F1695" s="9">
        <v>233.54900000000001</v>
      </c>
      <c r="G1695" s="6">
        <v>23807</v>
      </c>
      <c r="H1695" s="9">
        <f t="shared" si="26"/>
        <v>233.54900000000001</v>
      </c>
      <c r="I1695" s="6">
        <v>10500</v>
      </c>
      <c r="J1695" s="6">
        <f>VLOOKUP(Table1[[#This Row],[Province]],[1]Sheet1!$A$3:$F$37,6,FALSE)</f>
        <v>39293000</v>
      </c>
      <c r="K1695">
        <v>0</v>
      </c>
      <c r="L1695" s="4">
        <v>7.5360639999999997</v>
      </c>
      <c r="M1695" s="4">
        <v>112.23840199999999</v>
      </c>
      <c r="N1695" s="6"/>
      <c r="P1695"/>
      <c r="Q1695" s="12"/>
      <c r="R1695" s="12"/>
    </row>
    <row r="1696" spans="1:18" x14ac:dyDescent="0.2">
      <c r="A1696">
        <v>15</v>
      </c>
      <c r="B1696" t="s">
        <v>11</v>
      </c>
      <c r="C1696">
        <v>2014</v>
      </c>
      <c r="D1696">
        <v>3</v>
      </c>
      <c r="E1696" s="4">
        <v>0</v>
      </c>
      <c r="F1696" s="9">
        <v>244.11099999999999</v>
      </c>
      <c r="G1696" s="6">
        <v>26731</v>
      </c>
      <c r="H1696" s="9">
        <f t="shared" si="26"/>
        <v>244.11099999999999</v>
      </c>
      <c r="I1696" s="6">
        <v>10298</v>
      </c>
      <c r="J1696" s="6">
        <f>VLOOKUP(Table1[[#This Row],[Province]],[1]Sheet1!$A$3:$F$37,6,FALSE)</f>
        <v>39293000</v>
      </c>
      <c r="K1696">
        <v>0</v>
      </c>
      <c r="L1696" s="4">
        <v>7.5360639999999997</v>
      </c>
      <c r="M1696" s="4">
        <v>112.23840199999999</v>
      </c>
      <c r="N1696" s="6"/>
      <c r="P1696"/>
      <c r="Q1696" s="12"/>
      <c r="R1696" s="12"/>
    </row>
    <row r="1697" spans="1:18" x14ac:dyDescent="0.2">
      <c r="A1697">
        <v>15</v>
      </c>
      <c r="B1697" t="s">
        <v>11</v>
      </c>
      <c r="C1697">
        <v>2014</v>
      </c>
      <c r="D1697">
        <v>4</v>
      </c>
      <c r="E1697" s="4">
        <v>117</v>
      </c>
      <c r="F1697" s="9">
        <v>460.29399999999998</v>
      </c>
      <c r="G1697" s="6">
        <v>34432</v>
      </c>
      <c r="H1697" s="9">
        <f t="shared" si="26"/>
        <v>577.29399999999998</v>
      </c>
      <c r="I1697" s="6">
        <v>10027</v>
      </c>
      <c r="J1697" s="6">
        <f>VLOOKUP(Table1[[#This Row],[Province]],[1]Sheet1!$A$3:$F$37,6,FALSE)</f>
        <v>39293000</v>
      </c>
      <c r="K1697">
        <v>0</v>
      </c>
      <c r="L1697" s="4">
        <v>7.5360639999999997</v>
      </c>
      <c r="M1697" s="4">
        <v>112.23840199999999</v>
      </c>
      <c r="N1697" s="6"/>
      <c r="P1697"/>
      <c r="Q1697" s="12"/>
      <c r="R1697" s="12"/>
    </row>
    <row r="1698" spans="1:18" x14ac:dyDescent="0.2">
      <c r="A1698">
        <v>15</v>
      </c>
      <c r="B1698" t="s">
        <v>11</v>
      </c>
      <c r="C1698">
        <v>2014</v>
      </c>
      <c r="D1698">
        <v>5</v>
      </c>
      <c r="E1698" s="4">
        <v>31968</v>
      </c>
      <c r="F1698" s="9">
        <v>487.25900000000001</v>
      </c>
      <c r="G1698" s="6">
        <v>38566</v>
      </c>
      <c r="H1698" s="9">
        <f t="shared" si="26"/>
        <v>32455.258999999998</v>
      </c>
      <c r="I1698" s="6">
        <v>9991</v>
      </c>
      <c r="J1698" s="6">
        <f>VLOOKUP(Table1[[#This Row],[Province]],[1]Sheet1!$A$3:$F$37,6,FALSE)</f>
        <v>39293000</v>
      </c>
      <c r="K1698">
        <v>0</v>
      </c>
      <c r="L1698" s="4">
        <v>7.5360639999999997</v>
      </c>
      <c r="M1698" s="4">
        <v>112.23840199999999</v>
      </c>
      <c r="N1698" s="6"/>
      <c r="P1698"/>
      <c r="Q1698" s="12"/>
      <c r="R1698" s="12"/>
    </row>
    <row r="1699" spans="1:18" x14ac:dyDescent="0.2">
      <c r="A1699">
        <v>15</v>
      </c>
      <c r="B1699" t="s">
        <v>11</v>
      </c>
      <c r="C1699">
        <v>2014</v>
      </c>
      <c r="D1699">
        <v>6</v>
      </c>
      <c r="E1699" s="4">
        <v>161331</v>
      </c>
      <c r="F1699" s="9">
        <v>440.38799999999998</v>
      </c>
      <c r="G1699" s="6">
        <v>54886</v>
      </c>
      <c r="H1699" s="9">
        <f t="shared" si="26"/>
        <v>161771.38800000001</v>
      </c>
      <c r="I1699" s="6">
        <v>10000</v>
      </c>
      <c r="J1699" s="6">
        <f>VLOOKUP(Table1[[#This Row],[Province]],[1]Sheet1!$A$3:$F$37,6,FALSE)</f>
        <v>39293000</v>
      </c>
      <c r="K1699">
        <v>1</v>
      </c>
      <c r="L1699" s="4">
        <v>7.5360639999999997</v>
      </c>
      <c r="M1699" s="4">
        <v>112.23840199999999</v>
      </c>
      <c r="N1699" s="6"/>
      <c r="P1699"/>
      <c r="Q1699" s="12"/>
      <c r="R1699" s="12"/>
    </row>
    <row r="1700" spans="1:18" x14ac:dyDescent="0.2">
      <c r="A1700">
        <v>15</v>
      </c>
      <c r="B1700" t="s">
        <v>11</v>
      </c>
      <c r="C1700">
        <v>2014</v>
      </c>
      <c r="D1700">
        <v>7</v>
      </c>
      <c r="E1700" s="4">
        <v>262736</v>
      </c>
      <c r="F1700" s="9">
        <v>390.59899999999999</v>
      </c>
      <c r="G1700" s="6">
        <v>34432</v>
      </c>
      <c r="H1700" s="9">
        <f t="shared" si="26"/>
        <v>263126.59899999999</v>
      </c>
      <c r="I1700" s="6">
        <v>10000</v>
      </c>
      <c r="J1700" s="6">
        <f>VLOOKUP(Table1[[#This Row],[Province]],[1]Sheet1!$A$3:$F$37,6,FALSE)</f>
        <v>39293000</v>
      </c>
      <c r="K1700">
        <v>0</v>
      </c>
      <c r="L1700" s="4">
        <v>7.5360639999999997</v>
      </c>
      <c r="M1700" s="4">
        <v>112.23840199999999</v>
      </c>
      <c r="N1700" s="6"/>
      <c r="P1700"/>
      <c r="Q1700" s="12"/>
      <c r="R1700" s="12"/>
    </row>
    <row r="1701" spans="1:18" x14ac:dyDescent="0.2">
      <c r="A1701">
        <v>15</v>
      </c>
      <c r="B1701" t="s">
        <v>11</v>
      </c>
      <c r="C1701">
        <v>2014</v>
      </c>
      <c r="D1701">
        <v>8</v>
      </c>
      <c r="E1701" s="4">
        <v>217817</v>
      </c>
      <c r="F1701" s="9">
        <v>265.38600000000002</v>
      </c>
      <c r="G1701" s="6">
        <v>33192</v>
      </c>
      <c r="H1701" s="9">
        <f t="shared" si="26"/>
        <v>218082.386</v>
      </c>
      <c r="I1701" s="6">
        <v>9935</v>
      </c>
      <c r="J1701" s="6">
        <f>VLOOKUP(Table1[[#This Row],[Province]],[1]Sheet1!$A$3:$F$37,6,FALSE)</f>
        <v>39293000</v>
      </c>
      <c r="K1701">
        <v>0</v>
      </c>
      <c r="L1701" s="4">
        <v>7.5360639999999997</v>
      </c>
      <c r="M1701" s="4">
        <v>112.23840199999999</v>
      </c>
      <c r="N1701" s="6"/>
      <c r="P1701"/>
      <c r="Q1701" s="12"/>
      <c r="R1701" s="12"/>
    </row>
    <row r="1702" spans="1:18" x14ac:dyDescent="0.2">
      <c r="A1702">
        <v>15</v>
      </c>
      <c r="B1702" t="s">
        <v>11</v>
      </c>
      <c r="C1702">
        <v>2014</v>
      </c>
      <c r="D1702">
        <v>9</v>
      </c>
      <c r="E1702" s="4">
        <v>252652</v>
      </c>
      <c r="F1702" s="9">
        <v>505.43</v>
      </c>
      <c r="G1702" s="6">
        <v>33406</v>
      </c>
      <c r="H1702" s="9">
        <f t="shared" si="26"/>
        <v>253157.43</v>
      </c>
      <c r="I1702" s="6">
        <v>9865</v>
      </c>
      <c r="J1702" s="6">
        <f>VLOOKUP(Table1[[#This Row],[Province]],[1]Sheet1!$A$3:$F$37,6,FALSE)</f>
        <v>39293000</v>
      </c>
      <c r="K1702">
        <v>0</v>
      </c>
      <c r="L1702" s="4">
        <v>7.5360639999999997</v>
      </c>
      <c r="M1702" s="4">
        <v>112.23840199999999</v>
      </c>
      <c r="N1702" s="6"/>
      <c r="P1702"/>
      <c r="Q1702" s="12"/>
      <c r="R1702" s="12"/>
    </row>
    <row r="1703" spans="1:18" x14ac:dyDescent="0.2">
      <c r="A1703">
        <v>15</v>
      </c>
      <c r="B1703" t="s">
        <v>11</v>
      </c>
      <c r="C1703">
        <v>2014</v>
      </c>
      <c r="D1703">
        <v>10</v>
      </c>
      <c r="E1703" s="4">
        <v>207234</v>
      </c>
      <c r="F1703" s="9">
        <v>394.613</v>
      </c>
      <c r="G1703" s="6">
        <v>49558</v>
      </c>
      <c r="H1703" s="9">
        <f t="shared" si="26"/>
        <v>207628.61300000001</v>
      </c>
      <c r="I1703" s="6">
        <v>9767</v>
      </c>
      <c r="J1703" s="6">
        <f>VLOOKUP(Table1[[#This Row],[Province]],[1]Sheet1!$A$3:$F$37,6,FALSE)</f>
        <v>39293000</v>
      </c>
      <c r="K1703">
        <v>0</v>
      </c>
      <c r="L1703" s="4">
        <v>7.5360639999999997</v>
      </c>
      <c r="M1703" s="4">
        <v>112.23840199999999</v>
      </c>
      <c r="N1703" s="6"/>
      <c r="P1703"/>
      <c r="Q1703" s="12"/>
      <c r="R1703" s="12"/>
    </row>
    <row r="1704" spans="1:18" x14ac:dyDescent="0.2">
      <c r="A1704">
        <v>15</v>
      </c>
      <c r="B1704" t="s">
        <v>11</v>
      </c>
      <c r="C1704">
        <v>2014</v>
      </c>
      <c r="D1704">
        <v>11</v>
      </c>
      <c r="E1704" s="4">
        <v>113485</v>
      </c>
      <c r="F1704" s="9">
        <v>579.83500000000004</v>
      </c>
      <c r="G1704" s="6">
        <v>39546</v>
      </c>
      <c r="H1704" s="9">
        <f t="shared" si="26"/>
        <v>114064.83500000001</v>
      </c>
      <c r="I1704" s="6">
        <v>9767</v>
      </c>
      <c r="J1704" s="6">
        <f>VLOOKUP(Table1[[#This Row],[Province]],[1]Sheet1!$A$3:$F$37,6,FALSE)</f>
        <v>39293000</v>
      </c>
      <c r="K1704">
        <v>0</v>
      </c>
      <c r="L1704" s="4">
        <v>7.5360639999999997</v>
      </c>
      <c r="M1704" s="4">
        <v>112.23840199999999</v>
      </c>
      <c r="N1704" s="6"/>
      <c r="P1704"/>
      <c r="Q1704" s="12"/>
      <c r="R1704" s="12"/>
    </row>
    <row r="1705" spans="1:18" x14ac:dyDescent="0.2">
      <c r="A1705">
        <v>15</v>
      </c>
      <c r="B1705" t="s">
        <v>11</v>
      </c>
      <c r="C1705">
        <v>2014</v>
      </c>
      <c r="D1705">
        <v>12</v>
      </c>
      <c r="E1705" s="4">
        <v>10858</v>
      </c>
      <c r="F1705" s="9">
        <v>580.36900000000003</v>
      </c>
      <c r="G1705" s="6">
        <v>46114</v>
      </c>
      <c r="H1705" s="9">
        <f t="shared" si="26"/>
        <v>11438.369000000001</v>
      </c>
      <c r="I1705" s="6">
        <v>9767</v>
      </c>
      <c r="J1705" s="6">
        <f>VLOOKUP(Table1[[#This Row],[Province]],[1]Sheet1!$A$3:$F$37,6,FALSE)</f>
        <v>39293000</v>
      </c>
      <c r="K1705">
        <v>1</v>
      </c>
      <c r="L1705" s="4">
        <v>7.5360639999999997</v>
      </c>
      <c r="M1705" s="4">
        <v>112.23840199999999</v>
      </c>
      <c r="N1705" s="6"/>
      <c r="P1705"/>
      <c r="Q1705" s="12"/>
      <c r="R1705" s="12"/>
    </row>
    <row r="1706" spans="1:18" x14ac:dyDescent="0.2">
      <c r="A1706">
        <v>15</v>
      </c>
      <c r="B1706" t="s">
        <v>11</v>
      </c>
      <c r="C1706">
        <v>2015</v>
      </c>
      <c r="D1706">
        <v>1</v>
      </c>
      <c r="E1706" s="4">
        <v>0</v>
      </c>
      <c r="F1706" s="9">
        <v>456.78699999999998</v>
      </c>
      <c r="G1706" s="6">
        <v>22517</v>
      </c>
      <c r="H1706" s="9">
        <f t="shared" si="26"/>
        <v>456.78699999999998</v>
      </c>
      <c r="I1706" s="6">
        <v>9767</v>
      </c>
      <c r="J1706" s="6">
        <f>VLOOKUP(Table1[[#This Row],[Province]],[1]Sheet1!$A$3:$F$37,6,FALSE)</f>
        <v>39293000</v>
      </c>
      <c r="K1706">
        <v>0</v>
      </c>
      <c r="L1706" s="4">
        <v>7.5360639999999997</v>
      </c>
      <c r="M1706" s="4">
        <v>112.23840199999999</v>
      </c>
      <c r="N1706" s="6"/>
      <c r="P1706"/>
      <c r="Q1706" s="12"/>
      <c r="R1706" s="12"/>
    </row>
    <row r="1707" spans="1:18" x14ac:dyDescent="0.2">
      <c r="A1707">
        <v>15</v>
      </c>
      <c r="B1707" t="s">
        <v>11</v>
      </c>
      <c r="C1707">
        <v>2015</v>
      </c>
      <c r="D1707">
        <v>2</v>
      </c>
      <c r="E1707" s="4">
        <v>0</v>
      </c>
      <c r="F1707" s="9">
        <v>480.83600000000001</v>
      </c>
      <c r="G1707" s="6">
        <v>56793</v>
      </c>
      <c r="H1707" s="9">
        <f t="shared" si="26"/>
        <v>480.83600000000001</v>
      </c>
      <c r="I1707" s="6">
        <v>9679</v>
      </c>
      <c r="J1707" s="6">
        <f>VLOOKUP(Table1[[#This Row],[Province]],[1]Sheet1!$A$3:$F$37,6,FALSE)</f>
        <v>39293000</v>
      </c>
      <c r="K1707">
        <v>0</v>
      </c>
      <c r="L1707" s="4">
        <v>7.5360639999999997</v>
      </c>
      <c r="M1707" s="4">
        <v>112.23840199999999</v>
      </c>
      <c r="N1707" s="6"/>
      <c r="P1707"/>
      <c r="Q1707" s="12"/>
      <c r="R1707" s="12"/>
    </row>
    <row r="1708" spans="1:18" x14ac:dyDescent="0.2">
      <c r="A1708">
        <v>15</v>
      </c>
      <c r="B1708" t="s">
        <v>11</v>
      </c>
      <c r="C1708">
        <v>2015</v>
      </c>
      <c r="D1708">
        <v>3</v>
      </c>
      <c r="E1708" s="4">
        <v>0</v>
      </c>
      <c r="F1708" s="9">
        <v>151.17599999999999</v>
      </c>
      <c r="G1708" s="6">
        <v>25770</v>
      </c>
      <c r="H1708" s="9">
        <f t="shared" si="26"/>
        <v>151.17599999999999</v>
      </c>
      <c r="I1708" s="6">
        <v>9894</v>
      </c>
      <c r="J1708" s="6">
        <f>VLOOKUP(Table1[[#This Row],[Province]],[1]Sheet1!$A$3:$F$37,6,FALSE)</f>
        <v>39293000</v>
      </c>
      <c r="K1708">
        <v>0</v>
      </c>
      <c r="L1708" s="4">
        <v>7.5360639999999997</v>
      </c>
      <c r="M1708" s="4">
        <v>112.23840199999999</v>
      </c>
      <c r="N1708" s="6"/>
      <c r="P1708"/>
      <c r="Q1708" s="12"/>
      <c r="R1708" s="12"/>
    </row>
    <row r="1709" spans="1:18" x14ac:dyDescent="0.2">
      <c r="A1709">
        <v>15</v>
      </c>
      <c r="B1709" t="s">
        <v>11</v>
      </c>
      <c r="C1709">
        <v>2015</v>
      </c>
      <c r="D1709">
        <v>4</v>
      </c>
      <c r="E1709" s="4">
        <v>1816</v>
      </c>
      <c r="F1709" s="9">
        <v>579.76700000000005</v>
      </c>
      <c r="G1709" s="6">
        <v>42690</v>
      </c>
      <c r="H1709" s="9">
        <f t="shared" si="26"/>
        <v>2395.7669999999998</v>
      </c>
      <c r="I1709" s="6">
        <v>10613</v>
      </c>
      <c r="J1709" s="6">
        <f>VLOOKUP(Table1[[#This Row],[Province]],[1]Sheet1!$A$3:$F$37,6,FALSE)</f>
        <v>39293000</v>
      </c>
      <c r="K1709">
        <v>0</v>
      </c>
      <c r="L1709" s="4">
        <v>7.5360639999999997</v>
      </c>
      <c r="M1709" s="4">
        <v>112.23840199999999</v>
      </c>
      <c r="N1709" s="6"/>
      <c r="P1709"/>
      <c r="Q1709" s="12"/>
      <c r="R1709" s="12"/>
    </row>
    <row r="1710" spans="1:18" x14ac:dyDescent="0.2">
      <c r="A1710">
        <v>15</v>
      </c>
      <c r="B1710" t="s">
        <v>11</v>
      </c>
      <c r="C1710">
        <v>2015</v>
      </c>
      <c r="D1710">
        <v>5</v>
      </c>
      <c r="E1710" s="4">
        <v>6664</v>
      </c>
      <c r="F1710" s="9">
        <v>646.07500000000005</v>
      </c>
      <c r="G1710" s="6">
        <v>40906</v>
      </c>
      <c r="H1710" s="9">
        <f t="shared" si="26"/>
        <v>7310.0749999999998</v>
      </c>
      <c r="I1710" s="6">
        <v>11672</v>
      </c>
      <c r="J1710" s="6">
        <f>VLOOKUP(Table1[[#This Row],[Province]],[1]Sheet1!$A$3:$F$37,6,FALSE)</f>
        <v>39293000</v>
      </c>
      <c r="K1710">
        <v>0</v>
      </c>
      <c r="L1710" s="4">
        <v>7.5360639999999997</v>
      </c>
      <c r="M1710" s="4">
        <v>112.23840199999999</v>
      </c>
      <c r="N1710" s="6"/>
      <c r="P1710"/>
      <c r="Q1710" s="12"/>
      <c r="R1710" s="12"/>
    </row>
    <row r="1711" spans="1:18" x14ac:dyDescent="0.2">
      <c r="A1711">
        <v>15</v>
      </c>
      <c r="B1711" t="s">
        <v>11</v>
      </c>
      <c r="C1711">
        <v>2015</v>
      </c>
      <c r="D1711">
        <v>6</v>
      </c>
      <c r="E1711" s="4">
        <v>98855</v>
      </c>
      <c r="F1711" s="9">
        <v>883.46900000000005</v>
      </c>
      <c r="G1711" s="6">
        <v>46485</v>
      </c>
      <c r="H1711" s="9">
        <f t="shared" si="26"/>
        <v>99738.468999999997</v>
      </c>
      <c r="I1711" s="6">
        <v>12235</v>
      </c>
      <c r="J1711" s="6">
        <f>VLOOKUP(Table1[[#This Row],[Province]],[1]Sheet1!$A$3:$F$37,6,FALSE)</f>
        <v>39293000</v>
      </c>
      <c r="K1711">
        <v>1</v>
      </c>
      <c r="L1711" s="4">
        <v>7.5360639999999997</v>
      </c>
      <c r="M1711" s="4">
        <v>112.23840199999999</v>
      </c>
      <c r="N1711" s="6"/>
      <c r="P1711"/>
      <c r="Q1711" s="12"/>
      <c r="R1711" s="12"/>
    </row>
    <row r="1712" spans="1:18" x14ac:dyDescent="0.2">
      <c r="A1712">
        <v>15</v>
      </c>
      <c r="B1712" t="s">
        <v>11</v>
      </c>
      <c r="C1712">
        <v>2015</v>
      </c>
      <c r="D1712">
        <v>7</v>
      </c>
      <c r="E1712" s="4">
        <v>176166</v>
      </c>
      <c r="F1712" s="9">
        <v>309.346</v>
      </c>
      <c r="G1712" s="6">
        <v>31733</v>
      </c>
      <c r="H1712" s="9">
        <f t="shared" si="26"/>
        <v>176475.34599999999</v>
      </c>
      <c r="I1712" s="6">
        <v>12009</v>
      </c>
      <c r="J1712" s="6">
        <f>VLOOKUP(Table1[[#This Row],[Province]],[1]Sheet1!$A$3:$F$37,6,FALSE)</f>
        <v>39293000</v>
      </c>
      <c r="K1712">
        <v>0</v>
      </c>
      <c r="L1712" s="4">
        <v>7.5360639999999997</v>
      </c>
      <c r="M1712" s="4">
        <v>112.23840199999999</v>
      </c>
      <c r="N1712" s="6"/>
      <c r="P1712"/>
      <c r="Q1712" s="12"/>
      <c r="R1712" s="12"/>
    </row>
    <row r="1713" spans="1:18" x14ac:dyDescent="0.2">
      <c r="A1713">
        <v>15</v>
      </c>
      <c r="B1713" t="s">
        <v>11</v>
      </c>
      <c r="C1713">
        <v>2015</v>
      </c>
      <c r="D1713">
        <v>8</v>
      </c>
      <c r="E1713" s="4">
        <v>221940</v>
      </c>
      <c r="F1713" s="9">
        <v>630.37900000000002</v>
      </c>
      <c r="G1713" s="6">
        <v>31406</v>
      </c>
      <c r="H1713" s="9">
        <f t="shared" si="26"/>
        <v>222570.37899999999</v>
      </c>
      <c r="I1713" s="6">
        <v>11712</v>
      </c>
      <c r="J1713" s="6">
        <f>VLOOKUP(Table1[[#This Row],[Province]],[1]Sheet1!$A$3:$F$37,6,FALSE)</f>
        <v>39293000</v>
      </c>
      <c r="K1713">
        <v>0</v>
      </c>
      <c r="L1713" s="4">
        <v>7.5360639999999997</v>
      </c>
      <c r="M1713" s="4">
        <v>112.23840199999999</v>
      </c>
      <c r="N1713" s="6"/>
      <c r="P1713"/>
      <c r="Q1713" s="12"/>
      <c r="R1713" s="12"/>
    </row>
    <row r="1714" spans="1:18" x14ac:dyDescent="0.2">
      <c r="A1714">
        <v>15</v>
      </c>
      <c r="B1714" t="s">
        <v>11</v>
      </c>
      <c r="C1714">
        <v>2015</v>
      </c>
      <c r="D1714">
        <v>9</v>
      </c>
      <c r="E1714" s="4">
        <v>321676</v>
      </c>
      <c r="F1714" s="9">
        <v>498.68</v>
      </c>
      <c r="G1714" s="6">
        <v>42147</v>
      </c>
      <c r="H1714" s="9">
        <f t="shared" si="26"/>
        <v>322174.68</v>
      </c>
      <c r="I1714" s="6">
        <v>11251</v>
      </c>
      <c r="J1714" s="6">
        <f>VLOOKUP(Table1[[#This Row],[Province]],[1]Sheet1!$A$3:$F$37,6,FALSE)</f>
        <v>39293000</v>
      </c>
      <c r="K1714">
        <v>0</v>
      </c>
      <c r="L1714" s="4">
        <v>7.5360639999999997</v>
      </c>
      <c r="M1714" s="4">
        <v>112.23840199999999</v>
      </c>
      <c r="N1714" s="6"/>
      <c r="P1714"/>
      <c r="Q1714" s="12"/>
      <c r="R1714" s="12"/>
    </row>
    <row r="1715" spans="1:18" x14ac:dyDescent="0.2">
      <c r="A1715">
        <v>15</v>
      </c>
      <c r="B1715" t="s">
        <v>11</v>
      </c>
      <c r="C1715">
        <v>2015</v>
      </c>
      <c r="D1715">
        <v>10</v>
      </c>
      <c r="E1715" s="4">
        <v>271642</v>
      </c>
      <c r="F1715" s="9">
        <v>317.59300000000002</v>
      </c>
      <c r="G1715" s="6">
        <v>28093</v>
      </c>
      <c r="H1715" s="9">
        <f t="shared" si="26"/>
        <v>271959.59299999999</v>
      </c>
      <c r="I1715" s="6">
        <v>11581</v>
      </c>
      <c r="J1715" s="6">
        <f>VLOOKUP(Table1[[#This Row],[Province]],[1]Sheet1!$A$3:$F$37,6,FALSE)</f>
        <v>39293000</v>
      </c>
      <c r="K1715">
        <v>0</v>
      </c>
      <c r="L1715" s="4">
        <v>7.5360639999999997</v>
      </c>
      <c r="M1715" s="4">
        <v>112.23840199999999</v>
      </c>
      <c r="N1715" s="6"/>
      <c r="P1715"/>
      <c r="Q1715" s="12"/>
      <c r="R1715" s="12"/>
    </row>
    <row r="1716" spans="1:18" x14ac:dyDescent="0.2">
      <c r="A1716">
        <v>15</v>
      </c>
      <c r="B1716" t="s">
        <v>11</v>
      </c>
      <c r="C1716">
        <v>2015</v>
      </c>
      <c r="D1716">
        <v>11</v>
      </c>
      <c r="E1716" s="4">
        <v>126338</v>
      </c>
      <c r="F1716" s="9">
        <v>786.84</v>
      </c>
      <c r="G1716" s="6">
        <v>37044</v>
      </c>
      <c r="H1716" s="9">
        <f t="shared" si="26"/>
        <v>127124.84</v>
      </c>
      <c r="I1716" s="6">
        <v>11614</v>
      </c>
      <c r="J1716" s="6">
        <f>VLOOKUP(Table1[[#This Row],[Province]],[1]Sheet1!$A$3:$F$37,6,FALSE)</f>
        <v>39293000</v>
      </c>
      <c r="K1716">
        <v>0</v>
      </c>
      <c r="L1716" s="4">
        <v>7.5360639999999997</v>
      </c>
      <c r="M1716" s="4">
        <v>112.23840199999999</v>
      </c>
      <c r="N1716" s="6"/>
      <c r="P1716"/>
      <c r="Q1716" s="12"/>
      <c r="R1716" s="12"/>
    </row>
    <row r="1717" spans="1:18" x14ac:dyDescent="0.2">
      <c r="A1717">
        <v>15</v>
      </c>
      <c r="B1717" t="s">
        <v>11</v>
      </c>
      <c r="C1717">
        <v>2015</v>
      </c>
      <c r="D1717">
        <v>12</v>
      </c>
      <c r="E1717" s="4">
        <v>6629</v>
      </c>
      <c r="F1717" s="9">
        <v>811.75199999999995</v>
      </c>
      <c r="G1717" s="6">
        <v>39707</v>
      </c>
      <c r="H1717" s="9">
        <f t="shared" si="26"/>
        <v>7440.7520000000004</v>
      </c>
      <c r="I1717" s="6">
        <v>11873</v>
      </c>
      <c r="J1717" s="6">
        <f>VLOOKUP(Table1[[#This Row],[Province]],[1]Sheet1!$A$3:$F$37,6,FALSE)</f>
        <v>39293000</v>
      </c>
      <c r="K1717">
        <v>1</v>
      </c>
      <c r="L1717" s="4">
        <v>7.5360639999999997</v>
      </c>
      <c r="M1717" s="4">
        <v>112.23840199999999</v>
      </c>
      <c r="N1717" s="6"/>
      <c r="P1717"/>
      <c r="Q1717" s="12"/>
      <c r="R1717" s="12"/>
    </row>
    <row r="1718" spans="1:18" x14ac:dyDescent="0.2">
      <c r="A1718">
        <v>15</v>
      </c>
      <c r="B1718" t="s">
        <v>11</v>
      </c>
      <c r="C1718">
        <v>2016</v>
      </c>
      <c r="D1718">
        <v>1</v>
      </c>
      <c r="E1718" s="4">
        <v>0</v>
      </c>
      <c r="F1718" s="9">
        <v>793.97799999999995</v>
      </c>
      <c r="G1718" s="6">
        <v>48251</v>
      </c>
      <c r="H1718" s="9">
        <f t="shared" si="26"/>
        <v>793.97799999999995</v>
      </c>
      <c r="I1718" s="6">
        <v>12436</v>
      </c>
      <c r="J1718" s="6">
        <f>VLOOKUP(Table1[[#This Row],[Province]],[1]Sheet1!$A$3:$F$37,6,FALSE)</f>
        <v>39293000</v>
      </c>
      <c r="K1718">
        <v>0</v>
      </c>
      <c r="L1718" s="4">
        <v>7.5360639999999997</v>
      </c>
      <c r="M1718" s="4">
        <v>112.23840199999999</v>
      </c>
      <c r="N1718" s="13">
        <v>5.57</v>
      </c>
      <c r="P1718"/>
      <c r="Q1718" s="12"/>
      <c r="R1718" s="12"/>
    </row>
    <row r="1719" spans="1:18" x14ac:dyDescent="0.2">
      <c r="A1719">
        <v>15</v>
      </c>
      <c r="B1719" t="s">
        <v>11</v>
      </c>
      <c r="C1719">
        <v>2016</v>
      </c>
      <c r="D1719">
        <v>2</v>
      </c>
      <c r="E1719" s="4">
        <v>0</v>
      </c>
      <c r="F1719" s="9">
        <v>399.90199999999999</v>
      </c>
      <c r="G1719" s="6">
        <v>29166</v>
      </c>
      <c r="H1719" s="9">
        <f t="shared" si="26"/>
        <v>399.90199999999999</v>
      </c>
      <c r="I1719" s="6">
        <v>12208</v>
      </c>
      <c r="J1719" s="6">
        <f>VLOOKUP(Table1[[#This Row],[Province]],[1]Sheet1!$A$3:$F$37,6,FALSE)</f>
        <v>39293000</v>
      </c>
      <c r="K1719">
        <v>0</v>
      </c>
      <c r="L1719" s="4">
        <v>7.5360639999999997</v>
      </c>
      <c r="M1719" s="4">
        <v>112.23840199999999</v>
      </c>
      <c r="N1719" s="13">
        <v>5.57</v>
      </c>
      <c r="P1719"/>
      <c r="Q1719" s="12"/>
      <c r="R1719" s="12"/>
    </row>
    <row r="1720" spans="1:18" x14ac:dyDescent="0.2">
      <c r="A1720">
        <v>15</v>
      </c>
      <c r="B1720" t="s">
        <v>11</v>
      </c>
      <c r="C1720">
        <v>2016</v>
      </c>
      <c r="D1720">
        <v>3</v>
      </c>
      <c r="E1720" s="4">
        <v>1</v>
      </c>
      <c r="F1720" s="9">
        <v>461.83499999999998</v>
      </c>
      <c r="G1720" s="6">
        <v>32421</v>
      </c>
      <c r="H1720" s="9">
        <f t="shared" si="26"/>
        <v>462.83499999999998</v>
      </c>
      <c r="I1720" s="6">
        <v>12221</v>
      </c>
      <c r="J1720" s="6">
        <f>VLOOKUP(Table1[[#This Row],[Province]],[1]Sheet1!$A$3:$F$37,6,FALSE)</f>
        <v>39293000</v>
      </c>
      <c r="K1720">
        <v>0</v>
      </c>
      <c r="L1720" s="4">
        <v>7.5360639999999997</v>
      </c>
      <c r="M1720" s="4">
        <v>112.23840199999999</v>
      </c>
      <c r="N1720" s="13">
        <v>5.57</v>
      </c>
      <c r="P1720"/>
      <c r="Q1720" s="12"/>
      <c r="R1720" s="12"/>
    </row>
    <row r="1721" spans="1:18" x14ac:dyDescent="0.2">
      <c r="A1721">
        <v>15</v>
      </c>
      <c r="B1721" t="s">
        <v>11</v>
      </c>
      <c r="C1721">
        <v>2016</v>
      </c>
      <c r="D1721">
        <v>4</v>
      </c>
      <c r="E1721" s="4">
        <v>144</v>
      </c>
      <c r="F1721" s="9">
        <v>669.23599999999999</v>
      </c>
      <c r="G1721" s="6">
        <v>35059</v>
      </c>
      <c r="H1721" s="9">
        <f t="shared" si="26"/>
        <v>813.23599999999999</v>
      </c>
      <c r="I1721" s="6">
        <v>12759</v>
      </c>
      <c r="J1721" s="6">
        <f>VLOOKUP(Table1[[#This Row],[Province]],[1]Sheet1!$A$3:$F$37,6,FALSE)</f>
        <v>39293000</v>
      </c>
      <c r="K1721">
        <v>0</v>
      </c>
      <c r="L1721" s="4">
        <v>7.5360639999999997</v>
      </c>
      <c r="M1721" s="4">
        <v>112.23840199999999</v>
      </c>
      <c r="N1721" s="13">
        <v>5.57</v>
      </c>
      <c r="P1721"/>
      <c r="Q1721" s="12"/>
      <c r="R1721" s="12"/>
    </row>
    <row r="1722" spans="1:18" x14ac:dyDescent="0.2">
      <c r="A1722">
        <v>15</v>
      </c>
      <c r="B1722" t="s">
        <v>11</v>
      </c>
      <c r="C1722">
        <v>2016</v>
      </c>
      <c r="D1722">
        <v>5</v>
      </c>
      <c r="E1722" s="4">
        <v>2797</v>
      </c>
      <c r="F1722" s="9">
        <v>580.49800000000005</v>
      </c>
      <c r="G1722" s="6">
        <v>42513</v>
      </c>
      <c r="H1722" s="9">
        <f t="shared" si="26"/>
        <v>3377.498</v>
      </c>
      <c r="I1722" s="6">
        <v>14887</v>
      </c>
      <c r="J1722" s="6">
        <f>VLOOKUP(Table1[[#This Row],[Province]],[1]Sheet1!$A$3:$F$37,6,FALSE)</f>
        <v>39293000</v>
      </c>
      <c r="K1722">
        <v>0</v>
      </c>
      <c r="L1722" s="4">
        <v>7.5360639999999997</v>
      </c>
      <c r="M1722" s="4">
        <v>112.23840199999999</v>
      </c>
      <c r="N1722" s="13">
        <v>5.57</v>
      </c>
      <c r="P1722"/>
      <c r="Q1722" s="12"/>
      <c r="R1722" s="12"/>
    </row>
    <row r="1723" spans="1:18" x14ac:dyDescent="0.2">
      <c r="A1723">
        <v>15</v>
      </c>
      <c r="B1723" t="s">
        <v>11</v>
      </c>
      <c r="C1723">
        <v>2016</v>
      </c>
      <c r="D1723">
        <v>6</v>
      </c>
      <c r="E1723" s="4">
        <v>77475</v>
      </c>
      <c r="F1723" s="9">
        <v>691.70699999999999</v>
      </c>
      <c r="G1723" s="6">
        <v>40143</v>
      </c>
      <c r="H1723" s="9">
        <f t="shared" si="26"/>
        <v>78166.706999999995</v>
      </c>
      <c r="I1723" s="6">
        <v>14977</v>
      </c>
      <c r="J1723" s="6">
        <f>VLOOKUP(Table1[[#This Row],[Province]],[1]Sheet1!$A$3:$F$37,6,FALSE)</f>
        <v>39293000</v>
      </c>
      <c r="K1723">
        <v>1</v>
      </c>
      <c r="L1723" s="4">
        <v>7.5360639999999997</v>
      </c>
      <c r="M1723" s="4">
        <v>112.23840199999999</v>
      </c>
      <c r="N1723" s="13">
        <v>5.57</v>
      </c>
      <c r="P1723"/>
      <c r="Q1723" s="12"/>
      <c r="R1723" s="12"/>
    </row>
    <row r="1724" spans="1:18" x14ac:dyDescent="0.2">
      <c r="A1724">
        <v>15</v>
      </c>
      <c r="B1724" t="s">
        <v>11</v>
      </c>
      <c r="C1724">
        <v>2016</v>
      </c>
      <c r="D1724">
        <v>7</v>
      </c>
      <c r="E1724" s="4">
        <v>169727</v>
      </c>
      <c r="F1724" s="9">
        <v>537.63499999999999</v>
      </c>
      <c r="G1724" s="6">
        <v>38303</v>
      </c>
      <c r="H1724" s="9">
        <f t="shared" si="26"/>
        <v>170264.63500000001</v>
      </c>
      <c r="I1724" s="6">
        <v>15083</v>
      </c>
      <c r="J1724" s="6">
        <f>VLOOKUP(Table1[[#This Row],[Province]],[1]Sheet1!$A$3:$F$37,6,FALSE)</f>
        <v>39293000</v>
      </c>
      <c r="K1724">
        <v>0</v>
      </c>
      <c r="L1724" s="4">
        <v>7.5360639999999997</v>
      </c>
      <c r="M1724" s="4">
        <v>112.23840199999999</v>
      </c>
      <c r="N1724" s="13">
        <v>5.57</v>
      </c>
      <c r="P1724"/>
      <c r="Q1724" s="12"/>
      <c r="R1724" s="12"/>
    </row>
    <row r="1725" spans="1:18" x14ac:dyDescent="0.2">
      <c r="A1725">
        <v>15</v>
      </c>
      <c r="B1725" t="s">
        <v>11</v>
      </c>
      <c r="C1725">
        <v>2016</v>
      </c>
      <c r="D1725">
        <v>8</v>
      </c>
      <c r="E1725" s="4">
        <v>228283</v>
      </c>
      <c r="F1725" s="9">
        <v>883.23900000000003</v>
      </c>
      <c r="G1725" s="6">
        <v>37848</v>
      </c>
      <c r="H1725" s="9">
        <f t="shared" si="26"/>
        <v>229166.239</v>
      </c>
      <c r="I1725" s="6">
        <v>13917</v>
      </c>
      <c r="J1725" s="6">
        <f>VLOOKUP(Table1[[#This Row],[Province]],[1]Sheet1!$A$3:$F$37,6,FALSE)</f>
        <v>39293000</v>
      </c>
      <c r="K1725">
        <v>0</v>
      </c>
      <c r="L1725" s="4">
        <v>7.5360639999999997</v>
      </c>
      <c r="M1725" s="4">
        <v>112.23840199999999</v>
      </c>
      <c r="N1725" s="13">
        <v>5.57</v>
      </c>
      <c r="P1725"/>
      <c r="Q1725" s="12"/>
      <c r="R1725" s="12"/>
    </row>
    <row r="1726" spans="1:18" x14ac:dyDescent="0.2">
      <c r="A1726">
        <v>15</v>
      </c>
      <c r="B1726" t="s">
        <v>11</v>
      </c>
      <c r="C1726">
        <v>2016</v>
      </c>
      <c r="D1726">
        <v>9</v>
      </c>
      <c r="E1726" s="4">
        <v>398240</v>
      </c>
      <c r="F1726" s="9">
        <v>836.32500000000005</v>
      </c>
      <c r="G1726" s="6">
        <v>14629</v>
      </c>
      <c r="H1726" s="9">
        <f t="shared" si="26"/>
        <v>399076.32500000001</v>
      </c>
      <c r="I1726" s="6">
        <v>13006</v>
      </c>
      <c r="J1726" s="6">
        <f>VLOOKUP(Table1[[#This Row],[Province]],[1]Sheet1!$A$3:$F$37,6,FALSE)</f>
        <v>39293000</v>
      </c>
      <c r="K1726">
        <v>0</v>
      </c>
      <c r="L1726" s="4">
        <v>7.5360639999999997</v>
      </c>
      <c r="M1726" s="4">
        <v>112.23840199999999</v>
      </c>
      <c r="N1726" s="13">
        <v>5.57</v>
      </c>
      <c r="P1726"/>
      <c r="Q1726" s="12"/>
      <c r="R1726" s="12"/>
    </row>
    <row r="1727" spans="1:18" x14ac:dyDescent="0.2">
      <c r="A1727">
        <v>15</v>
      </c>
      <c r="B1727" t="s">
        <v>11</v>
      </c>
      <c r="C1727">
        <v>2016</v>
      </c>
      <c r="D1727">
        <v>10</v>
      </c>
      <c r="E1727" s="4">
        <v>314401</v>
      </c>
      <c r="F1727" s="9">
        <v>746.06100000000004</v>
      </c>
      <c r="G1727" s="6">
        <v>63903</v>
      </c>
      <c r="H1727" s="9">
        <f t="shared" si="26"/>
        <v>315147.06099999999</v>
      </c>
      <c r="I1727" s="6">
        <v>12933</v>
      </c>
      <c r="J1727" s="6">
        <f>VLOOKUP(Table1[[#This Row],[Province]],[1]Sheet1!$A$3:$F$37,6,FALSE)</f>
        <v>39293000</v>
      </c>
      <c r="K1727">
        <v>0</v>
      </c>
      <c r="L1727" s="4">
        <v>7.5360639999999997</v>
      </c>
      <c r="M1727" s="4">
        <v>112.23840199999999</v>
      </c>
      <c r="N1727" s="13">
        <v>5.57</v>
      </c>
      <c r="P1727"/>
      <c r="Q1727" s="12"/>
      <c r="R1727" s="12"/>
    </row>
    <row r="1728" spans="1:18" x14ac:dyDescent="0.2">
      <c r="A1728">
        <v>15</v>
      </c>
      <c r="B1728" t="s">
        <v>11</v>
      </c>
      <c r="C1728">
        <v>2016</v>
      </c>
      <c r="D1728">
        <v>11</v>
      </c>
      <c r="E1728" s="4">
        <v>36612</v>
      </c>
      <c r="F1728" s="9">
        <v>800.47500000000002</v>
      </c>
      <c r="G1728" s="6">
        <v>18093</v>
      </c>
      <c r="H1728" s="9">
        <f t="shared" si="26"/>
        <v>37412.474999999999</v>
      </c>
      <c r="I1728" s="6">
        <v>12807</v>
      </c>
      <c r="J1728" s="6">
        <f>VLOOKUP(Table1[[#This Row],[Province]],[1]Sheet1!$A$3:$F$37,6,FALSE)</f>
        <v>39293000</v>
      </c>
      <c r="K1728">
        <v>0</v>
      </c>
      <c r="L1728" s="4">
        <v>7.5360639999999997</v>
      </c>
      <c r="M1728" s="4">
        <v>112.23840199999999</v>
      </c>
      <c r="N1728" s="13">
        <v>5.57</v>
      </c>
      <c r="P1728"/>
      <c r="Q1728" s="12"/>
      <c r="R1728" s="12"/>
    </row>
    <row r="1729" spans="1:18" x14ac:dyDescent="0.2">
      <c r="A1729">
        <v>15</v>
      </c>
      <c r="B1729" t="s">
        <v>11</v>
      </c>
      <c r="C1729">
        <v>2016</v>
      </c>
      <c r="D1729">
        <v>12</v>
      </c>
      <c r="E1729" s="4">
        <v>21917</v>
      </c>
      <c r="F1729" s="9">
        <v>1268.1969999999999</v>
      </c>
      <c r="G1729" s="6">
        <v>18108</v>
      </c>
      <c r="H1729" s="9">
        <f t="shared" si="26"/>
        <v>23185.197</v>
      </c>
      <c r="I1729" s="6">
        <v>12950</v>
      </c>
      <c r="J1729" s="6">
        <f>VLOOKUP(Table1[[#This Row],[Province]],[1]Sheet1!$A$3:$F$37,6,FALSE)</f>
        <v>39293000</v>
      </c>
      <c r="K1729">
        <v>1</v>
      </c>
      <c r="L1729" s="4">
        <v>7.5360639999999997</v>
      </c>
      <c r="M1729" s="4">
        <v>112.23840199999999</v>
      </c>
      <c r="N1729" s="13">
        <v>5.57</v>
      </c>
      <c r="P1729"/>
      <c r="Q1729" s="12"/>
      <c r="R1729" s="12"/>
    </row>
    <row r="1730" spans="1:18" x14ac:dyDescent="0.2">
      <c r="A1730">
        <v>15</v>
      </c>
      <c r="B1730" t="s">
        <v>11</v>
      </c>
      <c r="C1730">
        <v>2017</v>
      </c>
      <c r="D1730">
        <v>1</v>
      </c>
      <c r="E1730" s="4">
        <v>0</v>
      </c>
      <c r="F1730" s="9">
        <v>719.51900000000001</v>
      </c>
      <c r="G1730" s="6">
        <v>35649</v>
      </c>
      <c r="H1730" s="9">
        <f t="shared" ref="H1730:H1793" si="27">F1730+E1730</f>
        <v>719.51900000000001</v>
      </c>
      <c r="I1730" s="6">
        <v>12881</v>
      </c>
      <c r="J1730" s="6">
        <f>VLOOKUP(Table1[[#This Row],[Province]],[1]Sheet1!$A$3:$F$37,6,FALSE)</f>
        <v>39293000</v>
      </c>
      <c r="K1730">
        <v>0</v>
      </c>
      <c r="L1730" s="4">
        <v>7.5360639999999997</v>
      </c>
      <c r="M1730" s="4">
        <v>112.23840199999999</v>
      </c>
      <c r="N1730" s="13">
        <v>5.46</v>
      </c>
      <c r="P1730"/>
      <c r="Q1730" s="12"/>
      <c r="R1730" s="12"/>
    </row>
    <row r="1731" spans="1:18" x14ac:dyDescent="0.2">
      <c r="A1731">
        <v>15</v>
      </c>
      <c r="B1731" t="s">
        <v>11</v>
      </c>
      <c r="C1731">
        <v>2017</v>
      </c>
      <c r="D1731">
        <v>2</v>
      </c>
      <c r="E1731" s="4">
        <v>21</v>
      </c>
      <c r="F1731" s="9">
        <v>585.77200000000005</v>
      </c>
      <c r="G1731" s="6">
        <v>20480</v>
      </c>
      <c r="H1731" s="9">
        <f t="shared" si="27"/>
        <v>606.77200000000005</v>
      </c>
      <c r="I1731" s="6">
        <v>12807</v>
      </c>
      <c r="J1731" s="6">
        <f>VLOOKUP(Table1[[#This Row],[Province]],[1]Sheet1!$A$3:$F$37,6,FALSE)</f>
        <v>39293000</v>
      </c>
      <c r="K1731">
        <v>0</v>
      </c>
      <c r="L1731" s="4">
        <v>7.5360639999999997</v>
      </c>
      <c r="M1731" s="4">
        <v>112.23840199999999</v>
      </c>
      <c r="N1731" s="13">
        <v>5.46</v>
      </c>
      <c r="P1731"/>
      <c r="Q1731" s="12"/>
      <c r="R1731" s="12"/>
    </row>
    <row r="1732" spans="1:18" x14ac:dyDescent="0.2">
      <c r="A1732">
        <v>15</v>
      </c>
      <c r="B1732" t="s">
        <v>11</v>
      </c>
      <c r="C1732">
        <v>2017</v>
      </c>
      <c r="D1732">
        <v>3</v>
      </c>
      <c r="E1732" s="4">
        <v>40</v>
      </c>
      <c r="F1732" s="9">
        <v>528.10299999999995</v>
      </c>
      <c r="G1732" s="6">
        <v>16002</v>
      </c>
      <c r="H1732" s="9">
        <f t="shared" si="27"/>
        <v>568.10299999999995</v>
      </c>
      <c r="I1732" s="6">
        <v>12667</v>
      </c>
      <c r="J1732" s="6">
        <f>VLOOKUP(Table1[[#This Row],[Province]],[1]Sheet1!$A$3:$F$37,6,FALSE)</f>
        <v>39293000</v>
      </c>
      <c r="K1732">
        <v>0</v>
      </c>
      <c r="L1732" s="4">
        <v>7.5360639999999997</v>
      </c>
      <c r="M1732" s="4">
        <v>112.23840199999999</v>
      </c>
      <c r="N1732" s="13">
        <v>5.46</v>
      </c>
      <c r="P1732"/>
      <c r="Q1732" s="12"/>
      <c r="R1732" s="12"/>
    </row>
    <row r="1733" spans="1:18" x14ac:dyDescent="0.2">
      <c r="A1733">
        <v>15</v>
      </c>
      <c r="B1733" t="s">
        <v>11</v>
      </c>
      <c r="C1733">
        <v>2017</v>
      </c>
      <c r="D1733">
        <v>4</v>
      </c>
      <c r="E1733" s="4">
        <v>45</v>
      </c>
      <c r="F1733" s="9">
        <v>474.51900000000001</v>
      </c>
      <c r="G1733" s="6">
        <v>11432</v>
      </c>
      <c r="H1733" s="9">
        <f t="shared" si="27"/>
        <v>519.51900000000001</v>
      </c>
      <c r="I1733" s="6">
        <v>12569</v>
      </c>
      <c r="J1733" s="6">
        <f>VLOOKUP(Table1[[#This Row],[Province]],[1]Sheet1!$A$3:$F$37,6,FALSE)</f>
        <v>39293000</v>
      </c>
      <c r="K1733">
        <v>0</v>
      </c>
      <c r="L1733" s="4">
        <v>7.5360639999999997</v>
      </c>
      <c r="M1733" s="4">
        <v>112.23840199999999</v>
      </c>
      <c r="N1733" s="13">
        <v>5.46</v>
      </c>
      <c r="P1733"/>
      <c r="Q1733" s="12"/>
      <c r="R1733" s="12"/>
    </row>
    <row r="1734" spans="1:18" x14ac:dyDescent="0.2">
      <c r="A1734">
        <v>15</v>
      </c>
      <c r="B1734" t="s">
        <v>11</v>
      </c>
      <c r="C1734">
        <v>2017</v>
      </c>
      <c r="D1734">
        <v>5</v>
      </c>
      <c r="E1734" s="4">
        <v>2735</v>
      </c>
      <c r="F1734" s="9">
        <v>603.59900000000005</v>
      </c>
      <c r="G1734" s="6">
        <v>11010</v>
      </c>
      <c r="H1734" s="9">
        <f t="shared" si="27"/>
        <v>3338.5990000000002</v>
      </c>
      <c r="I1734" s="6">
        <v>12800</v>
      </c>
      <c r="J1734" s="6">
        <f>VLOOKUP(Table1[[#This Row],[Province]],[1]Sheet1!$A$3:$F$37,6,FALSE)</f>
        <v>39293000</v>
      </c>
      <c r="K1734">
        <v>1</v>
      </c>
      <c r="L1734" s="4">
        <v>7.5360639999999997</v>
      </c>
      <c r="M1734" s="4">
        <v>112.23840199999999</v>
      </c>
      <c r="N1734" s="13">
        <v>5.46</v>
      </c>
      <c r="P1734"/>
      <c r="Q1734" s="12"/>
      <c r="R1734" s="12"/>
    </row>
    <row r="1735" spans="1:18" x14ac:dyDescent="0.2">
      <c r="A1735">
        <v>15</v>
      </c>
      <c r="B1735" t="s">
        <v>11</v>
      </c>
      <c r="C1735">
        <v>2017</v>
      </c>
      <c r="D1735">
        <v>6</v>
      </c>
      <c r="E1735" s="4">
        <v>57288</v>
      </c>
      <c r="F1735" s="9">
        <v>257.36500000000001</v>
      </c>
      <c r="G1735" s="6">
        <v>20369</v>
      </c>
      <c r="H1735" s="9">
        <f t="shared" si="27"/>
        <v>57545.364999999998</v>
      </c>
      <c r="I1735" s="6">
        <v>12789</v>
      </c>
      <c r="J1735" s="6">
        <f>VLOOKUP(Table1[[#This Row],[Province]],[1]Sheet1!$A$3:$F$37,6,FALSE)</f>
        <v>39293000</v>
      </c>
      <c r="K1735">
        <v>0</v>
      </c>
      <c r="L1735" s="4">
        <v>7.5360639999999997</v>
      </c>
      <c r="M1735" s="4">
        <v>112.23840199999999</v>
      </c>
      <c r="N1735" s="13">
        <v>5.46</v>
      </c>
      <c r="P1735"/>
      <c r="Q1735" s="12"/>
      <c r="R1735" s="12"/>
    </row>
    <row r="1736" spans="1:18" x14ac:dyDescent="0.2">
      <c r="A1736">
        <v>15</v>
      </c>
      <c r="B1736" t="s">
        <v>11</v>
      </c>
      <c r="C1736">
        <v>2017</v>
      </c>
      <c r="D1736">
        <v>7</v>
      </c>
      <c r="E1736" s="4">
        <v>168396</v>
      </c>
      <c r="F1736" s="9">
        <v>502.15699999999998</v>
      </c>
      <c r="G1736" s="6">
        <v>22676</v>
      </c>
      <c r="H1736" s="9">
        <f t="shared" si="27"/>
        <v>168898.15700000001</v>
      </c>
      <c r="I1736" s="6">
        <v>12500</v>
      </c>
      <c r="J1736" s="6">
        <f>VLOOKUP(Table1[[#This Row],[Province]],[1]Sheet1!$A$3:$F$37,6,FALSE)</f>
        <v>39293000</v>
      </c>
      <c r="K1736">
        <v>0</v>
      </c>
      <c r="L1736" s="4">
        <v>7.5360639999999997</v>
      </c>
      <c r="M1736" s="4">
        <v>112.23840199999999</v>
      </c>
      <c r="N1736" s="13">
        <v>5.46</v>
      </c>
      <c r="P1736"/>
      <c r="Q1736" s="12"/>
      <c r="R1736" s="12"/>
    </row>
    <row r="1737" spans="1:18" x14ac:dyDescent="0.2">
      <c r="A1737">
        <v>15</v>
      </c>
      <c r="B1737" t="s">
        <v>11</v>
      </c>
      <c r="C1737">
        <v>2017</v>
      </c>
      <c r="D1737">
        <v>8</v>
      </c>
      <c r="E1737" s="4">
        <v>266684</v>
      </c>
      <c r="F1737" s="9">
        <v>489.19900000000001</v>
      </c>
      <c r="G1737" s="6">
        <v>43464</v>
      </c>
      <c r="H1737" s="9">
        <f t="shared" si="27"/>
        <v>267173.19900000002</v>
      </c>
      <c r="I1737" s="6">
        <v>12015</v>
      </c>
      <c r="J1737" s="6">
        <f>VLOOKUP(Table1[[#This Row],[Province]],[1]Sheet1!$A$3:$F$37,6,FALSE)</f>
        <v>39293000</v>
      </c>
      <c r="K1737">
        <v>0</v>
      </c>
      <c r="L1737" s="4">
        <v>7.5360639999999997</v>
      </c>
      <c r="M1737" s="4">
        <v>112.23840199999999</v>
      </c>
      <c r="N1737" s="13">
        <v>5.46</v>
      </c>
      <c r="P1737"/>
      <c r="Q1737" s="12"/>
      <c r="R1737" s="12"/>
    </row>
    <row r="1738" spans="1:18" x14ac:dyDescent="0.2">
      <c r="A1738">
        <v>15</v>
      </c>
      <c r="B1738" t="s">
        <v>11</v>
      </c>
      <c r="C1738">
        <v>2017</v>
      </c>
      <c r="D1738">
        <v>9</v>
      </c>
      <c r="E1738" s="4">
        <v>287359</v>
      </c>
      <c r="F1738" s="9">
        <v>200.083</v>
      </c>
      <c r="G1738" s="6">
        <v>42119</v>
      </c>
      <c r="H1738" s="9">
        <f t="shared" si="27"/>
        <v>287559.08299999998</v>
      </c>
      <c r="I1738" s="6">
        <v>11833</v>
      </c>
      <c r="J1738" s="6">
        <f>VLOOKUP(Table1[[#This Row],[Province]],[1]Sheet1!$A$3:$F$37,6,FALSE)</f>
        <v>39293000</v>
      </c>
      <c r="K1738">
        <v>0</v>
      </c>
      <c r="L1738" s="4">
        <v>7.5360639999999997</v>
      </c>
      <c r="M1738" s="4">
        <v>112.23840199999999</v>
      </c>
      <c r="N1738" s="13">
        <v>5.46</v>
      </c>
      <c r="P1738"/>
      <c r="Q1738" s="12"/>
      <c r="R1738" s="12"/>
    </row>
    <row r="1739" spans="1:18" x14ac:dyDescent="0.2">
      <c r="A1739">
        <v>15</v>
      </c>
      <c r="B1739" t="s">
        <v>11</v>
      </c>
      <c r="C1739">
        <v>2017</v>
      </c>
      <c r="D1739">
        <v>10</v>
      </c>
      <c r="E1739" s="4">
        <v>225450</v>
      </c>
      <c r="F1739" s="9">
        <v>582.976</v>
      </c>
      <c r="G1739" s="6">
        <v>54671</v>
      </c>
      <c r="H1739" s="9">
        <f t="shared" si="27"/>
        <v>226032.976</v>
      </c>
      <c r="I1739" s="6">
        <v>11833</v>
      </c>
      <c r="J1739" s="6">
        <f>VLOOKUP(Table1[[#This Row],[Province]],[1]Sheet1!$A$3:$F$37,6,FALSE)</f>
        <v>39293000</v>
      </c>
      <c r="K1739">
        <v>0</v>
      </c>
      <c r="L1739" s="4">
        <v>7.5360639999999997</v>
      </c>
      <c r="M1739" s="4">
        <v>112.23840199999999</v>
      </c>
      <c r="N1739" s="13">
        <v>5.46</v>
      </c>
      <c r="P1739"/>
      <c r="Q1739" s="12"/>
      <c r="R1739" s="12"/>
    </row>
    <row r="1740" spans="1:18" x14ac:dyDescent="0.2">
      <c r="A1740">
        <v>15</v>
      </c>
      <c r="B1740" t="s">
        <v>11</v>
      </c>
      <c r="C1740">
        <v>2017</v>
      </c>
      <c r="D1740">
        <v>11</v>
      </c>
      <c r="E1740" s="4">
        <v>138360</v>
      </c>
      <c r="F1740" s="9">
        <v>554.85500000000002</v>
      </c>
      <c r="G1740" s="6">
        <v>14286</v>
      </c>
      <c r="H1740" s="9">
        <f t="shared" si="27"/>
        <v>138914.85500000001</v>
      </c>
      <c r="I1740" s="6">
        <v>11833</v>
      </c>
      <c r="J1740" s="6">
        <f>VLOOKUP(Table1[[#This Row],[Province]],[1]Sheet1!$A$3:$F$37,6,FALSE)</f>
        <v>39293000</v>
      </c>
      <c r="K1740">
        <v>0</v>
      </c>
      <c r="L1740" s="4">
        <v>7.5360639999999997</v>
      </c>
      <c r="M1740" s="4">
        <v>112.23840199999999</v>
      </c>
      <c r="N1740" s="13">
        <v>5.46</v>
      </c>
      <c r="P1740"/>
      <c r="Q1740" s="12"/>
      <c r="R1740" s="12"/>
    </row>
    <row r="1741" spans="1:18" x14ac:dyDescent="0.2">
      <c r="A1741">
        <v>15</v>
      </c>
      <c r="B1741" t="s">
        <v>11</v>
      </c>
      <c r="C1741">
        <v>2017</v>
      </c>
      <c r="D1741">
        <v>12</v>
      </c>
      <c r="E1741" s="4">
        <v>327</v>
      </c>
      <c r="F1741" s="9">
        <v>353.88299999999998</v>
      </c>
      <c r="G1741" s="6">
        <v>26615</v>
      </c>
      <c r="H1741" s="9">
        <f t="shared" si="27"/>
        <v>680.88300000000004</v>
      </c>
      <c r="I1741" s="6">
        <v>11789</v>
      </c>
      <c r="J1741" s="6">
        <f>VLOOKUP(Table1[[#This Row],[Province]],[1]Sheet1!$A$3:$F$37,6,FALSE)</f>
        <v>39293000</v>
      </c>
      <c r="K1741">
        <v>1</v>
      </c>
      <c r="L1741" s="4">
        <v>7.5360639999999997</v>
      </c>
      <c r="M1741" s="4">
        <v>112.23840199999999</v>
      </c>
      <c r="N1741" s="13">
        <v>5.46</v>
      </c>
      <c r="P1741"/>
      <c r="Q1741" s="12"/>
      <c r="R1741" s="12"/>
    </row>
    <row r="1742" spans="1:18" x14ac:dyDescent="0.2">
      <c r="A1742">
        <v>15</v>
      </c>
      <c r="B1742" t="s">
        <v>11</v>
      </c>
      <c r="C1742">
        <v>2018</v>
      </c>
      <c r="D1742">
        <v>1</v>
      </c>
      <c r="E1742" s="4">
        <v>0</v>
      </c>
      <c r="F1742" s="9">
        <v>432.01</v>
      </c>
      <c r="G1742" s="6">
        <v>36102</v>
      </c>
      <c r="H1742" s="9">
        <f t="shared" si="27"/>
        <v>432.01</v>
      </c>
      <c r="I1742" s="6">
        <v>12000</v>
      </c>
      <c r="J1742" s="6">
        <f>VLOOKUP(Table1[[#This Row],[Province]],[1]Sheet1!$A$3:$F$37,6,FALSE)</f>
        <v>39293000</v>
      </c>
      <c r="K1742">
        <v>0</v>
      </c>
      <c r="L1742" s="4">
        <v>7.5360639999999997</v>
      </c>
      <c r="M1742" s="4">
        <v>112.23840199999999</v>
      </c>
      <c r="N1742" s="13">
        <v>5.47</v>
      </c>
      <c r="P1742"/>
      <c r="Q1742" s="12"/>
      <c r="R1742" s="12"/>
    </row>
    <row r="1743" spans="1:18" x14ac:dyDescent="0.2">
      <c r="A1743">
        <v>15</v>
      </c>
      <c r="B1743" t="s">
        <v>11</v>
      </c>
      <c r="C1743">
        <v>2018</v>
      </c>
      <c r="D1743">
        <v>2</v>
      </c>
      <c r="E1743" s="4">
        <v>0</v>
      </c>
      <c r="F1743" s="9">
        <v>338.90100000000001</v>
      </c>
      <c r="G1743" s="6">
        <v>22541</v>
      </c>
      <c r="H1743" s="9">
        <f t="shared" si="27"/>
        <v>338.90100000000001</v>
      </c>
      <c r="I1743" s="6">
        <v>11974</v>
      </c>
      <c r="J1743" s="6">
        <f>VLOOKUP(Table1[[#This Row],[Province]],[1]Sheet1!$A$3:$F$37,6,FALSE)</f>
        <v>39293000</v>
      </c>
      <c r="K1743">
        <v>0</v>
      </c>
      <c r="L1743" s="4">
        <v>7.5360639999999997</v>
      </c>
      <c r="M1743" s="4">
        <v>112.23840199999999</v>
      </c>
      <c r="N1743" s="13">
        <v>5.47</v>
      </c>
      <c r="P1743"/>
      <c r="Q1743" s="12"/>
      <c r="R1743" s="12"/>
    </row>
    <row r="1744" spans="1:18" x14ac:dyDescent="0.2">
      <c r="A1744">
        <v>15</v>
      </c>
      <c r="B1744" t="s">
        <v>11</v>
      </c>
      <c r="C1744">
        <v>2018</v>
      </c>
      <c r="D1744">
        <v>3</v>
      </c>
      <c r="E1744" s="4">
        <v>0</v>
      </c>
      <c r="F1744" s="9">
        <v>127.068</v>
      </c>
      <c r="G1744" s="6">
        <v>26121</v>
      </c>
      <c r="H1744" s="9">
        <f t="shared" si="27"/>
        <v>127.068</v>
      </c>
      <c r="I1744" s="6">
        <v>11958</v>
      </c>
      <c r="J1744" s="6">
        <f>VLOOKUP(Table1[[#This Row],[Province]],[1]Sheet1!$A$3:$F$37,6,FALSE)</f>
        <v>39293000</v>
      </c>
      <c r="K1744">
        <v>0</v>
      </c>
      <c r="L1744" s="4">
        <v>7.5360639999999997</v>
      </c>
      <c r="M1744" s="4">
        <v>112.23840199999999</v>
      </c>
      <c r="N1744" s="13">
        <v>5.47</v>
      </c>
      <c r="P1744"/>
      <c r="Q1744" s="12"/>
      <c r="R1744" s="12"/>
    </row>
    <row r="1745" spans="1:18" x14ac:dyDescent="0.2">
      <c r="A1745">
        <v>15</v>
      </c>
      <c r="B1745" t="s">
        <v>11</v>
      </c>
      <c r="C1745">
        <v>2018</v>
      </c>
      <c r="D1745">
        <v>4</v>
      </c>
      <c r="E1745" s="4">
        <v>48</v>
      </c>
      <c r="F1745" s="9">
        <v>300.041</v>
      </c>
      <c r="G1745" s="6">
        <v>21268</v>
      </c>
      <c r="H1745" s="9">
        <f t="shared" si="27"/>
        <v>348.041</v>
      </c>
      <c r="I1745" s="6">
        <v>11762</v>
      </c>
      <c r="J1745" s="6">
        <f>VLOOKUP(Table1[[#This Row],[Province]],[1]Sheet1!$A$3:$F$37,6,FALSE)</f>
        <v>39293000</v>
      </c>
      <c r="K1745">
        <v>0</v>
      </c>
      <c r="L1745" s="4">
        <v>7.5360639999999997</v>
      </c>
      <c r="M1745" s="4">
        <v>112.23840199999999</v>
      </c>
      <c r="N1745" s="13">
        <v>5.47</v>
      </c>
      <c r="P1745"/>
      <c r="Q1745" s="12"/>
      <c r="R1745" s="12"/>
    </row>
    <row r="1746" spans="1:18" x14ac:dyDescent="0.2">
      <c r="A1746">
        <v>15</v>
      </c>
      <c r="B1746" t="s">
        <v>11</v>
      </c>
      <c r="C1746">
        <v>2018</v>
      </c>
      <c r="D1746">
        <v>5</v>
      </c>
      <c r="E1746" s="4">
        <v>2696</v>
      </c>
      <c r="F1746" s="9">
        <v>379.51100000000002</v>
      </c>
      <c r="G1746" s="6">
        <v>33073</v>
      </c>
      <c r="H1746" s="9">
        <f t="shared" si="27"/>
        <v>3075.511</v>
      </c>
      <c r="I1746" s="6">
        <v>14809</v>
      </c>
      <c r="J1746" s="6">
        <f>VLOOKUP(Table1[[#This Row],[Province]],[1]Sheet1!$A$3:$F$37,6,FALSE)</f>
        <v>39293000</v>
      </c>
      <c r="K1746">
        <v>1</v>
      </c>
      <c r="L1746" s="4">
        <v>7.5360639999999997</v>
      </c>
      <c r="M1746" s="4">
        <v>112.23840199999999</v>
      </c>
      <c r="N1746" s="13">
        <v>5.47</v>
      </c>
      <c r="P1746"/>
      <c r="Q1746" s="12"/>
      <c r="R1746" s="12"/>
    </row>
    <row r="1747" spans="1:18" x14ac:dyDescent="0.2">
      <c r="A1747">
        <v>15</v>
      </c>
      <c r="B1747" t="s">
        <v>11</v>
      </c>
      <c r="C1747">
        <v>2018</v>
      </c>
      <c r="D1747">
        <v>6</v>
      </c>
      <c r="E1747" s="4">
        <v>182721</v>
      </c>
      <c r="F1747" s="9">
        <v>136.059</v>
      </c>
      <c r="G1747" s="6">
        <v>27713</v>
      </c>
      <c r="H1747" s="9">
        <f t="shared" si="27"/>
        <v>182857.05900000001</v>
      </c>
      <c r="I1747" s="6">
        <v>11406</v>
      </c>
      <c r="J1747" s="6">
        <f>VLOOKUP(Table1[[#This Row],[Province]],[1]Sheet1!$A$3:$F$37,6,FALSE)</f>
        <v>39293000</v>
      </c>
      <c r="K1747">
        <v>0</v>
      </c>
      <c r="L1747" s="4">
        <v>7.5360639999999997</v>
      </c>
      <c r="M1747" s="4">
        <v>112.23840199999999</v>
      </c>
      <c r="N1747" s="13">
        <v>5.47</v>
      </c>
      <c r="P1747"/>
      <c r="Q1747" s="12"/>
      <c r="R1747" s="12"/>
    </row>
    <row r="1748" spans="1:18" x14ac:dyDescent="0.2">
      <c r="A1748">
        <v>15</v>
      </c>
      <c r="B1748" t="s">
        <v>11</v>
      </c>
      <c r="C1748">
        <v>2018</v>
      </c>
      <c r="D1748">
        <v>7</v>
      </c>
      <c r="E1748" s="4">
        <v>279234</v>
      </c>
      <c r="F1748" s="9">
        <v>351.988</v>
      </c>
      <c r="G1748" s="6">
        <v>20440</v>
      </c>
      <c r="H1748" s="9">
        <f t="shared" si="27"/>
        <v>279585.98800000001</v>
      </c>
      <c r="I1748" s="6">
        <v>10950</v>
      </c>
      <c r="J1748" s="6">
        <f>VLOOKUP(Table1[[#This Row],[Province]],[1]Sheet1!$A$3:$F$37,6,FALSE)</f>
        <v>39293000</v>
      </c>
      <c r="K1748">
        <v>0</v>
      </c>
      <c r="L1748" s="4">
        <v>7.5360639999999997</v>
      </c>
      <c r="M1748" s="4">
        <v>112.23840199999999</v>
      </c>
      <c r="N1748" s="13">
        <v>5.47</v>
      </c>
      <c r="P1748"/>
      <c r="Q1748" s="12"/>
      <c r="R1748" s="12"/>
    </row>
    <row r="1749" spans="1:18" x14ac:dyDescent="0.2">
      <c r="A1749">
        <v>15</v>
      </c>
      <c r="B1749" t="s">
        <v>11</v>
      </c>
      <c r="C1749">
        <v>2018</v>
      </c>
      <c r="D1749">
        <v>8</v>
      </c>
      <c r="E1749" s="4">
        <v>259348</v>
      </c>
      <c r="F1749" s="9">
        <v>378.49200000000002</v>
      </c>
      <c r="G1749" s="6">
        <v>24576</v>
      </c>
      <c r="H1749" s="9">
        <f t="shared" si="27"/>
        <v>259726.492</v>
      </c>
      <c r="I1749" s="6">
        <v>11107</v>
      </c>
      <c r="J1749" s="6">
        <f>VLOOKUP(Table1[[#This Row],[Province]],[1]Sheet1!$A$3:$F$37,6,FALSE)</f>
        <v>39293000</v>
      </c>
      <c r="K1749">
        <v>0</v>
      </c>
      <c r="L1749" s="4">
        <v>7.5360639999999997</v>
      </c>
      <c r="M1749" s="4">
        <v>112.23840199999999</v>
      </c>
      <c r="N1749" s="13">
        <v>5.47</v>
      </c>
      <c r="P1749"/>
      <c r="Q1749" s="12"/>
      <c r="R1749" s="12"/>
    </row>
    <row r="1750" spans="1:18" x14ac:dyDescent="0.2">
      <c r="A1750">
        <v>15</v>
      </c>
      <c r="B1750" t="s">
        <v>11</v>
      </c>
      <c r="C1750">
        <v>2018</v>
      </c>
      <c r="D1750">
        <v>9</v>
      </c>
      <c r="E1750" s="4">
        <v>194847</v>
      </c>
      <c r="F1750" s="9">
        <v>354.29399999999998</v>
      </c>
      <c r="G1750" s="6">
        <v>19049</v>
      </c>
      <c r="H1750" s="9">
        <f t="shared" si="27"/>
        <v>195201.29399999999</v>
      </c>
      <c r="I1750" s="6">
        <v>11000</v>
      </c>
      <c r="J1750" s="6">
        <f>VLOOKUP(Table1[[#This Row],[Province]],[1]Sheet1!$A$3:$F$37,6,FALSE)</f>
        <v>39293000</v>
      </c>
      <c r="K1750">
        <v>0</v>
      </c>
      <c r="L1750" s="4">
        <v>7.5360639999999997</v>
      </c>
      <c r="M1750" s="4">
        <v>112.23840199999999</v>
      </c>
      <c r="N1750" s="13">
        <v>5.47</v>
      </c>
      <c r="P1750"/>
      <c r="Q1750" s="12"/>
      <c r="R1750" s="12"/>
    </row>
    <row r="1751" spans="1:18" x14ac:dyDescent="0.2">
      <c r="A1751">
        <v>15</v>
      </c>
      <c r="B1751" t="s">
        <v>11</v>
      </c>
      <c r="C1751">
        <v>2018</v>
      </c>
      <c r="D1751">
        <v>10</v>
      </c>
      <c r="E1751" s="4">
        <v>80284</v>
      </c>
      <c r="F1751" s="9">
        <v>538.04499999999996</v>
      </c>
      <c r="G1751" s="6">
        <v>3631</v>
      </c>
      <c r="H1751" s="9">
        <f t="shared" si="27"/>
        <v>80822.044999999998</v>
      </c>
      <c r="I1751" s="6">
        <v>11350</v>
      </c>
      <c r="J1751" s="6">
        <f>VLOOKUP(Table1[[#This Row],[Province]],[1]Sheet1!$A$3:$F$37,6,FALSE)</f>
        <v>39293000</v>
      </c>
      <c r="K1751">
        <v>0</v>
      </c>
      <c r="L1751" s="4">
        <v>7.5360639999999997</v>
      </c>
      <c r="M1751" s="4">
        <v>112.23840199999999</v>
      </c>
      <c r="N1751" s="13">
        <v>5.47</v>
      </c>
      <c r="P1751"/>
      <c r="Q1751" s="12"/>
      <c r="R1751" s="12"/>
    </row>
    <row r="1752" spans="1:18" x14ac:dyDescent="0.2">
      <c r="A1752">
        <v>15</v>
      </c>
      <c r="B1752" t="s">
        <v>11</v>
      </c>
      <c r="C1752">
        <v>2018</v>
      </c>
      <c r="D1752">
        <v>11</v>
      </c>
      <c r="E1752" s="4">
        <v>3570</v>
      </c>
      <c r="F1752" s="9">
        <v>704.28300000000002</v>
      </c>
      <c r="G1752" s="6">
        <v>23097</v>
      </c>
      <c r="H1752" s="9">
        <f t="shared" si="27"/>
        <v>4274.2830000000004</v>
      </c>
      <c r="I1752" s="6">
        <v>11110</v>
      </c>
      <c r="J1752" s="6">
        <f>VLOOKUP(Table1[[#This Row],[Province]],[1]Sheet1!$A$3:$F$37,6,FALSE)</f>
        <v>39293000</v>
      </c>
      <c r="K1752">
        <v>0</v>
      </c>
      <c r="L1752" s="4">
        <v>7.5360639999999997</v>
      </c>
      <c r="M1752" s="4">
        <v>112.23840199999999</v>
      </c>
      <c r="N1752" s="13">
        <v>5.47</v>
      </c>
      <c r="P1752"/>
      <c r="Q1752" s="12"/>
      <c r="R1752" s="12"/>
    </row>
    <row r="1753" spans="1:18" x14ac:dyDescent="0.2">
      <c r="A1753">
        <v>15</v>
      </c>
      <c r="B1753" t="s">
        <v>11</v>
      </c>
      <c r="C1753">
        <v>2018</v>
      </c>
      <c r="D1753">
        <v>12</v>
      </c>
      <c r="E1753" s="4">
        <v>1764</v>
      </c>
      <c r="F1753" s="9">
        <v>611.55700000000002</v>
      </c>
      <c r="G1753" s="6">
        <v>32355</v>
      </c>
      <c r="H1753" s="9">
        <f t="shared" si="27"/>
        <v>2375.5569999999998</v>
      </c>
      <c r="I1753" s="6">
        <v>11479</v>
      </c>
      <c r="J1753" s="6">
        <f>VLOOKUP(Table1[[#This Row],[Province]],[1]Sheet1!$A$3:$F$37,6,FALSE)</f>
        <v>39293000</v>
      </c>
      <c r="K1753">
        <v>1</v>
      </c>
      <c r="L1753" s="4">
        <v>7.5360639999999997</v>
      </c>
      <c r="M1753" s="4">
        <v>112.23840199999999</v>
      </c>
      <c r="N1753" s="13">
        <v>5.47</v>
      </c>
      <c r="P1753"/>
      <c r="Q1753" s="12"/>
      <c r="R1753" s="12"/>
    </row>
    <row r="1754" spans="1:18" x14ac:dyDescent="0.2">
      <c r="A1754">
        <v>15</v>
      </c>
      <c r="B1754" t="s">
        <v>11</v>
      </c>
      <c r="C1754">
        <v>2019</v>
      </c>
      <c r="D1754">
        <v>1</v>
      </c>
      <c r="E1754" s="4">
        <v>0</v>
      </c>
      <c r="F1754" s="9">
        <v>604.35900000000004</v>
      </c>
      <c r="G1754" s="6">
        <v>46988</v>
      </c>
      <c r="H1754" s="9">
        <f t="shared" si="27"/>
        <v>604.35900000000004</v>
      </c>
      <c r="I1754" s="6">
        <v>10865</v>
      </c>
      <c r="J1754" s="6">
        <f>VLOOKUP(Table1[[#This Row],[Province]],[1]Sheet1!$A$3:$F$37,6,FALSE)</f>
        <v>39293000</v>
      </c>
      <c r="K1754">
        <v>0</v>
      </c>
      <c r="L1754" s="4">
        <v>7.5360639999999997</v>
      </c>
      <c r="M1754" s="4">
        <v>112.23840199999999</v>
      </c>
      <c r="N1754" s="13">
        <v>5.53</v>
      </c>
      <c r="P1754"/>
      <c r="Q1754" s="12"/>
      <c r="R1754" s="12"/>
    </row>
    <row r="1755" spans="1:18" x14ac:dyDescent="0.2">
      <c r="A1755">
        <v>15</v>
      </c>
      <c r="B1755" t="s">
        <v>11</v>
      </c>
      <c r="C1755">
        <v>2019</v>
      </c>
      <c r="D1755">
        <v>2</v>
      </c>
      <c r="E1755" s="4">
        <v>0</v>
      </c>
      <c r="F1755" s="9">
        <v>52.639000000000003</v>
      </c>
      <c r="G1755" s="6">
        <v>28606</v>
      </c>
      <c r="H1755" s="9">
        <f t="shared" si="27"/>
        <v>52.639000000000003</v>
      </c>
      <c r="I1755" s="6">
        <v>10121</v>
      </c>
      <c r="J1755" s="6">
        <f>VLOOKUP(Table1[[#This Row],[Province]],[1]Sheet1!$A$3:$F$37,6,FALSE)</f>
        <v>39293000</v>
      </c>
      <c r="K1755">
        <v>0</v>
      </c>
      <c r="L1755" s="4">
        <v>7.5360639999999997</v>
      </c>
      <c r="M1755" s="4">
        <v>112.23840199999999</v>
      </c>
      <c r="N1755" s="13">
        <v>5.53</v>
      </c>
      <c r="P1755"/>
      <c r="Q1755" s="12"/>
      <c r="R1755" s="12"/>
    </row>
    <row r="1756" spans="1:18" x14ac:dyDescent="0.2">
      <c r="A1756">
        <v>15</v>
      </c>
      <c r="B1756" t="s">
        <v>11</v>
      </c>
      <c r="C1756">
        <v>2019</v>
      </c>
      <c r="D1756">
        <v>3</v>
      </c>
      <c r="E1756" s="4">
        <v>0</v>
      </c>
      <c r="F1756" s="9">
        <v>413.81700000000001</v>
      </c>
      <c r="G1756" s="6">
        <v>28591</v>
      </c>
      <c r="H1756" s="9">
        <f t="shared" si="27"/>
        <v>413.81700000000001</v>
      </c>
      <c r="I1756" s="6">
        <v>10449</v>
      </c>
      <c r="J1756" s="6">
        <f>VLOOKUP(Table1[[#This Row],[Province]],[1]Sheet1!$A$3:$F$37,6,FALSE)</f>
        <v>39293000</v>
      </c>
      <c r="K1756">
        <v>0</v>
      </c>
      <c r="L1756" s="4">
        <v>7.5360639999999997</v>
      </c>
      <c r="M1756" s="4">
        <v>112.23840199999999</v>
      </c>
      <c r="N1756" s="13">
        <v>5.53</v>
      </c>
      <c r="P1756"/>
      <c r="Q1756" s="12"/>
      <c r="R1756" s="12"/>
    </row>
    <row r="1757" spans="1:18" x14ac:dyDescent="0.2">
      <c r="A1757">
        <v>15</v>
      </c>
      <c r="B1757" t="s">
        <v>11</v>
      </c>
      <c r="C1757">
        <v>2019</v>
      </c>
      <c r="D1757">
        <v>4</v>
      </c>
      <c r="E1757" s="4">
        <v>0</v>
      </c>
      <c r="F1757" s="9">
        <v>565.35199999999998</v>
      </c>
      <c r="G1757" s="6">
        <v>21769</v>
      </c>
      <c r="H1757" s="9">
        <f t="shared" si="27"/>
        <v>565.35199999999998</v>
      </c>
      <c r="I1757" s="6">
        <v>10489</v>
      </c>
      <c r="J1757" s="6">
        <f>VLOOKUP(Table1[[#This Row],[Province]],[1]Sheet1!$A$3:$F$37,6,FALSE)</f>
        <v>39293000</v>
      </c>
      <c r="K1757">
        <v>0</v>
      </c>
      <c r="L1757" s="4">
        <v>7.5360639999999997</v>
      </c>
      <c r="M1757" s="4">
        <v>112.23840199999999</v>
      </c>
      <c r="N1757" s="13">
        <v>5.53</v>
      </c>
      <c r="P1757"/>
      <c r="Q1757" s="12"/>
      <c r="R1757" s="12"/>
    </row>
    <row r="1758" spans="1:18" x14ac:dyDescent="0.2">
      <c r="A1758">
        <v>15</v>
      </c>
      <c r="B1758" t="s">
        <v>11</v>
      </c>
      <c r="C1758">
        <v>2019</v>
      </c>
      <c r="D1758">
        <v>5</v>
      </c>
      <c r="E1758" s="4">
        <v>95576</v>
      </c>
      <c r="F1758" s="9">
        <v>482.58100000000002</v>
      </c>
      <c r="G1758" s="6">
        <v>34386</v>
      </c>
      <c r="H1758" s="9">
        <f t="shared" si="27"/>
        <v>96058.581000000006</v>
      </c>
      <c r="I1758" s="6">
        <v>11528</v>
      </c>
      <c r="J1758" s="6">
        <f>VLOOKUP(Table1[[#This Row],[Province]],[1]Sheet1!$A$3:$F$37,6,FALSE)</f>
        <v>39293000</v>
      </c>
      <c r="K1758">
        <v>1</v>
      </c>
      <c r="L1758" s="4">
        <v>7.5360639999999997</v>
      </c>
      <c r="M1758" s="4">
        <v>112.23840199999999</v>
      </c>
      <c r="N1758" s="13">
        <v>5.53</v>
      </c>
      <c r="P1758"/>
      <c r="Q1758" s="12"/>
      <c r="R1758" s="12"/>
    </row>
    <row r="1759" spans="1:18" x14ac:dyDescent="0.2">
      <c r="A1759">
        <v>15</v>
      </c>
      <c r="B1759" t="s">
        <v>11</v>
      </c>
      <c r="C1759">
        <v>2019</v>
      </c>
      <c r="D1759">
        <v>6</v>
      </c>
      <c r="E1759" s="4">
        <v>139009</v>
      </c>
      <c r="F1759" s="9">
        <v>238.43199999999999</v>
      </c>
      <c r="G1759" s="6">
        <v>19463</v>
      </c>
      <c r="H1759" s="9">
        <f t="shared" si="27"/>
        <v>139247.432</v>
      </c>
      <c r="I1759" s="6">
        <v>11356</v>
      </c>
      <c r="J1759" s="6">
        <f>VLOOKUP(Table1[[#This Row],[Province]],[1]Sheet1!$A$3:$F$37,6,FALSE)</f>
        <v>39293000</v>
      </c>
      <c r="K1759">
        <v>0</v>
      </c>
      <c r="L1759" s="4">
        <v>7.5360639999999997</v>
      </c>
      <c r="M1759" s="4">
        <v>112.23840199999999</v>
      </c>
      <c r="N1759" s="13">
        <v>5.53</v>
      </c>
      <c r="P1759"/>
      <c r="Q1759" s="12"/>
      <c r="R1759" s="12"/>
    </row>
    <row r="1760" spans="1:18" x14ac:dyDescent="0.2">
      <c r="A1760">
        <v>15</v>
      </c>
      <c r="B1760" t="s">
        <v>11</v>
      </c>
      <c r="C1760">
        <v>2019</v>
      </c>
      <c r="D1760">
        <v>7</v>
      </c>
      <c r="E1760" s="4">
        <v>275561</v>
      </c>
      <c r="F1760" s="9">
        <v>596.23</v>
      </c>
      <c r="G1760" s="6">
        <v>23791</v>
      </c>
      <c r="H1760" s="9">
        <f t="shared" si="27"/>
        <v>276157.23</v>
      </c>
      <c r="I1760" s="6">
        <v>12085</v>
      </c>
      <c r="J1760" s="6">
        <f>VLOOKUP(Table1[[#This Row],[Province]],[1]Sheet1!$A$3:$F$37,6,FALSE)</f>
        <v>39293000</v>
      </c>
      <c r="K1760">
        <v>0</v>
      </c>
      <c r="L1760" s="4">
        <v>7.5360639999999997</v>
      </c>
      <c r="M1760" s="4">
        <v>112.23840199999999</v>
      </c>
      <c r="N1760" s="13">
        <v>5.53</v>
      </c>
      <c r="P1760"/>
      <c r="Q1760" s="12"/>
      <c r="R1760" s="12"/>
    </row>
    <row r="1761" spans="1:18" x14ac:dyDescent="0.2">
      <c r="A1761">
        <v>15</v>
      </c>
      <c r="B1761" t="s">
        <v>11</v>
      </c>
      <c r="C1761">
        <v>2019</v>
      </c>
      <c r="D1761">
        <v>8</v>
      </c>
      <c r="E1761" s="4">
        <v>256139</v>
      </c>
      <c r="F1761" s="9">
        <v>327.97500000000002</v>
      </c>
      <c r="G1761" s="6">
        <v>38867</v>
      </c>
      <c r="H1761" s="9">
        <f t="shared" si="27"/>
        <v>256466.97500000001</v>
      </c>
      <c r="I1761" s="6">
        <v>11967</v>
      </c>
      <c r="J1761" s="6">
        <f>VLOOKUP(Table1[[#This Row],[Province]],[1]Sheet1!$A$3:$F$37,6,FALSE)</f>
        <v>39293000</v>
      </c>
      <c r="K1761">
        <v>0</v>
      </c>
      <c r="L1761" s="4">
        <v>7.5360639999999997</v>
      </c>
      <c r="M1761" s="4">
        <v>112.23840199999999</v>
      </c>
      <c r="N1761" s="13">
        <v>5.53</v>
      </c>
      <c r="P1761"/>
      <c r="Q1761" s="12"/>
      <c r="R1761" s="12"/>
    </row>
    <row r="1762" spans="1:18" x14ac:dyDescent="0.2">
      <c r="A1762">
        <v>15</v>
      </c>
      <c r="B1762" t="s">
        <v>11</v>
      </c>
      <c r="C1762">
        <v>2019</v>
      </c>
      <c r="D1762">
        <v>9</v>
      </c>
      <c r="E1762" s="4">
        <v>201768</v>
      </c>
      <c r="F1762" s="9">
        <v>697.64300000000003</v>
      </c>
      <c r="G1762" s="6">
        <v>21732</v>
      </c>
      <c r="H1762" s="9">
        <f t="shared" si="27"/>
        <v>202465.64300000001</v>
      </c>
      <c r="I1762" s="6">
        <v>11930</v>
      </c>
      <c r="J1762" s="6">
        <f>VLOOKUP(Table1[[#This Row],[Province]],[1]Sheet1!$A$3:$F$37,6,FALSE)</f>
        <v>39293000</v>
      </c>
      <c r="K1762">
        <v>0</v>
      </c>
      <c r="L1762" s="4">
        <v>7.5360639999999997</v>
      </c>
      <c r="M1762" s="4">
        <v>112.23840199999999</v>
      </c>
      <c r="N1762" s="13">
        <v>5.53</v>
      </c>
      <c r="P1762"/>
      <c r="Q1762" s="12"/>
      <c r="R1762" s="12"/>
    </row>
    <row r="1763" spans="1:18" x14ac:dyDescent="0.2">
      <c r="A1763">
        <v>15</v>
      </c>
      <c r="B1763" t="s">
        <v>11</v>
      </c>
      <c r="C1763">
        <v>2019</v>
      </c>
      <c r="D1763">
        <v>10</v>
      </c>
      <c r="E1763" s="4">
        <v>73684</v>
      </c>
      <c r="F1763" s="9">
        <v>675.33199999999999</v>
      </c>
      <c r="G1763" s="6">
        <v>27206</v>
      </c>
      <c r="H1763" s="9">
        <f t="shared" si="27"/>
        <v>74359.331999999995</v>
      </c>
      <c r="I1763" s="6">
        <v>12083</v>
      </c>
      <c r="J1763" s="6">
        <f>VLOOKUP(Table1[[#This Row],[Province]],[1]Sheet1!$A$3:$F$37,6,FALSE)</f>
        <v>39293000</v>
      </c>
      <c r="K1763">
        <v>0</v>
      </c>
      <c r="L1763" s="4">
        <v>7.5360639999999997</v>
      </c>
      <c r="M1763" s="4">
        <v>112.23840199999999</v>
      </c>
      <c r="N1763" s="13">
        <v>5.53</v>
      </c>
      <c r="P1763"/>
      <c r="Q1763" s="12"/>
      <c r="R1763" s="12"/>
    </row>
    <row r="1764" spans="1:18" x14ac:dyDescent="0.2">
      <c r="A1764">
        <v>15</v>
      </c>
      <c r="B1764" t="s">
        <v>11</v>
      </c>
      <c r="C1764">
        <v>2019</v>
      </c>
      <c r="D1764">
        <v>11</v>
      </c>
      <c r="E1764" s="4">
        <v>9137</v>
      </c>
      <c r="F1764" s="9">
        <v>899.90099999999995</v>
      </c>
      <c r="G1764" s="6">
        <v>35741</v>
      </c>
      <c r="H1764" s="9">
        <f t="shared" si="27"/>
        <v>10036.901</v>
      </c>
      <c r="I1764" s="6">
        <v>12078</v>
      </c>
      <c r="J1764" s="6">
        <f>VLOOKUP(Table1[[#This Row],[Province]],[1]Sheet1!$A$3:$F$37,6,FALSE)</f>
        <v>39293000</v>
      </c>
      <c r="K1764">
        <v>0</v>
      </c>
      <c r="L1764" s="4">
        <v>7.5360639999999997</v>
      </c>
      <c r="M1764" s="4">
        <v>112.23840199999999</v>
      </c>
      <c r="N1764" s="13">
        <v>5.53</v>
      </c>
      <c r="P1764"/>
      <c r="Q1764" s="12"/>
      <c r="R1764" s="12"/>
    </row>
    <row r="1765" spans="1:18" x14ac:dyDescent="0.2">
      <c r="A1765">
        <v>15</v>
      </c>
      <c r="B1765" t="s">
        <v>11</v>
      </c>
      <c r="C1765">
        <v>2019</v>
      </c>
      <c r="D1765">
        <v>12</v>
      </c>
      <c r="E1765" s="4">
        <v>0</v>
      </c>
      <c r="F1765" s="9">
        <v>807.92100000000005</v>
      </c>
      <c r="G1765" s="6">
        <v>23360</v>
      </c>
      <c r="H1765" s="9">
        <f t="shared" si="27"/>
        <v>807.92100000000005</v>
      </c>
      <c r="I1765" s="6">
        <v>12070</v>
      </c>
      <c r="J1765" s="6">
        <f>VLOOKUP(Table1[[#This Row],[Province]],[1]Sheet1!$A$3:$F$37,6,FALSE)</f>
        <v>39293000</v>
      </c>
      <c r="K1765">
        <v>1</v>
      </c>
      <c r="L1765" s="4">
        <v>7.5360639999999997</v>
      </c>
      <c r="M1765" s="4">
        <v>112.23840199999999</v>
      </c>
      <c r="N1765" s="13">
        <v>5.53</v>
      </c>
      <c r="P1765"/>
      <c r="Q1765" s="12"/>
      <c r="R1765" s="12"/>
    </row>
    <row r="1766" spans="1:18" x14ac:dyDescent="0.2">
      <c r="A1766">
        <v>15</v>
      </c>
      <c r="B1766" t="s">
        <v>11</v>
      </c>
      <c r="C1766">
        <v>2020</v>
      </c>
      <c r="D1766">
        <v>1</v>
      </c>
      <c r="E1766" s="4">
        <v>0</v>
      </c>
      <c r="F1766" s="9">
        <v>525.16099999999994</v>
      </c>
      <c r="G1766" s="6">
        <v>60214</v>
      </c>
      <c r="H1766" s="9">
        <f t="shared" si="27"/>
        <v>525.16099999999994</v>
      </c>
      <c r="I1766" s="6">
        <v>12697</v>
      </c>
      <c r="J1766" s="6">
        <f>VLOOKUP(Table1[[#This Row],[Province]],[1]Sheet1!$A$3:$F$37,6,FALSE)</f>
        <v>39293000</v>
      </c>
      <c r="K1766">
        <v>0</v>
      </c>
      <c r="L1766" s="4">
        <v>7.5360639999999997</v>
      </c>
      <c r="M1766" s="4">
        <v>112.23840199999999</v>
      </c>
      <c r="N1766" s="13">
        <v>-2.33</v>
      </c>
      <c r="P1766"/>
      <c r="Q1766" s="12"/>
      <c r="R1766" s="12"/>
    </row>
    <row r="1767" spans="1:18" x14ac:dyDescent="0.2">
      <c r="A1767">
        <v>15</v>
      </c>
      <c r="B1767" t="s">
        <v>11</v>
      </c>
      <c r="C1767">
        <v>2020</v>
      </c>
      <c r="D1767">
        <v>2</v>
      </c>
      <c r="E1767" s="4">
        <v>0</v>
      </c>
      <c r="F1767" s="9">
        <v>85.872</v>
      </c>
      <c r="G1767" s="6">
        <v>23136</v>
      </c>
      <c r="H1767" s="9">
        <f t="shared" si="27"/>
        <v>85.872</v>
      </c>
      <c r="I1767" s="6">
        <v>13785</v>
      </c>
      <c r="J1767" s="6">
        <f>VLOOKUP(Table1[[#This Row],[Province]],[1]Sheet1!$A$3:$F$37,6,FALSE)</f>
        <v>39293000</v>
      </c>
      <c r="K1767">
        <v>0</v>
      </c>
      <c r="L1767" s="4">
        <v>7.5360639999999997</v>
      </c>
      <c r="M1767" s="4">
        <v>112.23840199999999</v>
      </c>
      <c r="N1767" s="13">
        <v>-2.33</v>
      </c>
      <c r="P1767"/>
      <c r="Q1767" s="12"/>
      <c r="R1767" s="12"/>
    </row>
    <row r="1768" spans="1:18" x14ac:dyDescent="0.2">
      <c r="A1768">
        <v>15</v>
      </c>
      <c r="B1768" t="s">
        <v>11</v>
      </c>
      <c r="C1768">
        <v>2020</v>
      </c>
      <c r="D1768">
        <v>3</v>
      </c>
      <c r="E1768" s="4">
        <v>0</v>
      </c>
      <c r="F1768" s="9">
        <v>289.08800000000002</v>
      </c>
      <c r="G1768" s="6">
        <v>49931</v>
      </c>
      <c r="H1768" s="9">
        <f t="shared" si="27"/>
        <v>289.08800000000002</v>
      </c>
      <c r="I1768" s="6">
        <v>16929</v>
      </c>
      <c r="J1768" s="6">
        <f>VLOOKUP(Table1[[#This Row],[Province]],[1]Sheet1!$A$3:$F$37,6,FALSE)</f>
        <v>39293000</v>
      </c>
      <c r="K1768">
        <v>0</v>
      </c>
      <c r="L1768" s="4">
        <v>7.5360639999999997</v>
      </c>
      <c r="M1768" s="4">
        <v>112.23840199999999</v>
      </c>
      <c r="N1768" s="13">
        <v>-2.33</v>
      </c>
      <c r="P1768"/>
      <c r="Q1768" s="12"/>
      <c r="R1768" s="12"/>
    </row>
    <row r="1769" spans="1:18" x14ac:dyDescent="0.2">
      <c r="A1769">
        <v>15</v>
      </c>
      <c r="B1769" t="s">
        <v>11</v>
      </c>
      <c r="C1769">
        <v>2020</v>
      </c>
      <c r="D1769">
        <v>4</v>
      </c>
      <c r="E1769" s="4">
        <v>0</v>
      </c>
      <c r="F1769" s="9">
        <v>349.846</v>
      </c>
      <c r="G1769" s="6">
        <v>23872</v>
      </c>
      <c r="H1769" s="9">
        <f t="shared" si="27"/>
        <v>349.846</v>
      </c>
      <c r="I1769" s="6">
        <v>17797</v>
      </c>
      <c r="J1769" s="6">
        <f>VLOOKUP(Table1[[#This Row],[Province]],[1]Sheet1!$A$3:$F$37,6,FALSE)</f>
        <v>39293000</v>
      </c>
      <c r="K1769">
        <v>1</v>
      </c>
      <c r="L1769" s="4">
        <v>7.5360639999999997</v>
      </c>
      <c r="M1769" s="4">
        <v>112.23840199999999</v>
      </c>
      <c r="N1769" s="13">
        <v>-2.33</v>
      </c>
      <c r="P1769"/>
      <c r="Q1769" s="12"/>
      <c r="R1769" s="12"/>
    </row>
    <row r="1770" spans="1:18" x14ac:dyDescent="0.2">
      <c r="A1770">
        <v>15</v>
      </c>
      <c r="B1770" t="s">
        <v>11</v>
      </c>
      <c r="C1770">
        <v>2020</v>
      </c>
      <c r="D1770">
        <v>5</v>
      </c>
      <c r="E1770" s="4">
        <v>0</v>
      </c>
      <c r="F1770" s="9">
        <v>116.79900000000001</v>
      </c>
      <c r="G1770" s="6">
        <v>45228</v>
      </c>
      <c r="H1770" s="9">
        <f t="shared" si="27"/>
        <v>116.79900000000001</v>
      </c>
      <c r="I1770" s="6">
        <v>15551</v>
      </c>
      <c r="J1770" s="6">
        <f>VLOOKUP(Table1[[#This Row],[Province]],[1]Sheet1!$A$3:$F$37,6,FALSE)</f>
        <v>39293000</v>
      </c>
      <c r="K1770">
        <v>0</v>
      </c>
      <c r="L1770" s="4">
        <v>7.5360639999999997</v>
      </c>
      <c r="M1770" s="4">
        <v>112.23840199999999</v>
      </c>
      <c r="N1770" s="13">
        <v>-2.33</v>
      </c>
      <c r="P1770"/>
      <c r="Q1770" s="12"/>
      <c r="R1770" s="12"/>
    </row>
    <row r="1771" spans="1:18" x14ac:dyDescent="0.2">
      <c r="A1771">
        <v>15</v>
      </c>
      <c r="B1771" t="s">
        <v>11</v>
      </c>
      <c r="C1771">
        <v>2020</v>
      </c>
      <c r="D1771">
        <v>6</v>
      </c>
      <c r="E1771" s="4">
        <v>162350</v>
      </c>
      <c r="F1771" s="9">
        <v>197.63900000000001</v>
      </c>
      <c r="G1771" s="6">
        <v>32640</v>
      </c>
      <c r="H1771" s="9">
        <f t="shared" si="27"/>
        <v>162547.639</v>
      </c>
      <c r="I1771" s="6">
        <v>13595</v>
      </c>
      <c r="J1771" s="6">
        <f>VLOOKUP(Table1[[#This Row],[Province]],[1]Sheet1!$A$3:$F$37,6,FALSE)</f>
        <v>39293000</v>
      </c>
      <c r="K1771">
        <v>0</v>
      </c>
      <c r="L1771" s="4">
        <v>7.5360639999999997</v>
      </c>
      <c r="M1771" s="4">
        <v>112.23840199999999</v>
      </c>
      <c r="N1771" s="13">
        <v>-2.33</v>
      </c>
      <c r="P1771"/>
      <c r="Q1771" s="12"/>
      <c r="R1771" s="12"/>
    </row>
    <row r="1772" spans="1:18" x14ac:dyDescent="0.2">
      <c r="A1772">
        <v>15</v>
      </c>
      <c r="B1772" t="s">
        <v>11</v>
      </c>
      <c r="C1772">
        <v>2020</v>
      </c>
      <c r="D1772">
        <v>7</v>
      </c>
      <c r="E1772" s="4">
        <v>257133</v>
      </c>
      <c r="F1772" s="9">
        <v>357.01799999999997</v>
      </c>
      <c r="G1772" s="6">
        <v>19320</v>
      </c>
      <c r="H1772" s="9">
        <f t="shared" si="27"/>
        <v>257490.01800000001</v>
      </c>
      <c r="I1772" s="6">
        <v>12248</v>
      </c>
      <c r="J1772" s="6">
        <f>VLOOKUP(Table1[[#This Row],[Province]],[1]Sheet1!$A$3:$F$37,6,FALSE)</f>
        <v>39293000</v>
      </c>
      <c r="K1772">
        <v>0</v>
      </c>
      <c r="L1772" s="4">
        <v>7.5360639999999997</v>
      </c>
      <c r="M1772" s="4">
        <v>112.23840199999999</v>
      </c>
      <c r="N1772" s="13">
        <v>-2.33</v>
      </c>
      <c r="P1772"/>
      <c r="Q1772" s="12"/>
      <c r="R1772" s="12"/>
    </row>
    <row r="1773" spans="1:18" x14ac:dyDescent="0.2">
      <c r="A1773">
        <v>15</v>
      </c>
      <c r="B1773" t="s">
        <v>11</v>
      </c>
      <c r="C1773">
        <v>2020</v>
      </c>
      <c r="D1773">
        <v>8</v>
      </c>
      <c r="E1773" s="4">
        <v>268460</v>
      </c>
      <c r="F1773" s="9">
        <v>205.51599999999999</v>
      </c>
      <c r="G1773" s="6">
        <v>16848</v>
      </c>
      <c r="H1773" s="9">
        <f t="shared" si="27"/>
        <v>268665.516</v>
      </c>
      <c r="I1773" s="6">
        <v>12500</v>
      </c>
      <c r="J1773" s="6">
        <f>VLOOKUP(Table1[[#This Row],[Province]],[1]Sheet1!$A$3:$F$37,6,FALSE)</f>
        <v>39293000</v>
      </c>
      <c r="K1773">
        <v>0</v>
      </c>
      <c r="L1773" s="4">
        <v>7.5360639999999997</v>
      </c>
      <c r="M1773" s="4">
        <v>112.23840199999999</v>
      </c>
      <c r="N1773" s="13">
        <v>-2.33</v>
      </c>
      <c r="P1773"/>
      <c r="Q1773" s="12"/>
      <c r="R1773" s="12"/>
    </row>
    <row r="1774" spans="1:18" x14ac:dyDescent="0.2">
      <c r="A1774">
        <v>15</v>
      </c>
      <c r="B1774" t="s">
        <v>11</v>
      </c>
      <c r="C1774">
        <v>2020</v>
      </c>
      <c r="D1774">
        <v>9</v>
      </c>
      <c r="E1774" s="4">
        <v>207199</v>
      </c>
      <c r="F1774" s="9">
        <v>246.34</v>
      </c>
      <c r="G1774" s="6">
        <v>10669</v>
      </c>
      <c r="H1774" s="9">
        <f t="shared" si="27"/>
        <v>207445.34</v>
      </c>
      <c r="I1774" s="6">
        <v>12452</v>
      </c>
      <c r="J1774" s="6">
        <f>VLOOKUP(Table1[[#This Row],[Province]],[1]Sheet1!$A$3:$F$37,6,FALSE)</f>
        <v>39293000</v>
      </c>
      <c r="K1774">
        <v>0</v>
      </c>
      <c r="L1774" s="4">
        <v>7.5360639999999997</v>
      </c>
      <c r="M1774" s="4">
        <v>112.23840199999999</v>
      </c>
      <c r="N1774" s="13">
        <v>-2.33</v>
      </c>
      <c r="P1774"/>
      <c r="Q1774" s="12"/>
      <c r="R1774" s="12"/>
    </row>
    <row r="1775" spans="1:18" x14ac:dyDescent="0.2">
      <c r="A1775">
        <v>15</v>
      </c>
      <c r="B1775" t="s">
        <v>11</v>
      </c>
      <c r="C1775">
        <v>2020</v>
      </c>
      <c r="D1775">
        <v>10</v>
      </c>
      <c r="E1775" s="4">
        <v>88966</v>
      </c>
      <c r="F1775" s="9">
        <v>162.452</v>
      </c>
      <c r="G1775" s="6">
        <v>3311</v>
      </c>
      <c r="H1775" s="9">
        <f t="shared" si="27"/>
        <v>89128.452000000005</v>
      </c>
      <c r="I1775" s="6">
        <v>12156</v>
      </c>
      <c r="J1775" s="6">
        <f>VLOOKUP(Table1[[#This Row],[Province]],[1]Sheet1!$A$3:$F$37,6,FALSE)</f>
        <v>39293000</v>
      </c>
      <c r="K1775">
        <v>0</v>
      </c>
      <c r="L1775" s="4">
        <v>7.5360639999999997</v>
      </c>
      <c r="M1775" s="4">
        <v>112.23840199999999</v>
      </c>
      <c r="N1775" s="13">
        <v>-2.33</v>
      </c>
      <c r="P1775"/>
      <c r="Q1775" s="12"/>
      <c r="R1775" s="12"/>
    </row>
    <row r="1776" spans="1:18" x14ac:dyDescent="0.2">
      <c r="A1776">
        <v>15</v>
      </c>
      <c r="B1776" t="s">
        <v>11</v>
      </c>
      <c r="C1776">
        <v>2020</v>
      </c>
      <c r="D1776">
        <v>11</v>
      </c>
      <c r="E1776" s="4">
        <v>19054</v>
      </c>
      <c r="F1776" s="9">
        <v>290.47899999999998</v>
      </c>
      <c r="G1776" s="6">
        <v>22263</v>
      </c>
      <c r="H1776" s="9">
        <f t="shared" si="27"/>
        <v>19344.478999999999</v>
      </c>
      <c r="I1776" s="6">
        <v>12292</v>
      </c>
      <c r="J1776" s="6">
        <f>VLOOKUP(Table1[[#This Row],[Province]],[1]Sheet1!$A$3:$F$37,6,FALSE)</f>
        <v>39293000</v>
      </c>
      <c r="K1776">
        <v>0</v>
      </c>
      <c r="L1776" s="4">
        <v>7.5360639999999997</v>
      </c>
      <c r="M1776" s="4">
        <v>112.23840199999999</v>
      </c>
      <c r="N1776" s="13">
        <v>-2.33</v>
      </c>
      <c r="P1776"/>
      <c r="Q1776" s="12"/>
      <c r="R1776" s="12"/>
    </row>
    <row r="1777" spans="1:18" x14ac:dyDescent="0.2">
      <c r="A1777">
        <v>15</v>
      </c>
      <c r="B1777" t="s">
        <v>11</v>
      </c>
      <c r="C1777">
        <v>2020</v>
      </c>
      <c r="D1777">
        <v>12</v>
      </c>
      <c r="E1777" s="4">
        <v>0</v>
      </c>
      <c r="F1777" s="9">
        <v>315.74799999999999</v>
      </c>
      <c r="G1777" s="6">
        <v>4933</v>
      </c>
      <c r="H1777" s="9">
        <f t="shared" si="27"/>
        <v>315.74799999999999</v>
      </c>
      <c r="I1777" s="6">
        <v>12500</v>
      </c>
      <c r="J1777" s="6">
        <f>VLOOKUP(Table1[[#This Row],[Province]],[1]Sheet1!$A$3:$F$37,6,FALSE)</f>
        <v>39293000</v>
      </c>
      <c r="K1777">
        <v>1</v>
      </c>
      <c r="L1777" s="4">
        <v>7.5360639999999997</v>
      </c>
      <c r="M1777" s="4">
        <v>112.23840199999999</v>
      </c>
      <c r="N1777" s="13">
        <v>-2.33</v>
      </c>
      <c r="P1777"/>
      <c r="Q1777" s="12"/>
      <c r="R1777" s="12"/>
    </row>
    <row r="1778" spans="1:18" x14ac:dyDescent="0.2">
      <c r="A1778">
        <v>15</v>
      </c>
      <c r="B1778" t="s">
        <v>11</v>
      </c>
      <c r="C1778">
        <v>2021</v>
      </c>
      <c r="D1778">
        <v>1</v>
      </c>
      <c r="E1778" s="4">
        <v>0</v>
      </c>
      <c r="F1778" s="9">
        <v>647.24800000000005</v>
      </c>
      <c r="G1778" s="6">
        <v>9805</v>
      </c>
      <c r="H1778" s="9">
        <f t="shared" si="27"/>
        <v>647.24800000000005</v>
      </c>
      <c r="I1778" s="6">
        <v>12500</v>
      </c>
      <c r="J1778" s="6">
        <f>VLOOKUP(Table1[[#This Row],[Province]],[1]Sheet1!$A$3:$F$37,6,FALSE)</f>
        <v>39293000</v>
      </c>
      <c r="K1778">
        <v>0</v>
      </c>
      <c r="L1778" s="4">
        <v>7.5360639999999997</v>
      </c>
      <c r="M1778" s="4">
        <v>112.23840199999999</v>
      </c>
      <c r="N1778" s="13">
        <v>3.56</v>
      </c>
      <c r="P1778"/>
      <c r="Q1778" s="12"/>
      <c r="R1778" s="12"/>
    </row>
    <row r="1779" spans="1:18" x14ac:dyDescent="0.2">
      <c r="A1779">
        <v>15</v>
      </c>
      <c r="B1779" t="s">
        <v>11</v>
      </c>
      <c r="C1779">
        <v>2021</v>
      </c>
      <c r="D1779">
        <v>2</v>
      </c>
      <c r="E1779" s="4">
        <v>0</v>
      </c>
      <c r="F1779" s="9">
        <v>149.392</v>
      </c>
      <c r="G1779" s="6">
        <v>30335</v>
      </c>
      <c r="H1779" s="9">
        <f t="shared" si="27"/>
        <v>149.392</v>
      </c>
      <c r="I1779" s="6">
        <v>12256</v>
      </c>
      <c r="J1779" s="6">
        <f>VLOOKUP(Table1[[#This Row],[Province]],[1]Sheet1!$A$3:$F$37,6,FALSE)</f>
        <v>39293000</v>
      </c>
      <c r="K1779">
        <v>0</v>
      </c>
      <c r="L1779" s="4">
        <v>7.5360639999999997</v>
      </c>
      <c r="M1779" s="4">
        <v>112.23840199999999</v>
      </c>
      <c r="N1779" s="13">
        <v>3.56</v>
      </c>
      <c r="P1779"/>
      <c r="Q1779" s="12"/>
      <c r="R1779" s="12"/>
    </row>
    <row r="1780" spans="1:18" x14ac:dyDescent="0.2">
      <c r="A1780">
        <v>15</v>
      </c>
      <c r="B1780" t="s">
        <v>11</v>
      </c>
      <c r="C1780">
        <v>2021</v>
      </c>
      <c r="D1780">
        <v>3</v>
      </c>
      <c r="E1780" s="4">
        <v>1555</v>
      </c>
      <c r="F1780" s="9">
        <v>288.416</v>
      </c>
      <c r="G1780" s="6">
        <v>15928</v>
      </c>
      <c r="H1780" s="9">
        <f t="shared" si="27"/>
        <v>1843.4159999999999</v>
      </c>
      <c r="I1780" s="6">
        <v>12000</v>
      </c>
      <c r="J1780" s="6">
        <f>VLOOKUP(Table1[[#This Row],[Province]],[1]Sheet1!$A$3:$F$37,6,FALSE)</f>
        <v>39293000</v>
      </c>
      <c r="K1780">
        <v>0</v>
      </c>
      <c r="L1780" s="4">
        <v>7.5360639999999997</v>
      </c>
      <c r="M1780" s="4">
        <v>112.23840199999999</v>
      </c>
      <c r="N1780" s="13">
        <v>3.56</v>
      </c>
      <c r="P1780"/>
      <c r="Q1780" s="12"/>
      <c r="R1780" s="12"/>
    </row>
    <row r="1781" spans="1:18" x14ac:dyDescent="0.2">
      <c r="A1781">
        <v>15</v>
      </c>
      <c r="B1781" t="s">
        <v>11</v>
      </c>
      <c r="C1781">
        <v>2021</v>
      </c>
      <c r="D1781">
        <v>4</v>
      </c>
      <c r="E1781" s="4">
        <v>26667</v>
      </c>
      <c r="F1781" s="9">
        <v>463.642</v>
      </c>
      <c r="G1781" s="6">
        <v>52912</v>
      </c>
      <c r="H1781" s="9">
        <f t="shared" si="27"/>
        <v>27130.642</v>
      </c>
      <c r="I1781" s="6">
        <v>12125</v>
      </c>
      <c r="J1781" s="6">
        <f>VLOOKUP(Table1[[#This Row],[Province]],[1]Sheet1!$A$3:$F$37,6,FALSE)</f>
        <v>39293000</v>
      </c>
      <c r="K1781">
        <v>1</v>
      </c>
      <c r="L1781" s="4">
        <v>7.5360639999999997</v>
      </c>
      <c r="M1781" s="4">
        <v>112.23840199999999</v>
      </c>
      <c r="N1781" s="13">
        <v>3.56</v>
      </c>
      <c r="P1781"/>
      <c r="Q1781" s="12"/>
      <c r="R1781" s="12"/>
    </row>
    <row r="1782" spans="1:18" x14ac:dyDescent="0.2">
      <c r="A1782">
        <v>15</v>
      </c>
      <c r="B1782" t="s">
        <v>11</v>
      </c>
      <c r="C1782">
        <v>2021</v>
      </c>
      <c r="D1782">
        <v>5</v>
      </c>
      <c r="E1782" s="4">
        <v>196816</v>
      </c>
      <c r="F1782" s="9">
        <v>240.761</v>
      </c>
      <c r="G1782" s="6">
        <v>29427</v>
      </c>
      <c r="H1782" s="9">
        <f t="shared" si="27"/>
        <v>197056.761</v>
      </c>
      <c r="I1782" s="6">
        <v>12140</v>
      </c>
      <c r="J1782" s="6">
        <f>VLOOKUP(Table1[[#This Row],[Province]],[1]Sheet1!$A$3:$F$37,6,FALSE)</f>
        <v>39293000</v>
      </c>
      <c r="K1782">
        <v>0</v>
      </c>
      <c r="L1782" s="4">
        <v>7.5360639999999997</v>
      </c>
      <c r="M1782" s="4">
        <v>112.23840199999999</v>
      </c>
      <c r="N1782" s="13">
        <v>3.56</v>
      </c>
      <c r="P1782"/>
      <c r="Q1782" s="12"/>
      <c r="R1782" s="12"/>
    </row>
    <row r="1783" spans="1:18" x14ac:dyDescent="0.2">
      <c r="A1783">
        <v>15</v>
      </c>
      <c r="B1783" t="s">
        <v>11</v>
      </c>
      <c r="C1783">
        <v>2021</v>
      </c>
      <c r="D1783">
        <v>6</v>
      </c>
      <c r="E1783" s="4">
        <v>234839</v>
      </c>
      <c r="F1783" s="9">
        <v>377.69299999999998</v>
      </c>
      <c r="G1783" s="6">
        <v>40728</v>
      </c>
      <c r="H1783" s="9">
        <f t="shared" si="27"/>
        <v>235216.693</v>
      </c>
      <c r="I1783" s="6">
        <v>12038</v>
      </c>
      <c r="J1783" s="6">
        <f>VLOOKUP(Table1[[#This Row],[Province]],[1]Sheet1!$A$3:$F$37,6,FALSE)</f>
        <v>39293000</v>
      </c>
      <c r="K1783">
        <v>0</v>
      </c>
      <c r="L1783" s="4">
        <v>7.5360639999999997</v>
      </c>
      <c r="M1783" s="4">
        <v>112.23840199999999</v>
      </c>
      <c r="N1783" s="13">
        <v>3.56</v>
      </c>
      <c r="P1783"/>
      <c r="Q1783" s="12"/>
      <c r="R1783" s="12"/>
    </row>
    <row r="1784" spans="1:18" x14ac:dyDescent="0.2">
      <c r="A1784">
        <v>15</v>
      </c>
      <c r="B1784" t="s">
        <v>11</v>
      </c>
      <c r="C1784">
        <v>2021</v>
      </c>
      <c r="D1784">
        <v>7</v>
      </c>
      <c r="E1784" s="4">
        <v>242730</v>
      </c>
      <c r="F1784" s="9">
        <v>404.56700000000001</v>
      </c>
      <c r="G1784" s="6">
        <v>52900</v>
      </c>
      <c r="H1784" s="9">
        <f t="shared" si="27"/>
        <v>243134.56700000001</v>
      </c>
      <c r="I1784" s="6">
        <v>11950</v>
      </c>
      <c r="J1784" s="6">
        <f>VLOOKUP(Table1[[#This Row],[Province]],[1]Sheet1!$A$3:$F$37,6,FALSE)</f>
        <v>39293000</v>
      </c>
      <c r="K1784">
        <v>0</v>
      </c>
      <c r="L1784" s="4">
        <v>7.5360639999999997</v>
      </c>
      <c r="M1784" s="4">
        <v>112.23840199999999</v>
      </c>
      <c r="N1784" s="13">
        <v>3.56</v>
      </c>
      <c r="P1784"/>
      <c r="Q1784" s="12"/>
      <c r="R1784" s="12"/>
    </row>
    <row r="1785" spans="1:18" x14ac:dyDescent="0.2">
      <c r="A1785">
        <v>15</v>
      </c>
      <c r="B1785" t="s">
        <v>11</v>
      </c>
      <c r="C1785">
        <v>2021</v>
      </c>
      <c r="D1785">
        <v>8</v>
      </c>
      <c r="E1785" s="4">
        <v>218952</v>
      </c>
      <c r="F1785" s="9">
        <v>497.327</v>
      </c>
      <c r="G1785" s="6">
        <v>43423</v>
      </c>
      <c r="H1785" s="9">
        <f t="shared" si="27"/>
        <v>219449.32699999999</v>
      </c>
      <c r="I1785" s="6">
        <v>11920</v>
      </c>
      <c r="J1785" s="6">
        <f>VLOOKUP(Table1[[#This Row],[Province]],[1]Sheet1!$A$3:$F$37,6,FALSE)</f>
        <v>39293000</v>
      </c>
      <c r="K1785">
        <v>0</v>
      </c>
      <c r="L1785" s="4">
        <v>7.5360639999999997</v>
      </c>
      <c r="M1785" s="4">
        <v>112.23840199999999</v>
      </c>
      <c r="N1785" s="13">
        <v>3.56</v>
      </c>
      <c r="P1785"/>
      <c r="Q1785" s="12"/>
      <c r="R1785" s="12"/>
    </row>
    <row r="1786" spans="1:18" x14ac:dyDescent="0.2">
      <c r="A1786">
        <v>15</v>
      </c>
      <c r="B1786" t="s">
        <v>11</v>
      </c>
      <c r="C1786">
        <v>2021</v>
      </c>
      <c r="D1786">
        <v>9</v>
      </c>
      <c r="E1786" s="4">
        <v>98225</v>
      </c>
      <c r="F1786" s="9">
        <v>432.50299999999999</v>
      </c>
      <c r="G1786" s="6">
        <v>47899</v>
      </c>
      <c r="H1786" s="9">
        <f t="shared" si="27"/>
        <v>98657.502999999997</v>
      </c>
      <c r="I1786" s="6">
        <v>11923</v>
      </c>
      <c r="J1786" s="6">
        <f>VLOOKUP(Table1[[#This Row],[Province]],[1]Sheet1!$A$3:$F$37,6,FALSE)</f>
        <v>39293000</v>
      </c>
      <c r="K1786">
        <v>0</v>
      </c>
      <c r="L1786" s="4">
        <v>7.5360639999999997</v>
      </c>
      <c r="M1786" s="4">
        <v>112.23840199999999</v>
      </c>
      <c r="N1786" s="13">
        <v>3.56</v>
      </c>
      <c r="P1786"/>
      <c r="Q1786" s="12"/>
      <c r="R1786" s="12"/>
    </row>
    <row r="1787" spans="1:18" x14ac:dyDescent="0.2">
      <c r="A1787">
        <v>15</v>
      </c>
      <c r="B1787" t="s">
        <v>11</v>
      </c>
      <c r="C1787">
        <v>2021</v>
      </c>
      <c r="D1787">
        <v>10</v>
      </c>
      <c r="E1787" s="4">
        <v>14891</v>
      </c>
      <c r="F1787" s="9">
        <v>471.63499999999999</v>
      </c>
      <c r="G1787" s="6">
        <v>44643</v>
      </c>
      <c r="H1787" s="9">
        <f t="shared" si="27"/>
        <v>15362.635</v>
      </c>
      <c r="I1787" s="6">
        <v>12023</v>
      </c>
      <c r="J1787" s="6">
        <f>VLOOKUP(Table1[[#This Row],[Province]],[1]Sheet1!$A$3:$F$37,6,FALSE)</f>
        <v>39293000</v>
      </c>
      <c r="K1787">
        <v>0</v>
      </c>
      <c r="L1787" s="4">
        <v>7.5360639999999997</v>
      </c>
      <c r="M1787" s="4">
        <v>112.23840199999999</v>
      </c>
      <c r="N1787" s="13">
        <v>3.56</v>
      </c>
      <c r="P1787"/>
      <c r="Q1787" s="12"/>
      <c r="R1787" s="12"/>
    </row>
    <row r="1788" spans="1:18" x14ac:dyDescent="0.2">
      <c r="A1788">
        <v>15</v>
      </c>
      <c r="B1788" t="s">
        <v>11</v>
      </c>
      <c r="C1788">
        <v>2021</v>
      </c>
      <c r="D1788">
        <v>11</v>
      </c>
      <c r="E1788" s="4">
        <v>0</v>
      </c>
      <c r="F1788" s="9">
        <v>651.65200000000004</v>
      </c>
      <c r="G1788" s="6">
        <v>49389</v>
      </c>
      <c r="H1788" s="9">
        <f t="shared" si="27"/>
        <v>651.65200000000004</v>
      </c>
      <c r="I1788" s="6">
        <v>12100</v>
      </c>
      <c r="J1788" s="6">
        <f>VLOOKUP(Table1[[#This Row],[Province]],[1]Sheet1!$A$3:$F$37,6,FALSE)</f>
        <v>39293000</v>
      </c>
      <c r="K1788">
        <v>0</v>
      </c>
      <c r="L1788" s="4">
        <v>7.5360639999999997</v>
      </c>
      <c r="M1788" s="4">
        <v>112.23840199999999</v>
      </c>
      <c r="N1788" s="13">
        <v>3.56</v>
      </c>
      <c r="P1788"/>
      <c r="Q1788" s="12"/>
      <c r="R1788" s="12"/>
    </row>
    <row r="1789" spans="1:18" x14ac:dyDescent="0.2">
      <c r="A1789">
        <v>15</v>
      </c>
      <c r="B1789" t="s">
        <v>11</v>
      </c>
      <c r="C1789">
        <v>2021</v>
      </c>
      <c r="D1789">
        <v>12</v>
      </c>
      <c r="E1789" s="4">
        <v>0</v>
      </c>
      <c r="F1789" s="9">
        <v>634.505</v>
      </c>
      <c r="G1789" s="6">
        <v>32185</v>
      </c>
      <c r="H1789" s="9">
        <f t="shared" si="27"/>
        <v>634.505</v>
      </c>
      <c r="I1789" s="6">
        <v>12150</v>
      </c>
      <c r="J1789" s="6">
        <f>VLOOKUP(Table1[[#This Row],[Province]],[1]Sheet1!$A$3:$F$37,6,FALSE)</f>
        <v>39293000</v>
      </c>
      <c r="K1789">
        <v>1</v>
      </c>
      <c r="L1789" s="4">
        <v>7.5360639999999997</v>
      </c>
      <c r="M1789" s="4">
        <v>112.23840199999999</v>
      </c>
      <c r="N1789" s="13">
        <v>3.56</v>
      </c>
      <c r="P1789"/>
      <c r="Q1789" s="12"/>
      <c r="R1789" s="12"/>
    </row>
    <row r="1790" spans="1:18" x14ac:dyDescent="0.2">
      <c r="A1790">
        <v>15</v>
      </c>
      <c r="B1790" t="s">
        <v>11</v>
      </c>
      <c r="C1790">
        <v>2022</v>
      </c>
      <c r="D1790">
        <v>1</v>
      </c>
      <c r="E1790" s="6">
        <v>0</v>
      </c>
      <c r="F1790" s="9">
        <v>623.92899999999997</v>
      </c>
      <c r="G1790" s="6">
        <v>44541</v>
      </c>
      <c r="H1790" s="9">
        <f t="shared" si="27"/>
        <v>623.92899999999997</v>
      </c>
      <c r="I1790" s="6">
        <v>13060</v>
      </c>
      <c r="J1790" s="6">
        <f>VLOOKUP(Table1[[#This Row],[Province]],[1]Sheet1!$A$3:$F$37,6,FALSE)</f>
        <v>39293000</v>
      </c>
      <c r="K1790">
        <v>0</v>
      </c>
      <c r="L1790" s="4">
        <v>7.5360639999999997</v>
      </c>
      <c r="M1790" s="4">
        <v>112.23840199999999</v>
      </c>
      <c r="N1790" s="13">
        <v>5.34</v>
      </c>
      <c r="P1790"/>
      <c r="Q1790" s="12"/>
      <c r="R1790" s="12"/>
    </row>
    <row r="1791" spans="1:18" x14ac:dyDescent="0.2">
      <c r="A1791">
        <v>15</v>
      </c>
      <c r="B1791" t="s">
        <v>11</v>
      </c>
      <c r="C1791">
        <v>2022</v>
      </c>
      <c r="D1791">
        <v>2</v>
      </c>
      <c r="E1791" s="6">
        <v>0</v>
      </c>
      <c r="F1791" s="9">
        <v>296.47199999999998</v>
      </c>
      <c r="G1791" s="6">
        <v>35787</v>
      </c>
      <c r="H1791" s="9">
        <f t="shared" si="27"/>
        <v>296.47199999999998</v>
      </c>
      <c r="I1791" s="6">
        <v>13283</v>
      </c>
      <c r="J1791" s="6">
        <f>VLOOKUP(Table1[[#This Row],[Province]],[1]Sheet1!$A$3:$F$37,6,FALSE)</f>
        <v>39293000</v>
      </c>
      <c r="K1791">
        <v>0</v>
      </c>
      <c r="L1791" s="4">
        <v>7.5360639999999997</v>
      </c>
      <c r="M1791" s="4">
        <v>112.23840199999999</v>
      </c>
      <c r="N1791" s="13">
        <v>5.34</v>
      </c>
      <c r="P1791"/>
      <c r="Q1791" s="12"/>
      <c r="R1791" s="12"/>
    </row>
    <row r="1792" spans="1:18" x14ac:dyDescent="0.2">
      <c r="A1792">
        <v>15</v>
      </c>
      <c r="B1792" t="s">
        <v>11</v>
      </c>
      <c r="C1792">
        <v>2022</v>
      </c>
      <c r="D1792">
        <v>3</v>
      </c>
      <c r="E1792" s="6">
        <v>0</v>
      </c>
      <c r="F1792" s="9">
        <v>323.113</v>
      </c>
      <c r="G1792" s="6">
        <v>42006</v>
      </c>
      <c r="H1792" s="9">
        <f t="shared" si="27"/>
        <v>323.113</v>
      </c>
      <c r="I1792" s="6">
        <v>13473</v>
      </c>
      <c r="J1792" s="6">
        <f>VLOOKUP(Table1[[#This Row],[Province]],[1]Sheet1!$A$3:$F$37,6,FALSE)</f>
        <v>39293000</v>
      </c>
      <c r="K1792">
        <v>0</v>
      </c>
      <c r="L1792" s="4">
        <v>7.5360639999999997</v>
      </c>
      <c r="M1792" s="4">
        <v>112.23840199999999</v>
      </c>
      <c r="N1792" s="13">
        <v>5.34</v>
      </c>
      <c r="P1792"/>
      <c r="Q1792" s="12"/>
      <c r="R1792" s="12"/>
    </row>
    <row r="1793" spans="1:18" x14ac:dyDescent="0.2">
      <c r="A1793">
        <v>15</v>
      </c>
      <c r="B1793" t="s">
        <v>11</v>
      </c>
      <c r="C1793">
        <v>2022</v>
      </c>
      <c r="D1793">
        <v>4</v>
      </c>
      <c r="E1793" s="6">
        <v>0</v>
      </c>
      <c r="F1793" s="9">
        <v>453.82900000000001</v>
      </c>
      <c r="G1793" s="6">
        <v>34191</v>
      </c>
      <c r="H1793" s="9">
        <f t="shared" si="27"/>
        <v>453.82900000000001</v>
      </c>
      <c r="I1793" s="6">
        <v>13939</v>
      </c>
      <c r="J1793" s="6">
        <f>VLOOKUP(Table1[[#This Row],[Province]],[1]Sheet1!$A$3:$F$37,6,FALSE)</f>
        <v>39293000</v>
      </c>
      <c r="K1793">
        <v>1</v>
      </c>
      <c r="L1793" s="4">
        <v>7.5360639999999997</v>
      </c>
      <c r="M1793" s="4">
        <v>112.23840199999999</v>
      </c>
      <c r="N1793" s="13">
        <v>5.34</v>
      </c>
      <c r="P1793"/>
      <c r="Q1793" s="12"/>
      <c r="R1793" s="12"/>
    </row>
    <row r="1794" spans="1:18" x14ac:dyDescent="0.2">
      <c r="A1794">
        <v>15</v>
      </c>
      <c r="B1794" t="s">
        <v>11</v>
      </c>
      <c r="C1794">
        <v>2022</v>
      </c>
      <c r="D1794">
        <v>5</v>
      </c>
      <c r="E1794" s="6">
        <v>34749</v>
      </c>
      <c r="F1794" s="9">
        <v>419.80399999999997</v>
      </c>
      <c r="G1794" s="6">
        <v>34890</v>
      </c>
      <c r="H1794" s="9">
        <f t="shared" ref="H1794:H1857" si="28">F1794+E1794</f>
        <v>35168.803999999996</v>
      </c>
      <c r="I1794" s="6">
        <v>13910</v>
      </c>
      <c r="J1794" s="6">
        <f>VLOOKUP(Table1[[#This Row],[Province]],[1]Sheet1!$A$3:$F$37,6,FALSE)</f>
        <v>39293000</v>
      </c>
      <c r="K1794">
        <v>0</v>
      </c>
      <c r="L1794" s="4">
        <v>7.5360639999999997</v>
      </c>
      <c r="M1794" s="4">
        <v>112.23840199999999</v>
      </c>
      <c r="N1794" s="13">
        <v>5.34</v>
      </c>
      <c r="P1794"/>
      <c r="Q1794" s="12"/>
      <c r="R1794" s="12"/>
    </row>
    <row r="1795" spans="1:18" x14ac:dyDescent="0.2">
      <c r="A1795">
        <v>15</v>
      </c>
      <c r="B1795" t="s">
        <v>11</v>
      </c>
      <c r="C1795">
        <v>2022</v>
      </c>
      <c r="D1795">
        <v>6</v>
      </c>
      <c r="E1795" s="6">
        <v>196021</v>
      </c>
      <c r="F1795" s="9">
        <v>639.08900000000006</v>
      </c>
      <c r="G1795" s="6">
        <v>40374</v>
      </c>
      <c r="H1795" s="9">
        <f t="shared" si="28"/>
        <v>196660.08900000001</v>
      </c>
      <c r="I1795" s="6">
        <v>13529</v>
      </c>
      <c r="J1795" s="6">
        <f>VLOOKUP(Table1[[#This Row],[Province]],[1]Sheet1!$A$3:$F$37,6,FALSE)</f>
        <v>39293000</v>
      </c>
      <c r="K1795">
        <v>0</v>
      </c>
      <c r="L1795" s="4">
        <v>7.5360639999999997</v>
      </c>
      <c r="M1795" s="4">
        <v>112.23840199999999</v>
      </c>
      <c r="N1795" s="13">
        <v>5.34</v>
      </c>
      <c r="P1795"/>
      <c r="Q1795" s="12"/>
      <c r="R1795" s="12"/>
    </row>
    <row r="1796" spans="1:18" x14ac:dyDescent="0.2">
      <c r="A1796">
        <v>15</v>
      </c>
      <c r="B1796" t="s">
        <v>11</v>
      </c>
      <c r="C1796">
        <v>2022</v>
      </c>
      <c r="D1796">
        <v>7</v>
      </c>
      <c r="E1796" s="6">
        <v>223131</v>
      </c>
      <c r="F1796" s="9">
        <v>813.13800000000003</v>
      </c>
      <c r="G1796" s="6">
        <v>38315</v>
      </c>
      <c r="H1796" s="9">
        <f t="shared" si="28"/>
        <v>223944.13800000001</v>
      </c>
      <c r="I1796" s="6">
        <v>13069</v>
      </c>
      <c r="J1796" s="6">
        <f>VLOOKUP(Table1[[#This Row],[Province]],[1]Sheet1!$A$3:$F$37,6,FALSE)</f>
        <v>39293000</v>
      </c>
      <c r="K1796">
        <v>0</v>
      </c>
      <c r="L1796" s="4">
        <v>7.5360639999999997</v>
      </c>
      <c r="M1796" s="4">
        <v>112.23840199999999</v>
      </c>
      <c r="N1796" s="13">
        <v>5.34</v>
      </c>
      <c r="P1796"/>
      <c r="Q1796" s="12"/>
      <c r="R1796" s="12"/>
    </row>
    <row r="1797" spans="1:18" x14ac:dyDescent="0.2">
      <c r="A1797">
        <v>15</v>
      </c>
      <c r="B1797" t="s">
        <v>11</v>
      </c>
      <c r="C1797">
        <v>2022</v>
      </c>
      <c r="D1797">
        <v>8</v>
      </c>
      <c r="E1797" s="6">
        <v>260642</v>
      </c>
      <c r="F1797" s="9">
        <v>468.55900000000003</v>
      </c>
      <c r="G1797" s="6">
        <v>60605</v>
      </c>
      <c r="H1797" s="9">
        <f t="shared" si="28"/>
        <v>261110.55900000001</v>
      </c>
      <c r="I1797" s="6">
        <v>12977</v>
      </c>
      <c r="J1797" s="6">
        <f>VLOOKUP(Table1[[#This Row],[Province]],[1]Sheet1!$A$3:$F$37,6,FALSE)</f>
        <v>39293000</v>
      </c>
      <c r="K1797">
        <v>0</v>
      </c>
      <c r="L1797" s="4">
        <v>7.5360639999999997</v>
      </c>
      <c r="M1797" s="4">
        <v>112.23840199999999</v>
      </c>
      <c r="N1797" s="13">
        <v>5.34</v>
      </c>
      <c r="P1797"/>
      <c r="Q1797" s="12"/>
      <c r="R1797" s="12"/>
    </row>
    <row r="1798" spans="1:18" x14ac:dyDescent="0.2">
      <c r="A1798">
        <v>15</v>
      </c>
      <c r="B1798" t="s">
        <v>11</v>
      </c>
      <c r="C1798">
        <v>2022</v>
      </c>
      <c r="D1798">
        <v>9</v>
      </c>
      <c r="E1798" s="6">
        <v>237311</v>
      </c>
      <c r="F1798" s="9">
        <v>725.80399999999997</v>
      </c>
      <c r="G1798" s="6">
        <v>24514</v>
      </c>
      <c r="H1798" s="9">
        <f t="shared" si="28"/>
        <v>238036.804</v>
      </c>
      <c r="I1798" s="6">
        <v>12339</v>
      </c>
      <c r="J1798" s="6">
        <f>VLOOKUP(Table1[[#This Row],[Province]],[1]Sheet1!$A$3:$F$37,6,FALSE)</f>
        <v>39293000</v>
      </c>
      <c r="K1798">
        <v>0</v>
      </c>
      <c r="L1798" s="4">
        <v>7.5360639999999997</v>
      </c>
      <c r="M1798" s="4">
        <v>112.23840199999999</v>
      </c>
      <c r="N1798" s="13">
        <v>5.34</v>
      </c>
      <c r="P1798"/>
      <c r="Q1798" s="12"/>
      <c r="R1798" s="12"/>
    </row>
    <row r="1799" spans="1:18" x14ac:dyDescent="0.2">
      <c r="A1799">
        <v>15</v>
      </c>
      <c r="B1799" t="s">
        <v>11</v>
      </c>
      <c r="C1799">
        <v>2022</v>
      </c>
      <c r="D1799">
        <v>10</v>
      </c>
      <c r="E1799" s="6">
        <v>135509</v>
      </c>
      <c r="F1799" s="9">
        <v>684.27099999999996</v>
      </c>
      <c r="G1799" s="6">
        <v>36703</v>
      </c>
      <c r="H1799" s="9">
        <f t="shared" si="28"/>
        <v>136193.27100000001</v>
      </c>
      <c r="I1799" s="6">
        <v>12327</v>
      </c>
      <c r="J1799" s="6">
        <f>VLOOKUP(Table1[[#This Row],[Province]],[1]Sheet1!$A$3:$F$37,6,FALSE)</f>
        <v>39293000</v>
      </c>
      <c r="K1799">
        <v>0</v>
      </c>
      <c r="L1799" s="4">
        <v>7.5360639999999997</v>
      </c>
      <c r="M1799" s="4">
        <v>112.23840199999999</v>
      </c>
      <c r="N1799" s="13">
        <v>5.34</v>
      </c>
      <c r="P1799"/>
      <c r="Q1799" s="12"/>
      <c r="R1799" s="12"/>
    </row>
    <row r="1800" spans="1:18" x14ac:dyDescent="0.2">
      <c r="A1800">
        <v>15</v>
      </c>
      <c r="B1800" t="s">
        <v>11</v>
      </c>
      <c r="C1800">
        <v>2022</v>
      </c>
      <c r="D1800">
        <v>11</v>
      </c>
      <c r="E1800" s="6">
        <v>49588</v>
      </c>
      <c r="F1800" s="9">
        <v>630.4</v>
      </c>
      <c r="G1800" s="6">
        <v>42746</v>
      </c>
      <c r="H1800" s="9">
        <f t="shared" si="28"/>
        <v>50218.400000000001</v>
      </c>
      <c r="I1800" s="6">
        <v>13005</v>
      </c>
      <c r="J1800" s="6">
        <f>VLOOKUP(Table1[[#This Row],[Province]],[1]Sheet1!$A$3:$F$37,6,FALSE)</f>
        <v>39293000</v>
      </c>
      <c r="K1800">
        <v>0</v>
      </c>
      <c r="L1800" s="4">
        <v>7.5360639999999997</v>
      </c>
      <c r="M1800" s="4">
        <v>112.23840199999999</v>
      </c>
      <c r="N1800" s="13">
        <v>5.34</v>
      </c>
      <c r="P1800"/>
      <c r="Q1800" s="12"/>
      <c r="R1800" s="12"/>
    </row>
    <row r="1801" spans="1:18" x14ac:dyDescent="0.2">
      <c r="A1801">
        <v>15</v>
      </c>
      <c r="B1801" t="s">
        <v>11</v>
      </c>
      <c r="C1801">
        <v>2022</v>
      </c>
      <c r="D1801">
        <v>12</v>
      </c>
      <c r="E1801" s="6">
        <v>2201</v>
      </c>
      <c r="F1801" s="9">
        <v>728.67100000000005</v>
      </c>
      <c r="G1801" s="6">
        <v>37419</v>
      </c>
      <c r="H1801" s="9">
        <f t="shared" si="28"/>
        <v>2929.6710000000003</v>
      </c>
      <c r="I1801" s="6">
        <v>13095</v>
      </c>
      <c r="J1801" s="6">
        <f>VLOOKUP(Table1[[#This Row],[Province]],[1]Sheet1!$A$3:$F$37,6,FALSE)</f>
        <v>39293000</v>
      </c>
      <c r="K1801">
        <v>1</v>
      </c>
      <c r="L1801" s="4">
        <v>7.5360639999999997</v>
      </c>
      <c r="M1801" s="4">
        <v>112.23840199999999</v>
      </c>
      <c r="N1801" s="13">
        <v>5.34</v>
      </c>
      <c r="P1801"/>
      <c r="Q1801" s="12"/>
      <c r="R1801" s="12"/>
    </row>
    <row r="1802" spans="1:18" x14ac:dyDescent="0.2">
      <c r="A1802">
        <v>16</v>
      </c>
      <c r="B1802" t="s">
        <v>4</v>
      </c>
      <c r="C1802">
        <v>2013</v>
      </c>
      <c r="D1802">
        <v>1</v>
      </c>
      <c r="E1802" s="4">
        <v>0</v>
      </c>
      <c r="F1802" s="9">
        <v>0</v>
      </c>
      <c r="G1802" s="6">
        <v>7774</v>
      </c>
      <c r="H1802" s="9">
        <f t="shared" si="28"/>
        <v>0</v>
      </c>
      <c r="I1802" s="6">
        <v>10986</v>
      </c>
      <c r="J1802" s="6">
        <f>VLOOKUP(Table1[[#This Row],[Province]],[1]Sheet1!$A$3:$F$37,6,FALSE)</f>
        <v>12448200</v>
      </c>
      <c r="K1802">
        <v>0</v>
      </c>
      <c r="L1802" s="4">
        <v>6.4058169999999999</v>
      </c>
      <c r="M1802" s="4">
        <v>106.064018</v>
      </c>
      <c r="N1802" s="6"/>
      <c r="P1802"/>
      <c r="Q1802" s="12"/>
      <c r="R1802" s="12"/>
    </row>
    <row r="1803" spans="1:18" x14ac:dyDescent="0.2">
      <c r="A1803">
        <v>16</v>
      </c>
      <c r="B1803" t="s">
        <v>4</v>
      </c>
      <c r="C1803">
        <v>2013</v>
      </c>
      <c r="D1803">
        <v>2</v>
      </c>
      <c r="E1803" s="4">
        <v>0</v>
      </c>
      <c r="F1803" s="9">
        <v>0</v>
      </c>
      <c r="G1803" s="6">
        <v>7452</v>
      </c>
      <c r="H1803" s="9">
        <f t="shared" si="28"/>
        <v>0</v>
      </c>
      <c r="I1803" s="6">
        <v>11058</v>
      </c>
      <c r="J1803" s="6">
        <f>VLOOKUP(Table1[[#This Row],[Province]],[1]Sheet1!$A$3:$F$37,6,FALSE)</f>
        <v>12448200</v>
      </c>
      <c r="K1803">
        <v>0</v>
      </c>
      <c r="L1803" s="4">
        <v>6.4058169999999999</v>
      </c>
      <c r="M1803" s="4">
        <v>106.064018</v>
      </c>
      <c r="N1803" s="6"/>
      <c r="P1803"/>
      <c r="Q1803" s="12"/>
      <c r="R1803" s="12"/>
    </row>
    <row r="1804" spans="1:18" x14ac:dyDescent="0.2">
      <c r="A1804">
        <v>16</v>
      </c>
      <c r="B1804" t="s">
        <v>4</v>
      </c>
      <c r="C1804">
        <v>2013</v>
      </c>
      <c r="D1804">
        <v>3</v>
      </c>
      <c r="E1804" s="4">
        <v>0</v>
      </c>
      <c r="F1804" s="9">
        <v>0</v>
      </c>
      <c r="G1804" s="6">
        <v>7682</v>
      </c>
      <c r="H1804" s="9">
        <f t="shared" si="28"/>
        <v>0</v>
      </c>
      <c r="I1804" s="6">
        <v>11069</v>
      </c>
      <c r="J1804" s="6">
        <f>VLOOKUP(Table1[[#This Row],[Province]],[1]Sheet1!$A$3:$F$37,6,FALSE)</f>
        <v>12448200</v>
      </c>
      <c r="K1804">
        <v>0</v>
      </c>
      <c r="L1804" s="4">
        <v>6.4058169999999999</v>
      </c>
      <c r="M1804" s="4">
        <v>106.064018</v>
      </c>
      <c r="N1804" s="6"/>
      <c r="P1804"/>
      <c r="Q1804" s="12"/>
      <c r="R1804" s="12"/>
    </row>
    <row r="1805" spans="1:18" x14ac:dyDescent="0.2">
      <c r="A1805">
        <v>16</v>
      </c>
      <c r="B1805" t="s">
        <v>4</v>
      </c>
      <c r="C1805">
        <v>2013</v>
      </c>
      <c r="D1805">
        <v>4</v>
      </c>
      <c r="E1805" s="4">
        <v>0</v>
      </c>
      <c r="F1805" s="9">
        <v>0</v>
      </c>
      <c r="G1805" s="6">
        <v>9982</v>
      </c>
      <c r="H1805" s="9">
        <f t="shared" si="28"/>
        <v>0</v>
      </c>
      <c r="I1805" s="6">
        <v>11105</v>
      </c>
      <c r="J1805" s="6">
        <f>VLOOKUP(Table1[[#This Row],[Province]],[1]Sheet1!$A$3:$F$37,6,FALSE)</f>
        <v>12448200</v>
      </c>
      <c r="K1805">
        <v>0</v>
      </c>
      <c r="L1805" s="4">
        <v>6.4058169999999999</v>
      </c>
      <c r="M1805" s="4">
        <v>106.064018</v>
      </c>
      <c r="N1805" s="6"/>
      <c r="P1805"/>
      <c r="Q1805" s="12"/>
      <c r="R1805" s="12"/>
    </row>
    <row r="1806" spans="1:18" x14ac:dyDescent="0.2">
      <c r="A1806">
        <v>16</v>
      </c>
      <c r="B1806" t="s">
        <v>4</v>
      </c>
      <c r="C1806">
        <v>2013</v>
      </c>
      <c r="D1806">
        <v>5</v>
      </c>
      <c r="E1806" s="4">
        <v>0</v>
      </c>
      <c r="F1806" s="9">
        <v>0</v>
      </c>
      <c r="G1806" s="6">
        <v>12098</v>
      </c>
      <c r="H1806" s="9">
        <f t="shared" si="28"/>
        <v>0</v>
      </c>
      <c r="I1806" s="6">
        <v>11415</v>
      </c>
      <c r="J1806" s="6">
        <f>VLOOKUP(Table1[[#This Row],[Province]],[1]Sheet1!$A$3:$F$37,6,FALSE)</f>
        <v>12448200</v>
      </c>
      <c r="K1806">
        <v>0</v>
      </c>
      <c r="L1806" s="4">
        <v>6.4058169999999999</v>
      </c>
      <c r="M1806" s="4">
        <v>106.064018</v>
      </c>
      <c r="N1806" s="6"/>
      <c r="P1806"/>
      <c r="Q1806" s="12"/>
      <c r="R1806" s="12"/>
    </row>
    <row r="1807" spans="1:18" x14ac:dyDescent="0.2">
      <c r="A1807">
        <v>16</v>
      </c>
      <c r="B1807" t="s">
        <v>4</v>
      </c>
      <c r="C1807">
        <v>2013</v>
      </c>
      <c r="D1807">
        <v>6</v>
      </c>
      <c r="E1807" s="4">
        <v>0</v>
      </c>
      <c r="F1807" s="9">
        <v>0</v>
      </c>
      <c r="G1807" s="6">
        <v>10074</v>
      </c>
      <c r="H1807" s="9">
        <f t="shared" si="28"/>
        <v>0</v>
      </c>
      <c r="I1807" s="6">
        <v>11312</v>
      </c>
      <c r="J1807" s="6">
        <f>VLOOKUP(Table1[[#This Row],[Province]],[1]Sheet1!$A$3:$F$37,6,FALSE)</f>
        <v>12448200</v>
      </c>
      <c r="K1807">
        <v>0</v>
      </c>
      <c r="L1807" s="4">
        <v>6.4058169999999999</v>
      </c>
      <c r="M1807" s="4">
        <v>106.064018</v>
      </c>
      <c r="N1807" s="6"/>
      <c r="P1807"/>
      <c r="Q1807" s="12"/>
      <c r="R1807" s="12"/>
    </row>
    <row r="1808" spans="1:18" x14ac:dyDescent="0.2">
      <c r="A1808">
        <v>16</v>
      </c>
      <c r="B1808" t="s">
        <v>4</v>
      </c>
      <c r="C1808">
        <v>2013</v>
      </c>
      <c r="D1808">
        <v>7</v>
      </c>
      <c r="E1808" s="4">
        <v>0</v>
      </c>
      <c r="F1808" s="9">
        <v>0</v>
      </c>
      <c r="G1808" s="6">
        <v>17480</v>
      </c>
      <c r="H1808" s="9">
        <f t="shared" si="28"/>
        <v>0</v>
      </c>
      <c r="I1808" s="6">
        <v>12430</v>
      </c>
      <c r="J1808" s="6">
        <f>VLOOKUP(Table1[[#This Row],[Province]],[1]Sheet1!$A$3:$F$37,6,FALSE)</f>
        <v>12448200</v>
      </c>
      <c r="K1808">
        <v>1</v>
      </c>
      <c r="L1808" s="4">
        <v>6.4058169999999999</v>
      </c>
      <c r="M1808" s="4">
        <v>106.064018</v>
      </c>
      <c r="N1808" s="6"/>
      <c r="P1808"/>
      <c r="Q1808" s="12"/>
      <c r="R1808" s="12"/>
    </row>
    <row r="1809" spans="1:18" x14ac:dyDescent="0.2">
      <c r="A1809">
        <v>16</v>
      </c>
      <c r="B1809" t="s">
        <v>4</v>
      </c>
      <c r="C1809">
        <v>2013</v>
      </c>
      <c r="D1809">
        <v>8</v>
      </c>
      <c r="E1809" s="4">
        <v>0</v>
      </c>
      <c r="F1809" s="9">
        <v>0</v>
      </c>
      <c r="G1809" s="6">
        <v>6394</v>
      </c>
      <c r="H1809" s="9">
        <f t="shared" si="28"/>
        <v>0</v>
      </c>
      <c r="I1809" s="6">
        <v>10902</v>
      </c>
      <c r="J1809" s="6">
        <f>VLOOKUP(Table1[[#This Row],[Province]],[1]Sheet1!$A$3:$F$37,6,FALSE)</f>
        <v>12448200</v>
      </c>
      <c r="K1809">
        <v>0</v>
      </c>
      <c r="L1809" s="4">
        <v>6.4058169999999999</v>
      </c>
      <c r="M1809" s="4">
        <v>106.064018</v>
      </c>
      <c r="N1809" s="6"/>
      <c r="P1809"/>
      <c r="Q1809" s="12"/>
      <c r="R1809" s="12"/>
    </row>
    <row r="1810" spans="1:18" x14ac:dyDescent="0.2">
      <c r="A1810">
        <v>16</v>
      </c>
      <c r="B1810" t="s">
        <v>4</v>
      </c>
      <c r="C1810">
        <v>2013</v>
      </c>
      <c r="D1810">
        <v>9</v>
      </c>
      <c r="E1810" s="4">
        <v>0</v>
      </c>
      <c r="F1810" s="9">
        <v>0</v>
      </c>
      <c r="G1810" s="6">
        <v>13662</v>
      </c>
      <c r="H1810" s="9">
        <f t="shared" si="28"/>
        <v>0</v>
      </c>
      <c r="I1810" s="6">
        <v>11044</v>
      </c>
      <c r="J1810" s="6">
        <f>VLOOKUP(Table1[[#This Row],[Province]],[1]Sheet1!$A$3:$F$37,6,FALSE)</f>
        <v>12448200</v>
      </c>
      <c r="K1810">
        <v>0</v>
      </c>
      <c r="L1810" s="4">
        <v>6.4058169999999999</v>
      </c>
      <c r="M1810" s="4">
        <v>106.064018</v>
      </c>
      <c r="N1810" s="6"/>
      <c r="P1810"/>
      <c r="Q1810" s="12"/>
      <c r="R1810" s="12"/>
    </row>
    <row r="1811" spans="1:18" x14ac:dyDescent="0.2">
      <c r="A1811">
        <v>16</v>
      </c>
      <c r="B1811" t="s">
        <v>4</v>
      </c>
      <c r="C1811">
        <v>2013</v>
      </c>
      <c r="D1811">
        <v>10</v>
      </c>
      <c r="E1811" s="4">
        <v>0</v>
      </c>
      <c r="F1811" s="9">
        <v>0</v>
      </c>
      <c r="G1811" s="6">
        <v>11178</v>
      </c>
      <c r="H1811" s="9">
        <f t="shared" si="28"/>
        <v>0</v>
      </c>
      <c r="I1811" s="6">
        <v>10780</v>
      </c>
      <c r="J1811" s="6">
        <f>VLOOKUP(Table1[[#This Row],[Province]],[1]Sheet1!$A$3:$F$37,6,FALSE)</f>
        <v>12448200</v>
      </c>
      <c r="K1811">
        <v>0</v>
      </c>
      <c r="L1811" s="4">
        <v>6.4058169999999999</v>
      </c>
      <c r="M1811" s="4">
        <v>106.064018</v>
      </c>
      <c r="N1811" s="6"/>
      <c r="P1811"/>
      <c r="Q1811" s="12"/>
      <c r="R1811" s="12"/>
    </row>
    <row r="1812" spans="1:18" x14ac:dyDescent="0.2">
      <c r="A1812">
        <v>16</v>
      </c>
      <c r="B1812" t="s">
        <v>4</v>
      </c>
      <c r="C1812">
        <v>2013</v>
      </c>
      <c r="D1812">
        <v>11</v>
      </c>
      <c r="E1812" s="4">
        <v>0</v>
      </c>
      <c r="F1812" s="9">
        <v>0</v>
      </c>
      <c r="G1812" s="6">
        <v>8234</v>
      </c>
      <c r="H1812" s="9">
        <f t="shared" si="28"/>
        <v>0</v>
      </c>
      <c r="I1812" s="6">
        <v>10553</v>
      </c>
      <c r="J1812" s="6">
        <f>VLOOKUP(Table1[[#This Row],[Province]],[1]Sheet1!$A$3:$F$37,6,FALSE)</f>
        <v>12448200</v>
      </c>
      <c r="K1812">
        <v>0</v>
      </c>
      <c r="L1812" s="4">
        <v>6.4058169999999999</v>
      </c>
      <c r="M1812" s="4">
        <v>106.064018</v>
      </c>
      <c r="N1812" s="6"/>
      <c r="P1812"/>
      <c r="Q1812" s="12"/>
      <c r="R1812" s="12"/>
    </row>
    <row r="1813" spans="1:18" x14ac:dyDescent="0.2">
      <c r="A1813">
        <v>16</v>
      </c>
      <c r="B1813" t="s">
        <v>4</v>
      </c>
      <c r="C1813">
        <v>2013</v>
      </c>
      <c r="D1813">
        <v>12</v>
      </c>
      <c r="E1813" s="4">
        <v>0</v>
      </c>
      <c r="F1813" s="9">
        <v>0</v>
      </c>
      <c r="G1813" s="6">
        <v>11454</v>
      </c>
      <c r="H1813" s="9">
        <f t="shared" si="28"/>
        <v>0</v>
      </c>
      <c r="I1813" s="6">
        <v>10605</v>
      </c>
      <c r="J1813" s="6">
        <f>VLOOKUP(Table1[[#This Row],[Province]],[1]Sheet1!$A$3:$F$37,6,FALSE)</f>
        <v>12448200</v>
      </c>
      <c r="K1813">
        <v>1</v>
      </c>
      <c r="L1813" s="4">
        <v>6.4058169999999999</v>
      </c>
      <c r="M1813" s="4">
        <v>106.064018</v>
      </c>
      <c r="N1813" s="6"/>
      <c r="P1813"/>
      <c r="Q1813" s="12"/>
      <c r="R1813" s="12"/>
    </row>
    <row r="1814" spans="1:18" x14ac:dyDescent="0.2">
      <c r="A1814">
        <v>16</v>
      </c>
      <c r="B1814" t="s">
        <v>4</v>
      </c>
      <c r="C1814">
        <v>2014</v>
      </c>
      <c r="D1814">
        <v>1</v>
      </c>
      <c r="E1814" s="4">
        <v>0</v>
      </c>
      <c r="F1814" s="9">
        <v>0</v>
      </c>
      <c r="G1814" s="6">
        <v>8088</v>
      </c>
      <c r="H1814" s="9">
        <f t="shared" si="28"/>
        <v>0</v>
      </c>
      <c r="I1814" s="6">
        <v>10495</v>
      </c>
      <c r="J1814" s="6">
        <f>VLOOKUP(Table1[[#This Row],[Province]],[1]Sheet1!$A$3:$F$37,6,FALSE)</f>
        <v>12448200</v>
      </c>
      <c r="K1814">
        <v>0</v>
      </c>
      <c r="L1814" s="4">
        <v>6.4058169999999999</v>
      </c>
      <c r="M1814" s="4">
        <v>106.064018</v>
      </c>
      <c r="N1814" s="6"/>
      <c r="P1814"/>
      <c r="Q1814" s="12"/>
      <c r="R1814" s="12"/>
    </row>
    <row r="1815" spans="1:18" x14ac:dyDescent="0.2">
      <c r="A1815">
        <v>16</v>
      </c>
      <c r="B1815" t="s">
        <v>4</v>
      </c>
      <c r="C1815">
        <v>2014</v>
      </c>
      <c r="D1815">
        <v>2</v>
      </c>
      <c r="E1815" s="4">
        <v>0</v>
      </c>
      <c r="F1815" s="9">
        <v>0</v>
      </c>
      <c r="G1815" s="6">
        <v>7215</v>
      </c>
      <c r="H1815" s="9">
        <f t="shared" si="28"/>
        <v>0</v>
      </c>
      <c r="I1815" s="6">
        <v>10689</v>
      </c>
      <c r="J1815" s="6">
        <f>VLOOKUP(Table1[[#This Row],[Province]],[1]Sheet1!$A$3:$F$37,6,FALSE)</f>
        <v>12448200</v>
      </c>
      <c r="K1815">
        <v>0</v>
      </c>
      <c r="L1815" s="4">
        <v>6.4058169999999999</v>
      </c>
      <c r="M1815" s="4">
        <v>106.064018</v>
      </c>
      <c r="N1815" s="6"/>
      <c r="P1815"/>
      <c r="Q1815" s="12"/>
      <c r="R1815" s="12"/>
    </row>
    <row r="1816" spans="1:18" x14ac:dyDescent="0.2">
      <c r="A1816">
        <v>16</v>
      </c>
      <c r="B1816" t="s">
        <v>4</v>
      </c>
      <c r="C1816">
        <v>2014</v>
      </c>
      <c r="D1816">
        <v>3</v>
      </c>
      <c r="E1816" s="4">
        <v>0</v>
      </c>
      <c r="F1816" s="9">
        <v>0</v>
      </c>
      <c r="G1816" s="6">
        <v>8101</v>
      </c>
      <c r="H1816" s="9">
        <f t="shared" si="28"/>
        <v>0</v>
      </c>
      <c r="I1816" s="6">
        <v>10682</v>
      </c>
      <c r="J1816" s="6">
        <f>VLOOKUP(Table1[[#This Row],[Province]],[1]Sheet1!$A$3:$F$37,6,FALSE)</f>
        <v>12448200</v>
      </c>
      <c r="K1816">
        <v>0</v>
      </c>
      <c r="L1816" s="4">
        <v>6.4058169999999999</v>
      </c>
      <c r="M1816" s="4">
        <v>106.064018</v>
      </c>
      <c r="N1816" s="6"/>
      <c r="P1816"/>
      <c r="Q1816" s="12"/>
      <c r="R1816" s="12"/>
    </row>
    <row r="1817" spans="1:18" x14ac:dyDescent="0.2">
      <c r="A1817">
        <v>16</v>
      </c>
      <c r="B1817" t="s">
        <v>4</v>
      </c>
      <c r="C1817">
        <v>2014</v>
      </c>
      <c r="D1817">
        <v>4</v>
      </c>
      <c r="E1817" s="4">
        <v>0</v>
      </c>
      <c r="F1817" s="9">
        <v>0</v>
      </c>
      <c r="G1817" s="6">
        <v>10435</v>
      </c>
      <c r="H1817" s="9">
        <f t="shared" si="28"/>
        <v>0</v>
      </c>
      <c r="I1817" s="6">
        <v>10504</v>
      </c>
      <c r="J1817" s="6">
        <f>VLOOKUP(Table1[[#This Row],[Province]],[1]Sheet1!$A$3:$F$37,6,FALSE)</f>
        <v>12448200</v>
      </c>
      <c r="K1817">
        <v>0</v>
      </c>
      <c r="L1817" s="4">
        <v>6.4058169999999999</v>
      </c>
      <c r="M1817" s="4">
        <v>106.064018</v>
      </c>
      <c r="N1817" s="6"/>
      <c r="P1817"/>
      <c r="Q1817" s="12"/>
      <c r="R1817" s="12"/>
    </row>
    <row r="1818" spans="1:18" x14ac:dyDescent="0.2">
      <c r="A1818">
        <v>16</v>
      </c>
      <c r="B1818" t="s">
        <v>4</v>
      </c>
      <c r="C1818">
        <v>2014</v>
      </c>
      <c r="D1818">
        <v>5</v>
      </c>
      <c r="E1818" s="4">
        <v>0</v>
      </c>
      <c r="F1818" s="9">
        <v>0</v>
      </c>
      <c r="G1818" s="6">
        <v>11688</v>
      </c>
      <c r="H1818" s="9">
        <f t="shared" si="28"/>
        <v>0</v>
      </c>
      <c r="I1818" s="6">
        <v>10261</v>
      </c>
      <c r="J1818" s="6">
        <f>VLOOKUP(Table1[[#This Row],[Province]],[1]Sheet1!$A$3:$F$37,6,FALSE)</f>
        <v>12448200</v>
      </c>
      <c r="K1818">
        <v>0</v>
      </c>
      <c r="L1818" s="4">
        <v>6.4058169999999999</v>
      </c>
      <c r="M1818" s="4">
        <v>106.064018</v>
      </c>
      <c r="N1818" s="6"/>
      <c r="P1818"/>
      <c r="Q1818" s="12"/>
      <c r="R1818" s="12"/>
    </row>
    <row r="1819" spans="1:18" x14ac:dyDescent="0.2">
      <c r="A1819">
        <v>16</v>
      </c>
      <c r="B1819" t="s">
        <v>4</v>
      </c>
      <c r="C1819">
        <v>2014</v>
      </c>
      <c r="D1819">
        <v>6</v>
      </c>
      <c r="E1819" s="4">
        <v>0</v>
      </c>
      <c r="F1819" s="9">
        <v>0</v>
      </c>
      <c r="G1819" s="6">
        <v>16634</v>
      </c>
      <c r="H1819" s="9">
        <f t="shared" si="28"/>
        <v>0</v>
      </c>
      <c r="I1819" s="6">
        <v>10106</v>
      </c>
      <c r="J1819" s="6">
        <f>VLOOKUP(Table1[[#This Row],[Province]],[1]Sheet1!$A$3:$F$37,6,FALSE)</f>
        <v>12448200</v>
      </c>
      <c r="K1819">
        <v>1</v>
      </c>
      <c r="L1819" s="4">
        <v>6.4058169999999999</v>
      </c>
      <c r="M1819" s="4">
        <v>106.064018</v>
      </c>
      <c r="N1819" s="6"/>
      <c r="P1819"/>
      <c r="Q1819" s="12"/>
      <c r="R1819" s="12"/>
    </row>
    <row r="1820" spans="1:18" x14ac:dyDescent="0.2">
      <c r="A1820">
        <v>16</v>
      </c>
      <c r="B1820" t="s">
        <v>4</v>
      </c>
      <c r="C1820">
        <v>2014</v>
      </c>
      <c r="D1820">
        <v>7</v>
      </c>
      <c r="E1820" s="4">
        <v>0</v>
      </c>
      <c r="F1820" s="9">
        <v>0</v>
      </c>
      <c r="G1820" s="6">
        <v>10435</v>
      </c>
      <c r="H1820" s="9">
        <f t="shared" si="28"/>
        <v>0</v>
      </c>
      <c r="I1820" s="6">
        <v>9852</v>
      </c>
      <c r="J1820" s="6">
        <f>VLOOKUP(Table1[[#This Row],[Province]],[1]Sheet1!$A$3:$F$37,6,FALSE)</f>
        <v>12448200</v>
      </c>
      <c r="K1820">
        <v>0</v>
      </c>
      <c r="L1820" s="4">
        <v>6.4058169999999999</v>
      </c>
      <c r="M1820" s="4">
        <v>106.064018</v>
      </c>
      <c r="N1820" s="6"/>
      <c r="P1820"/>
      <c r="Q1820" s="12"/>
      <c r="R1820" s="12"/>
    </row>
    <row r="1821" spans="1:18" x14ac:dyDescent="0.2">
      <c r="A1821">
        <v>16</v>
      </c>
      <c r="B1821" t="s">
        <v>4</v>
      </c>
      <c r="C1821">
        <v>2014</v>
      </c>
      <c r="D1821">
        <v>8</v>
      </c>
      <c r="E1821" s="4">
        <v>0</v>
      </c>
      <c r="F1821" s="9">
        <v>0</v>
      </c>
      <c r="G1821" s="6">
        <v>10060</v>
      </c>
      <c r="H1821" s="9">
        <f t="shared" si="28"/>
        <v>0</v>
      </c>
      <c r="I1821" s="6">
        <v>10098</v>
      </c>
      <c r="J1821" s="6">
        <f>VLOOKUP(Table1[[#This Row],[Province]],[1]Sheet1!$A$3:$F$37,6,FALSE)</f>
        <v>12448200</v>
      </c>
      <c r="K1821">
        <v>0</v>
      </c>
      <c r="L1821" s="4">
        <v>6.4058169999999999</v>
      </c>
      <c r="M1821" s="4">
        <v>106.064018</v>
      </c>
      <c r="N1821" s="6"/>
      <c r="P1821"/>
      <c r="Q1821" s="12"/>
      <c r="R1821" s="12"/>
    </row>
    <row r="1822" spans="1:18" x14ac:dyDescent="0.2">
      <c r="A1822">
        <v>16</v>
      </c>
      <c r="B1822" t="s">
        <v>4</v>
      </c>
      <c r="C1822">
        <v>2014</v>
      </c>
      <c r="D1822">
        <v>9</v>
      </c>
      <c r="E1822" s="4">
        <v>0</v>
      </c>
      <c r="F1822" s="9">
        <v>0</v>
      </c>
      <c r="G1822" s="6">
        <v>10124</v>
      </c>
      <c r="H1822" s="9">
        <f t="shared" si="28"/>
        <v>0</v>
      </c>
      <c r="I1822" s="6">
        <v>10116</v>
      </c>
      <c r="J1822" s="6">
        <f>VLOOKUP(Table1[[#This Row],[Province]],[1]Sheet1!$A$3:$F$37,6,FALSE)</f>
        <v>12448200</v>
      </c>
      <c r="K1822">
        <v>0</v>
      </c>
      <c r="L1822" s="4">
        <v>6.4058169999999999</v>
      </c>
      <c r="M1822" s="4">
        <v>106.064018</v>
      </c>
      <c r="N1822" s="6"/>
      <c r="P1822"/>
      <c r="Q1822" s="12"/>
      <c r="R1822" s="12"/>
    </row>
    <row r="1823" spans="1:18" x14ac:dyDescent="0.2">
      <c r="A1823">
        <v>16</v>
      </c>
      <c r="B1823" t="s">
        <v>4</v>
      </c>
      <c r="C1823">
        <v>2014</v>
      </c>
      <c r="D1823">
        <v>10</v>
      </c>
      <c r="E1823" s="4">
        <v>0</v>
      </c>
      <c r="F1823" s="9">
        <v>0</v>
      </c>
      <c r="G1823" s="6">
        <v>15020</v>
      </c>
      <c r="H1823" s="9">
        <f t="shared" si="28"/>
        <v>0</v>
      </c>
      <c r="I1823" s="6">
        <v>9806</v>
      </c>
      <c r="J1823" s="6">
        <f>VLOOKUP(Table1[[#This Row],[Province]],[1]Sheet1!$A$3:$F$37,6,FALSE)</f>
        <v>12448200</v>
      </c>
      <c r="K1823">
        <v>0</v>
      </c>
      <c r="L1823" s="4">
        <v>6.4058169999999999</v>
      </c>
      <c r="M1823" s="4">
        <v>106.064018</v>
      </c>
      <c r="N1823" s="6"/>
      <c r="P1823"/>
      <c r="Q1823" s="12"/>
      <c r="R1823" s="12"/>
    </row>
    <row r="1824" spans="1:18" x14ac:dyDescent="0.2">
      <c r="A1824">
        <v>16</v>
      </c>
      <c r="B1824" t="s">
        <v>4</v>
      </c>
      <c r="C1824">
        <v>2014</v>
      </c>
      <c r="D1824">
        <v>11</v>
      </c>
      <c r="E1824" s="4">
        <v>0</v>
      </c>
      <c r="F1824" s="9">
        <v>0</v>
      </c>
      <c r="G1824" s="6">
        <v>11985</v>
      </c>
      <c r="H1824" s="9">
        <f t="shared" si="28"/>
        <v>0</v>
      </c>
      <c r="I1824" s="6">
        <v>9938</v>
      </c>
      <c r="J1824" s="6">
        <f>VLOOKUP(Table1[[#This Row],[Province]],[1]Sheet1!$A$3:$F$37,6,FALSE)</f>
        <v>12448200</v>
      </c>
      <c r="K1824">
        <v>0</v>
      </c>
      <c r="L1824" s="4">
        <v>6.4058169999999999</v>
      </c>
      <c r="M1824" s="4">
        <v>106.064018</v>
      </c>
      <c r="N1824" s="6"/>
      <c r="P1824"/>
      <c r="Q1824" s="12"/>
      <c r="R1824" s="12"/>
    </row>
    <row r="1825" spans="1:18" x14ac:dyDescent="0.2">
      <c r="A1825">
        <v>16</v>
      </c>
      <c r="B1825" t="s">
        <v>4</v>
      </c>
      <c r="C1825">
        <v>2014</v>
      </c>
      <c r="D1825">
        <v>12</v>
      </c>
      <c r="E1825" s="4">
        <v>0</v>
      </c>
      <c r="F1825" s="9">
        <v>0</v>
      </c>
      <c r="G1825" s="6">
        <v>13976</v>
      </c>
      <c r="H1825" s="9">
        <f t="shared" si="28"/>
        <v>0</v>
      </c>
      <c r="I1825" s="6">
        <v>9596</v>
      </c>
      <c r="J1825" s="6">
        <f>VLOOKUP(Table1[[#This Row],[Province]],[1]Sheet1!$A$3:$F$37,6,FALSE)</f>
        <v>12448200</v>
      </c>
      <c r="K1825">
        <v>1</v>
      </c>
      <c r="L1825" s="4">
        <v>6.4058169999999999</v>
      </c>
      <c r="M1825" s="4">
        <v>106.064018</v>
      </c>
      <c r="N1825" s="6"/>
      <c r="P1825"/>
      <c r="Q1825" s="12"/>
      <c r="R1825" s="12"/>
    </row>
    <row r="1826" spans="1:18" x14ac:dyDescent="0.2">
      <c r="A1826">
        <v>16</v>
      </c>
      <c r="B1826" t="s">
        <v>4</v>
      </c>
      <c r="C1826">
        <v>2015</v>
      </c>
      <c r="D1826">
        <v>1</v>
      </c>
      <c r="E1826" s="4">
        <v>0</v>
      </c>
      <c r="F1826" s="9">
        <v>0</v>
      </c>
      <c r="G1826" s="6">
        <v>6928</v>
      </c>
      <c r="H1826" s="9">
        <f t="shared" si="28"/>
        <v>0</v>
      </c>
      <c r="I1826" s="6">
        <v>9548</v>
      </c>
      <c r="J1826" s="6">
        <f>VLOOKUP(Table1[[#This Row],[Province]],[1]Sheet1!$A$3:$F$37,6,FALSE)</f>
        <v>12448200</v>
      </c>
      <c r="K1826">
        <v>0</v>
      </c>
      <c r="L1826" s="4">
        <v>6.4058169999999999</v>
      </c>
      <c r="M1826" s="4">
        <v>106.064018</v>
      </c>
      <c r="N1826" s="6"/>
      <c r="P1826"/>
      <c r="Q1826" s="12"/>
      <c r="R1826" s="12"/>
    </row>
    <row r="1827" spans="1:18" x14ac:dyDescent="0.2">
      <c r="A1827">
        <v>16</v>
      </c>
      <c r="B1827" t="s">
        <v>4</v>
      </c>
      <c r="C1827">
        <v>2015</v>
      </c>
      <c r="D1827">
        <v>2</v>
      </c>
      <c r="E1827" s="4">
        <v>0</v>
      </c>
      <c r="F1827" s="9">
        <v>0</v>
      </c>
      <c r="G1827" s="6">
        <v>17475</v>
      </c>
      <c r="H1827" s="9">
        <f t="shared" si="28"/>
        <v>0</v>
      </c>
      <c r="I1827" s="6">
        <v>9384</v>
      </c>
      <c r="J1827" s="6">
        <f>VLOOKUP(Table1[[#This Row],[Province]],[1]Sheet1!$A$3:$F$37,6,FALSE)</f>
        <v>12448200</v>
      </c>
      <c r="K1827">
        <v>0</v>
      </c>
      <c r="L1827" s="4">
        <v>6.4058169999999999</v>
      </c>
      <c r="M1827" s="4">
        <v>106.064018</v>
      </c>
      <c r="N1827" s="6"/>
      <c r="P1827"/>
      <c r="Q1827" s="12"/>
      <c r="R1827" s="12"/>
    </row>
    <row r="1828" spans="1:18" x14ac:dyDescent="0.2">
      <c r="A1828">
        <v>16</v>
      </c>
      <c r="B1828" t="s">
        <v>4</v>
      </c>
      <c r="C1828">
        <v>2015</v>
      </c>
      <c r="D1828">
        <v>3</v>
      </c>
      <c r="E1828" s="4">
        <v>0</v>
      </c>
      <c r="F1828" s="9">
        <v>0</v>
      </c>
      <c r="G1828" s="6">
        <v>7929</v>
      </c>
      <c r="H1828" s="9">
        <f t="shared" si="28"/>
        <v>0</v>
      </c>
      <c r="I1828" s="6">
        <v>9611</v>
      </c>
      <c r="J1828" s="6">
        <f>VLOOKUP(Table1[[#This Row],[Province]],[1]Sheet1!$A$3:$F$37,6,FALSE)</f>
        <v>12448200</v>
      </c>
      <c r="K1828">
        <v>0</v>
      </c>
      <c r="L1828" s="4">
        <v>6.4058169999999999</v>
      </c>
      <c r="M1828" s="4">
        <v>106.064018</v>
      </c>
      <c r="N1828" s="6"/>
      <c r="P1828"/>
      <c r="Q1828" s="12"/>
      <c r="R1828" s="12"/>
    </row>
    <row r="1829" spans="1:18" x14ac:dyDescent="0.2">
      <c r="A1829">
        <v>16</v>
      </c>
      <c r="B1829" t="s">
        <v>4</v>
      </c>
      <c r="C1829">
        <v>2015</v>
      </c>
      <c r="D1829">
        <v>4</v>
      </c>
      <c r="E1829" s="4">
        <v>0</v>
      </c>
      <c r="F1829" s="9">
        <v>0</v>
      </c>
      <c r="G1829" s="6">
        <v>13135</v>
      </c>
      <c r="H1829" s="9">
        <f t="shared" si="28"/>
        <v>0</v>
      </c>
      <c r="I1829" s="6">
        <v>10223</v>
      </c>
      <c r="J1829" s="6">
        <f>VLOOKUP(Table1[[#This Row],[Province]],[1]Sheet1!$A$3:$F$37,6,FALSE)</f>
        <v>12448200</v>
      </c>
      <c r="K1829">
        <v>0</v>
      </c>
      <c r="L1829" s="4">
        <v>6.4058169999999999</v>
      </c>
      <c r="M1829" s="4">
        <v>106.064018</v>
      </c>
      <c r="N1829" s="6"/>
      <c r="P1829"/>
      <c r="Q1829" s="12"/>
      <c r="R1829" s="12"/>
    </row>
    <row r="1830" spans="1:18" x14ac:dyDescent="0.2">
      <c r="A1830">
        <v>16</v>
      </c>
      <c r="B1830" t="s">
        <v>4</v>
      </c>
      <c r="C1830">
        <v>2015</v>
      </c>
      <c r="D1830">
        <v>5</v>
      </c>
      <c r="E1830" s="4">
        <v>0</v>
      </c>
      <c r="F1830" s="9">
        <v>0</v>
      </c>
      <c r="G1830" s="6">
        <v>12586</v>
      </c>
      <c r="H1830" s="9">
        <f t="shared" si="28"/>
        <v>0</v>
      </c>
      <c r="I1830" s="6">
        <v>11128</v>
      </c>
      <c r="J1830" s="6">
        <f>VLOOKUP(Table1[[#This Row],[Province]],[1]Sheet1!$A$3:$F$37,6,FALSE)</f>
        <v>12448200</v>
      </c>
      <c r="K1830">
        <v>0</v>
      </c>
      <c r="L1830" s="4">
        <v>6.4058169999999999</v>
      </c>
      <c r="M1830" s="4">
        <v>106.064018</v>
      </c>
      <c r="N1830" s="6"/>
      <c r="P1830"/>
      <c r="Q1830" s="12"/>
      <c r="R1830" s="12"/>
    </row>
    <row r="1831" spans="1:18" x14ac:dyDescent="0.2">
      <c r="A1831">
        <v>16</v>
      </c>
      <c r="B1831" t="s">
        <v>4</v>
      </c>
      <c r="C1831">
        <v>2015</v>
      </c>
      <c r="D1831">
        <v>6</v>
      </c>
      <c r="E1831" s="4">
        <v>0</v>
      </c>
      <c r="F1831" s="9">
        <v>0</v>
      </c>
      <c r="G1831" s="6">
        <v>14303</v>
      </c>
      <c r="H1831" s="9">
        <f t="shared" si="28"/>
        <v>0</v>
      </c>
      <c r="I1831" s="6">
        <v>11812</v>
      </c>
      <c r="J1831" s="6">
        <f>VLOOKUP(Table1[[#This Row],[Province]],[1]Sheet1!$A$3:$F$37,6,FALSE)</f>
        <v>12448200</v>
      </c>
      <c r="K1831">
        <v>1</v>
      </c>
      <c r="L1831" s="4">
        <v>6.4058169999999999</v>
      </c>
      <c r="M1831" s="4">
        <v>106.064018</v>
      </c>
      <c r="N1831" s="6"/>
      <c r="P1831"/>
      <c r="Q1831" s="12"/>
      <c r="R1831" s="12"/>
    </row>
    <row r="1832" spans="1:18" x14ac:dyDescent="0.2">
      <c r="A1832">
        <v>16</v>
      </c>
      <c r="B1832" t="s">
        <v>4</v>
      </c>
      <c r="C1832">
        <v>2015</v>
      </c>
      <c r="D1832">
        <v>7</v>
      </c>
      <c r="E1832" s="4">
        <v>0</v>
      </c>
      <c r="F1832" s="9">
        <v>0</v>
      </c>
      <c r="G1832" s="6">
        <v>9764</v>
      </c>
      <c r="H1832" s="9">
        <f t="shared" si="28"/>
        <v>0</v>
      </c>
      <c r="I1832" s="6">
        <v>11326</v>
      </c>
      <c r="J1832" s="6">
        <f>VLOOKUP(Table1[[#This Row],[Province]],[1]Sheet1!$A$3:$F$37,6,FALSE)</f>
        <v>12448200</v>
      </c>
      <c r="K1832">
        <v>0</v>
      </c>
      <c r="L1832" s="4">
        <v>6.4058169999999999</v>
      </c>
      <c r="M1832" s="4">
        <v>106.064018</v>
      </c>
      <c r="N1832" s="6"/>
      <c r="P1832"/>
      <c r="Q1832" s="12"/>
      <c r="R1832" s="12"/>
    </row>
    <row r="1833" spans="1:18" x14ac:dyDescent="0.2">
      <c r="A1833">
        <v>16</v>
      </c>
      <c r="B1833" t="s">
        <v>4</v>
      </c>
      <c r="C1833">
        <v>2015</v>
      </c>
      <c r="D1833">
        <v>8</v>
      </c>
      <c r="E1833" s="4">
        <v>0</v>
      </c>
      <c r="F1833" s="9">
        <v>0</v>
      </c>
      <c r="G1833" s="6">
        <v>9663</v>
      </c>
      <c r="H1833" s="9">
        <f t="shared" si="28"/>
        <v>0</v>
      </c>
      <c r="I1833" s="6">
        <v>10988</v>
      </c>
      <c r="J1833" s="6">
        <f>VLOOKUP(Table1[[#This Row],[Province]],[1]Sheet1!$A$3:$F$37,6,FALSE)</f>
        <v>12448200</v>
      </c>
      <c r="K1833">
        <v>0</v>
      </c>
      <c r="L1833" s="4">
        <v>6.4058169999999999</v>
      </c>
      <c r="M1833" s="4">
        <v>106.064018</v>
      </c>
      <c r="N1833" s="6"/>
      <c r="P1833"/>
      <c r="Q1833" s="12"/>
      <c r="R1833" s="12"/>
    </row>
    <row r="1834" spans="1:18" x14ac:dyDescent="0.2">
      <c r="A1834">
        <v>16</v>
      </c>
      <c r="B1834" t="s">
        <v>4</v>
      </c>
      <c r="C1834">
        <v>2015</v>
      </c>
      <c r="D1834">
        <v>9</v>
      </c>
      <c r="E1834" s="4">
        <v>0</v>
      </c>
      <c r="F1834" s="9">
        <v>0</v>
      </c>
      <c r="G1834" s="6">
        <v>12968</v>
      </c>
      <c r="H1834" s="9">
        <f t="shared" si="28"/>
        <v>0</v>
      </c>
      <c r="I1834" s="6">
        <v>10970</v>
      </c>
      <c r="J1834" s="6">
        <f>VLOOKUP(Table1[[#This Row],[Province]],[1]Sheet1!$A$3:$F$37,6,FALSE)</f>
        <v>12448200</v>
      </c>
      <c r="K1834">
        <v>0</v>
      </c>
      <c r="L1834" s="4">
        <v>6.4058169999999999</v>
      </c>
      <c r="M1834" s="4">
        <v>106.064018</v>
      </c>
      <c r="N1834" s="6"/>
      <c r="P1834"/>
      <c r="Q1834" s="12"/>
      <c r="R1834" s="12"/>
    </row>
    <row r="1835" spans="1:18" x14ac:dyDescent="0.2">
      <c r="A1835">
        <v>16</v>
      </c>
      <c r="B1835" t="s">
        <v>4</v>
      </c>
      <c r="C1835">
        <v>2015</v>
      </c>
      <c r="D1835">
        <v>10</v>
      </c>
      <c r="E1835" s="4">
        <v>0</v>
      </c>
      <c r="F1835" s="9">
        <v>0</v>
      </c>
      <c r="G1835" s="6">
        <v>8644</v>
      </c>
      <c r="H1835" s="9">
        <f t="shared" si="28"/>
        <v>0</v>
      </c>
      <c r="I1835" s="6">
        <v>10950</v>
      </c>
      <c r="J1835" s="6">
        <f>VLOOKUP(Table1[[#This Row],[Province]],[1]Sheet1!$A$3:$F$37,6,FALSE)</f>
        <v>12448200</v>
      </c>
      <c r="K1835">
        <v>0</v>
      </c>
      <c r="L1835" s="4">
        <v>6.4058169999999999</v>
      </c>
      <c r="M1835" s="4">
        <v>106.064018</v>
      </c>
      <c r="N1835" s="6"/>
      <c r="P1835"/>
      <c r="Q1835" s="12"/>
      <c r="R1835" s="12"/>
    </row>
    <row r="1836" spans="1:18" x14ac:dyDescent="0.2">
      <c r="A1836">
        <v>16</v>
      </c>
      <c r="B1836" t="s">
        <v>4</v>
      </c>
      <c r="C1836">
        <v>2015</v>
      </c>
      <c r="D1836">
        <v>11</v>
      </c>
      <c r="E1836" s="4">
        <v>0</v>
      </c>
      <c r="F1836" s="9">
        <v>0</v>
      </c>
      <c r="G1836" s="6">
        <v>11398</v>
      </c>
      <c r="H1836" s="9">
        <f t="shared" si="28"/>
        <v>0</v>
      </c>
      <c r="I1836" s="6">
        <v>10884</v>
      </c>
      <c r="J1836" s="6">
        <f>VLOOKUP(Table1[[#This Row],[Province]],[1]Sheet1!$A$3:$F$37,6,FALSE)</f>
        <v>12448200</v>
      </c>
      <c r="K1836">
        <v>0</v>
      </c>
      <c r="L1836" s="4">
        <v>6.4058169999999999</v>
      </c>
      <c r="M1836" s="4">
        <v>106.064018</v>
      </c>
      <c r="N1836" s="6"/>
      <c r="P1836"/>
      <c r="Q1836" s="12"/>
      <c r="R1836" s="12"/>
    </row>
    <row r="1837" spans="1:18" x14ac:dyDescent="0.2">
      <c r="A1837">
        <v>16</v>
      </c>
      <c r="B1837" t="s">
        <v>4</v>
      </c>
      <c r="C1837">
        <v>2015</v>
      </c>
      <c r="D1837">
        <v>12</v>
      </c>
      <c r="E1837" s="4">
        <v>0</v>
      </c>
      <c r="F1837" s="9">
        <v>0</v>
      </c>
      <c r="G1837" s="6">
        <v>12218</v>
      </c>
      <c r="H1837" s="9">
        <f t="shared" si="28"/>
        <v>0</v>
      </c>
      <c r="I1837" s="6">
        <v>11901</v>
      </c>
      <c r="J1837" s="6">
        <f>VLOOKUP(Table1[[#This Row],[Province]],[1]Sheet1!$A$3:$F$37,6,FALSE)</f>
        <v>12448200</v>
      </c>
      <c r="K1837">
        <v>1</v>
      </c>
      <c r="L1837" s="4">
        <v>6.4058169999999999</v>
      </c>
      <c r="M1837" s="4">
        <v>106.064018</v>
      </c>
      <c r="N1837" s="6"/>
      <c r="P1837"/>
      <c r="Q1837" s="12"/>
      <c r="R1837" s="12"/>
    </row>
    <row r="1838" spans="1:18" x14ac:dyDescent="0.2">
      <c r="A1838">
        <v>16</v>
      </c>
      <c r="B1838" t="s">
        <v>4</v>
      </c>
      <c r="C1838">
        <v>2016</v>
      </c>
      <c r="D1838">
        <v>1</v>
      </c>
      <c r="E1838" s="4">
        <v>0</v>
      </c>
      <c r="F1838" s="9">
        <v>0</v>
      </c>
      <c r="G1838" s="6">
        <v>14057</v>
      </c>
      <c r="H1838" s="9">
        <f t="shared" si="28"/>
        <v>0</v>
      </c>
      <c r="I1838" s="6">
        <v>12117</v>
      </c>
      <c r="J1838" s="6">
        <f>VLOOKUP(Table1[[#This Row],[Province]],[1]Sheet1!$A$3:$F$37,6,FALSE)</f>
        <v>12448200</v>
      </c>
      <c r="K1838">
        <v>0</v>
      </c>
      <c r="L1838" s="4">
        <v>6.4058169999999999</v>
      </c>
      <c r="M1838" s="4">
        <v>106.064018</v>
      </c>
      <c r="N1838" s="13">
        <v>5.28</v>
      </c>
      <c r="P1838"/>
      <c r="Q1838" s="12"/>
      <c r="R1838" s="12"/>
    </row>
    <row r="1839" spans="1:18" x14ac:dyDescent="0.2">
      <c r="A1839">
        <v>16</v>
      </c>
      <c r="B1839" t="s">
        <v>4</v>
      </c>
      <c r="C1839">
        <v>2016</v>
      </c>
      <c r="D1839">
        <v>2</v>
      </c>
      <c r="E1839" s="4">
        <v>0</v>
      </c>
      <c r="F1839" s="9">
        <v>0</v>
      </c>
      <c r="G1839" s="6">
        <v>9112</v>
      </c>
      <c r="H1839" s="9">
        <f t="shared" si="28"/>
        <v>0</v>
      </c>
      <c r="I1839" s="6">
        <v>12084</v>
      </c>
      <c r="J1839" s="6">
        <f>VLOOKUP(Table1[[#This Row],[Province]],[1]Sheet1!$A$3:$F$37,6,FALSE)</f>
        <v>12448200</v>
      </c>
      <c r="K1839">
        <v>0</v>
      </c>
      <c r="L1839" s="4">
        <v>6.4058169999999999</v>
      </c>
      <c r="M1839" s="4">
        <v>106.064018</v>
      </c>
      <c r="N1839" s="13">
        <v>5.28</v>
      </c>
      <c r="P1839"/>
      <c r="Q1839" s="12"/>
      <c r="R1839" s="12"/>
    </row>
    <row r="1840" spans="1:18" x14ac:dyDescent="0.2">
      <c r="A1840">
        <v>16</v>
      </c>
      <c r="B1840" t="s">
        <v>4</v>
      </c>
      <c r="C1840">
        <v>2016</v>
      </c>
      <c r="D1840">
        <v>3</v>
      </c>
      <c r="E1840" s="4">
        <v>0</v>
      </c>
      <c r="F1840" s="9">
        <v>0</v>
      </c>
      <c r="G1840" s="6">
        <v>14091</v>
      </c>
      <c r="H1840" s="9">
        <f t="shared" si="28"/>
        <v>0</v>
      </c>
      <c r="I1840" s="6">
        <v>12082</v>
      </c>
      <c r="J1840" s="6">
        <f>VLOOKUP(Table1[[#This Row],[Province]],[1]Sheet1!$A$3:$F$37,6,FALSE)</f>
        <v>12448200</v>
      </c>
      <c r="K1840">
        <v>0</v>
      </c>
      <c r="L1840" s="4">
        <v>6.4058169999999999</v>
      </c>
      <c r="M1840" s="4">
        <v>106.064018</v>
      </c>
      <c r="N1840" s="13">
        <v>5.28</v>
      </c>
      <c r="P1840"/>
      <c r="Q1840" s="12"/>
      <c r="R1840" s="12"/>
    </row>
    <row r="1841" spans="1:18" x14ac:dyDescent="0.2">
      <c r="A1841">
        <v>16</v>
      </c>
      <c r="B1841" t="s">
        <v>4</v>
      </c>
      <c r="C1841">
        <v>2016</v>
      </c>
      <c r="D1841">
        <v>4</v>
      </c>
      <c r="E1841" s="4">
        <v>0</v>
      </c>
      <c r="F1841" s="9">
        <v>0</v>
      </c>
      <c r="G1841" s="6">
        <v>6203</v>
      </c>
      <c r="H1841" s="9">
        <f t="shared" si="28"/>
        <v>0</v>
      </c>
      <c r="I1841" s="6">
        <v>12688</v>
      </c>
      <c r="J1841" s="6">
        <f>VLOOKUP(Table1[[#This Row],[Province]],[1]Sheet1!$A$3:$F$37,6,FALSE)</f>
        <v>12448200</v>
      </c>
      <c r="K1841">
        <v>0</v>
      </c>
      <c r="L1841" s="4">
        <v>6.4058169999999999</v>
      </c>
      <c r="M1841" s="4">
        <v>106.064018</v>
      </c>
      <c r="N1841" s="13">
        <v>5.28</v>
      </c>
      <c r="P1841"/>
      <c r="Q1841" s="12"/>
      <c r="R1841" s="12"/>
    </row>
    <row r="1842" spans="1:18" x14ac:dyDescent="0.2">
      <c r="A1842">
        <v>16</v>
      </c>
      <c r="B1842" t="s">
        <v>4</v>
      </c>
      <c r="C1842">
        <v>2016</v>
      </c>
      <c r="D1842">
        <v>5</v>
      </c>
      <c r="E1842" s="4">
        <v>0</v>
      </c>
      <c r="F1842" s="9">
        <v>0</v>
      </c>
      <c r="G1842" s="6">
        <v>10816</v>
      </c>
      <c r="H1842" s="9">
        <f t="shared" si="28"/>
        <v>0</v>
      </c>
      <c r="I1842" s="6">
        <v>14788</v>
      </c>
      <c r="J1842" s="6">
        <f>VLOOKUP(Table1[[#This Row],[Province]],[1]Sheet1!$A$3:$F$37,6,FALSE)</f>
        <v>12448200</v>
      </c>
      <c r="K1842">
        <v>0</v>
      </c>
      <c r="L1842" s="4">
        <v>6.4058169999999999</v>
      </c>
      <c r="M1842" s="4">
        <v>106.064018</v>
      </c>
      <c r="N1842" s="13">
        <v>5.28</v>
      </c>
      <c r="P1842"/>
      <c r="Q1842" s="12"/>
      <c r="R1842" s="12"/>
    </row>
    <row r="1843" spans="1:18" x14ac:dyDescent="0.2">
      <c r="A1843">
        <v>16</v>
      </c>
      <c r="B1843" t="s">
        <v>4</v>
      </c>
      <c r="C1843">
        <v>2016</v>
      </c>
      <c r="D1843">
        <v>6</v>
      </c>
      <c r="E1843" s="4">
        <v>0</v>
      </c>
      <c r="F1843" s="9">
        <v>0</v>
      </c>
      <c r="G1843" s="6">
        <v>12548</v>
      </c>
      <c r="H1843" s="9">
        <f t="shared" si="28"/>
        <v>0</v>
      </c>
      <c r="I1843" s="6">
        <v>15648</v>
      </c>
      <c r="J1843" s="6">
        <f>VLOOKUP(Table1[[#This Row],[Province]],[1]Sheet1!$A$3:$F$37,6,FALSE)</f>
        <v>12448200</v>
      </c>
      <c r="K1843">
        <v>1</v>
      </c>
      <c r="L1843" s="4">
        <v>6.4058169999999999</v>
      </c>
      <c r="M1843" s="4">
        <v>106.064018</v>
      </c>
      <c r="N1843" s="13">
        <v>5.28</v>
      </c>
      <c r="P1843"/>
      <c r="Q1843" s="12"/>
      <c r="R1843" s="12"/>
    </row>
    <row r="1844" spans="1:18" x14ac:dyDescent="0.2">
      <c r="A1844">
        <v>16</v>
      </c>
      <c r="B1844" t="s">
        <v>4</v>
      </c>
      <c r="C1844">
        <v>2016</v>
      </c>
      <c r="D1844">
        <v>7</v>
      </c>
      <c r="E1844" s="4">
        <v>0</v>
      </c>
      <c r="F1844" s="9">
        <v>0</v>
      </c>
      <c r="G1844" s="6">
        <v>11973</v>
      </c>
      <c r="H1844" s="9">
        <f t="shared" si="28"/>
        <v>0</v>
      </c>
      <c r="I1844" s="6">
        <v>15728</v>
      </c>
      <c r="J1844" s="6">
        <f>VLOOKUP(Table1[[#This Row],[Province]],[1]Sheet1!$A$3:$F$37,6,FALSE)</f>
        <v>12448200</v>
      </c>
      <c r="K1844">
        <v>0</v>
      </c>
      <c r="L1844" s="4">
        <v>6.4058169999999999</v>
      </c>
      <c r="M1844" s="4">
        <v>106.064018</v>
      </c>
      <c r="N1844" s="13">
        <v>5.28</v>
      </c>
      <c r="P1844"/>
      <c r="Q1844" s="12"/>
      <c r="R1844" s="12"/>
    </row>
    <row r="1845" spans="1:18" x14ac:dyDescent="0.2">
      <c r="A1845">
        <v>16</v>
      </c>
      <c r="B1845" t="s">
        <v>4</v>
      </c>
      <c r="C1845">
        <v>2016</v>
      </c>
      <c r="D1845">
        <v>8</v>
      </c>
      <c r="E1845" s="4">
        <v>0</v>
      </c>
      <c r="F1845" s="9">
        <v>0</v>
      </c>
      <c r="G1845" s="6">
        <v>11831</v>
      </c>
      <c r="H1845" s="9">
        <f t="shared" si="28"/>
        <v>0</v>
      </c>
      <c r="I1845" s="6">
        <v>14245</v>
      </c>
      <c r="J1845" s="6">
        <f>VLOOKUP(Table1[[#This Row],[Province]],[1]Sheet1!$A$3:$F$37,6,FALSE)</f>
        <v>12448200</v>
      </c>
      <c r="K1845">
        <v>0</v>
      </c>
      <c r="L1845" s="4">
        <v>6.4058169999999999</v>
      </c>
      <c r="M1845" s="4">
        <v>106.064018</v>
      </c>
      <c r="N1845" s="13">
        <v>5.28</v>
      </c>
      <c r="P1845"/>
      <c r="Q1845" s="12"/>
      <c r="R1845" s="12"/>
    </row>
    <row r="1846" spans="1:18" x14ac:dyDescent="0.2">
      <c r="A1846">
        <v>16</v>
      </c>
      <c r="B1846" t="s">
        <v>4</v>
      </c>
      <c r="C1846">
        <v>2016</v>
      </c>
      <c r="D1846">
        <v>9</v>
      </c>
      <c r="E1846" s="4">
        <v>0</v>
      </c>
      <c r="F1846" s="9">
        <v>0</v>
      </c>
      <c r="G1846" s="6">
        <v>4573</v>
      </c>
      <c r="H1846" s="9">
        <f t="shared" si="28"/>
        <v>0</v>
      </c>
      <c r="I1846" s="6">
        <v>13624</v>
      </c>
      <c r="J1846" s="6">
        <f>VLOOKUP(Table1[[#This Row],[Province]],[1]Sheet1!$A$3:$F$37,6,FALSE)</f>
        <v>12448200</v>
      </c>
      <c r="K1846">
        <v>0</v>
      </c>
      <c r="L1846" s="4">
        <v>6.4058169999999999</v>
      </c>
      <c r="M1846" s="4">
        <v>106.064018</v>
      </c>
      <c r="N1846" s="13">
        <v>5.28</v>
      </c>
      <c r="P1846"/>
      <c r="Q1846" s="12"/>
      <c r="R1846" s="12"/>
    </row>
    <row r="1847" spans="1:18" x14ac:dyDescent="0.2">
      <c r="A1847">
        <v>16</v>
      </c>
      <c r="B1847" t="s">
        <v>4</v>
      </c>
      <c r="C1847">
        <v>2016</v>
      </c>
      <c r="D1847">
        <v>10</v>
      </c>
      <c r="E1847" s="4">
        <v>0</v>
      </c>
      <c r="F1847" s="9">
        <v>0</v>
      </c>
      <c r="G1847" s="6">
        <v>19975</v>
      </c>
      <c r="H1847" s="9">
        <f t="shared" si="28"/>
        <v>0</v>
      </c>
      <c r="I1847" s="6">
        <v>13386</v>
      </c>
      <c r="J1847" s="6">
        <f>VLOOKUP(Table1[[#This Row],[Province]],[1]Sheet1!$A$3:$F$37,6,FALSE)</f>
        <v>12448200</v>
      </c>
      <c r="K1847">
        <v>0</v>
      </c>
      <c r="L1847" s="4">
        <v>6.4058169999999999</v>
      </c>
      <c r="M1847" s="4">
        <v>106.064018</v>
      </c>
      <c r="N1847" s="13">
        <v>5.28</v>
      </c>
      <c r="P1847"/>
      <c r="Q1847" s="12"/>
      <c r="R1847" s="12"/>
    </row>
    <row r="1848" spans="1:18" x14ac:dyDescent="0.2">
      <c r="A1848">
        <v>16</v>
      </c>
      <c r="B1848" t="s">
        <v>4</v>
      </c>
      <c r="C1848">
        <v>2016</v>
      </c>
      <c r="D1848">
        <v>11</v>
      </c>
      <c r="E1848" s="4">
        <v>0</v>
      </c>
      <c r="F1848" s="9">
        <v>0</v>
      </c>
      <c r="G1848" s="6">
        <v>5656</v>
      </c>
      <c r="H1848" s="9">
        <f t="shared" si="28"/>
        <v>0</v>
      </c>
      <c r="I1848" s="6">
        <v>12761</v>
      </c>
      <c r="J1848" s="6">
        <f>VLOOKUP(Table1[[#This Row],[Province]],[1]Sheet1!$A$3:$F$37,6,FALSE)</f>
        <v>12448200</v>
      </c>
      <c r="K1848">
        <v>0</v>
      </c>
      <c r="L1848" s="4">
        <v>6.4058169999999999</v>
      </c>
      <c r="M1848" s="4">
        <v>106.064018</v>
      </c>
      <c r="N1848" s="13">
        <v>5.28</v>
      </c>
      <c r="P1848"/>
      <c r="Q1848" s="12"/>
      <c r="R1848" s="12"/>
    </row>
    <row r="1849" spans="1:18" x14ac:dyDescent="0.2">
      <c r="A1849">
        <v>16</v>
      </c>
      <c r="B1849" t="s">
        <v>4</v>
      </c>
      <c r="C1849">
        <v>2016</v>
      </c>
      <c r="D1849">
        <v>12</v>
      </c>
      <c r="E1849" s="4">
        <v>0</v>
      </c>
      <c r="F1849" s="9">
        <v>0</v>
      </c>
      <c r="G1849" s="6">
        <v>5660</v>
      </c>
      <c r="H1849" s="9">
        <f t="shared" si="28"/>
        <v>0</v>
      </c>
      <c r="I1849" s="6">
        <v>12940</v>
      </c>
      <c r="J1849" s="6">
        <f>VLOOKUP(Table1[[#This Row],[Province]],[1]Sheet1!$A$3:$F$37,6,FALSE)</f>
        <v>12448200</v>
      </c>
      <c r="K1849">
        <v>1</v>
      </c>
      <c r="L1849" s="4">
        <v>6.4058169999999999</v>
      </c>
      <c r="M1849" s="4">
        <v>106.064018</v>
      </c>
      <c r="N1849" s="13">
        <v>5.28</v>
      </c>
      <c r="P1849"/>
      <c r="Q1849" s="12"/>
      <c r="R1849" s="12"/>
    </row>
    <row r="1850" spans="1:18" x14ac:dyDescent="0.2">
      <c r="A1850">
        <v>16</v>
      </c>
      <c r="B1850" t="s">
        <v>4</v>
      </c>
      <c r="C1850">
        <v>2017</v>
      </c>
      <c r="D1850">
        <v>1</v>
      </c>
      <c r="E1850" s="4">
        <v>0</v>
      </c>
      <c r="F1850" s="9">
        <v>0</v>
      </c>
      <c r="G1850" s="6">
        <v>11289</v>
      </c>
      <c r="H1850" s="9">
        <f t="shared" si="28"/>
        <v>0</v>
      </c>
      <c r="I1850" s="6">
        <v>12971</v>
      </c>
      <c r="J1850" s="6">
        <f>VLOOKUP(Table1[[#This Row],[Province]],[1]Sheet1!$A$3:$F$37,6,FALSE)</f>
        <v>12448200</v>
      </c>
      <c r="K1850">
        <v>0</v>
      </c>
      <c r="L1850" s="4">
        <v>6.4058169999999999</v>
      </c>
      <c r="M1850" s="4">
        <v>106.064018</v>
      </c>
      <c r="N1850" s="13">
        <v>5.75</v>
      </c>
      <c r="P1850"/>
      <c r="Q1850" s="12"/>
      <c r="R1850" s="12"/>
    </row>
    <row r="1851" spans="1:18" x14ac:dyDescent="0.2">
      <c r="A1851">
        <v>16</v>
      </c>
      <c r="B1851" t="s">
        <v>4</v>
      </c>
      <c r="C1851">
        <v>2017</v>
      </c>
      <c r="D1851">
        <v>2</v>
      </c>
      <c r="E1851" s="4">
        <v>0</v>
      </c>
      <c r="F1851" s="9">
        <v>0</v>
      </c>
      <c r="G1851" s="6">
        <v>6485</v>
      </c>
      <c r="H1851" s="9">
        <f t="shared" si="28"/>
        <v>0</v>
      </c>
      <c r="I1851" s="6">
        <v>12911</v>
      </c>
      <c r="J1851" s="6">
        <f>VLOOKUP(Table1[[#This Row],[Province]],[1]Sheet1!$A$3:$F$37,6,FALSE)</f>
        <v>12448200</v>
      </c>
      <c r="K1851">
        <v>0</v>
      </c>
      <c r="L1851" s="4">
        <v>6.4058169999999999</v>
      </c>
      <c r="M1851" s="4">
        <v>106.064018</v>
      </c>
      <c r="N1851" s="13">
        <v>5.75</v>
      </c>
      <c r="P1851"/>
      <c r="Q1851" s="12"/>
      <c r="R1851" s="12"/>
    </row>
    <row r="1852" spans="1:18" x14ac:dyDescent="0.2">
      <c r="A1852">
        <v>16</v>
      </c>
      <c r="B1852" t="s">
        <v>4</v>
      </c>
      <c r="C1852">
        <v>2017</v>
      </c>
      <c r="D1852">
        <v>3</v>
      </c>
      <c r="E1852" s="4">
        <v>0</v>
      </c>
      <c r="F1852" s="9">
        <v>0</v>
      </c>
      <c r="G1852" s="6">
        <v>5067</v>
      </c>
      <c r="H1852" s="9">
        <f t="shared" si="28"/>
        <v>0</v>
      </c>
      <c r="I1852" s="6">
        <v>12686</v>
      </c>
      <c r="J1852" s="6">
        <f>VLOOKUP(Table1[[#This Row],[Province]],[1]Sheet1!$A$3:$F$37,6,FALSE)</f>
        <v>12448200</v>
      </c>
      <c r="K1852">
        <v>0</v>
      </c>
      <c r="L1852" s="4">
        <v>6.4058169999999999</v>
      </c>
      <c r="M1852" s="4">
        <v>106.064018</v>
      </c>
      <c r="N1852" s="13">
        <v>5.75</v>
      </c>
      <c r="P1852"/>
      <c r="Q1852" s="12"/>
      <c r="R1852" s="12"/>
    </row>
    <row r="1853" spans="1:18" x14ac:dyDescent="0.2">
      <c r="A1853">
        <v>16</v>
      </c>
      <c r="B1853" t="s">
        <v>4</v>
      </c>
      <c r="C1853">
        <v>2017</v>
      </c>
      <c r="D1853">
        <v>4</v>
      </c>
      <c r="E1853" s="4">
        <v>0</v>
      </c>
      <c r="F1853" s="9">
        <v>0</v>
      </c>
      <c r="G1853" s="6">
        <v>3620</v>
      </c>
      <c r="H1853" s="9">
        <f t="shared" si="28"/>
        <v>0</v>
      </c>
      <c r="I1853" s="6">
        <v>12406</v>
      </c>
      <c r="J1853" s="6">
        <f>VLOOKUP(Table1[[#This Row],[Province]],[1]Sheet1!$A$3:$F$37,6,FALSE)</f>
        <v>12448200</v>
      </c>
      <c r="K1853">
        <v>0</v>
      </c>
      <c r="L1853" s="4">
        <v>6.4058169999999999</v>
      </c>
      <c r="M1853" s="4">
        <v>106.064018</v>
      </c>
      <c r="N1853" s="13">
        <v>5.75</v>
      </c>
      <c r="P1853"/>
      <c r="Q1853" s="12"/>
      <c r="R1853" s="12"/>
    </row>
    <row r="1854" spans="1:18" x14ac:dyDescent="0.2">
      <c r="A1854">
        <v>16</v>
      </c>
      <c r="B1854" t="s">
        <v>4</v>
      </c>
      <c r="C1854">
        <v>2017</v>
      </c>
      <c r="D1854">
        <v>5</v>
      </c>
      <c r="E1854" s="4">
        <v>0</v>
      </c>
      <c r="F1854" s="9">
        <v>0</v>
      </c>
      <c r="G1854" s="6">
        <v>3487</v>
      </c>
      <c r="H1854" s="9">
        <f t="shared" si="28"/>
        <v>0</v>
      </c>
      <c r="I1854" s="6">
        <v>12415</v>
      </c>
      <c r="J1854" s="6">
        <f>VLOOKUP(Table1[[#This Row],[Province]],[1]Sheet1!$A$3:$F$37,6,FALSE)</f>
        <v>12448200</v>
      </c>
      <c r="K1854">
        <v>1</v>
      </c>
      <c r="L1854" s="4">
        <v>6.4058169999999999</v>
      </c>
      <c r="M1854" s="4">
        <v>106.064018</v>
      </c>
      <c r="N1854" s="13">
        <v>5.75</v>
      </c>
      <c r="P1854"/>
      <c r="Q1854" s="12"/>
      <c r="R1854" s="12"/>
    </row>
    <row r="1855" spans="1:18" x14ac:dyDescent="0.2">
      <c r="A1855">
        <v>16</v>
      </c>
      <c r="B1855" t="s">
        <v>4</v>
      </c>
      <c r="C1855">
        <v>2017</v>
      </c>
      <c r="D1855">
        <v>6</v>
      </c>
      <c r="E1855" s="4">
        <v>0</v>
      </c>
      <c r="F1855" s="9">
        <v>0</v>
      </c>
      <c r="G1855" s="6">
        <v>6450</v>
      </c>
      <c r="H1855" s="9">
        <f t="shared" si="28"/>
        <v>0</v>
      </c>
      <c r="I1855" s="6">
        <v>12493</v>
      </c>
      <c r="J1855" s="6">
        <f>VLOOKUP(Table1[[#This Row],[Province]],[1]Sheet1!$A$3:$F$37,6,FALSE)</f>
        <v>12448200</v>
      </c>
      <c r="K1855">
        <v>0</v>
      </c>
      <c r="L1855" s="4">
        <v>6.4058169999999999</v>
      </c>
      <c r="M1855" s="4">
        <v>106.064018</v>
      </c>
      <c r="N1855" s="13">
        <v>5.75</v>
      </c>
      <c r="P1855"/>
      <c r="Q1855" s="12"/>
      <c r="R1855" s="12"/>
    </row>
    <row r="1856" spans="1:18" x14ac:dyDescent="0.2">
      <c r="A1856">
        <v>16</v>
      </c>
      <c r="B1856" t="s">
        <v>4</v>
      </c>
      <c r="C1856">
        <v>2017</v>
      </c>
      <c r="D1856">
        <v>7</v>
      </c>
      <c r="E1856" s="4">
        <v>0</v>
      </c>
      <c r="F1856" s="9">
        <v>0</v>
      </c>
      <c r="G1856" s="6">
        <v>7181</v>
      </c>
      <c r="H1856" s="9">
        <f t="shared" si="28"/>
        <v>0</v>
      </c>
      <c r="I1856" s="6">
        <v>12252</v>
      </c>
      <c r="J1856" s="6">
        <f>VLOOKUP(Table1[[#This Row],[Province]],[1]Sheet1!$A$3:$F$37,6,FALSE)</f>
        <v>12448200</v>
      </c>
      <c r="K1856">
        <v>0</v>
      </c>
      <c r="L1856" s="4">
        <v>6.4058169999999999</v>
      </c>
      <c r="M1856" s="4">
        <v>106.064018</v>
      </c>
      <c r="N1856" s="13">
        <v>5.75</v>
      </c>
      <c r="P1856"/>
      <c r="Q1856" s="12"/>
      <c r="R1856" s="12"/>
    </row>
    <row r="1857" spans="1:18" x14ac:dyDescent="0.2">
      <c r="A1857">
        <v>16</v>
      </c>
      <c r="B1857" t="s">
        <v>4</v>
      </c>
      <c r="C1857">
        <v>2017</v>
      </c>
      <c r="D1857">
        <v>8</v>
      </c>
      <c r="E1857" s="4">
        <v>0</v>
      </c>
      <c r="F1857" s="9">
        <v>0</v>
      </c>
      <c r="G1857" s="6">
        <v>13764</v>
      </c>
      <c r="H1857" s="9">
        <f t="shared" si="28"/>
        <v>0</v>
      </c>
      <c r="I1857" s="6">
        <v>11964</v>
      </c>
      <c r="J1857" s="6">
        <f>VLOOKUP(Table1[[#This Row],[Province]],[1]Sheet1!$A$3:$F$37,6,FALSE)</f>
        <v>12448200</v>
      </c>
      <c r="K1857">
        <v>0</v>
      </c>
      <c r="L1857" s="4">
        <v>6.4058169999999999</v>
      </c>
      <c r="M1857" s="4">
        <v>106.064018</v>
      </c>
      <c r="N1857" s="13">
        <v>5.75</v>
      </c>
      <c r="P1857"/>
      <c r="Q1857" s="12"/>
      <c r="R1857" s="12"/>
    </row>
    <row r="1858" spans="1:18" x14ac:dyDescent="0.2">
      <c r="A1858">
        <v>16</v>
      </c>
      <c r="B1858" t="s">
        <v>4</v>
      </c>
      <c r="C1858">
        <v>2017</v>
      </c>
      <c r="D1858">
        <v>9</v>
      </c>
      <c r="E1858" s="4">
        <v>0</v>
      </c>
      <c r="F1858" s="9">
        <v>0</v>
      </c>
      <c r="G1858" s="6">
        <v>13338</v>
      </c>
      <c r="H1858" s="9">
        <f t="shared" ref="H1858:H1921" si="29">F1858+E1858</f>
        <v>0</v>
      </c>
      <c r="I1858" s="6">
        <v>11578</v>
      </c>
      <c r="J1858" s="6">
        <f>VLOOKUP(Table1[[#This Row],[Province]],[1]Sheet1!$A$3:$F$37,6,FALSE)</f>
        <v>12448200</v>
      </c>
      <c r="K1858">
        <v>0</v>
      </c>
      <c r="L1858" s="4">
        <v>6.4058169999999999</v>
      </c>
      <c r="M1858" s="4">
        <v>106.064018</v>
      </c>
      <c r="N1858" s="13">
        <v>5.75</v>
      </c>
      <c r="P1858"/>
      <c r="Q1858" s="12"/>
      <c r="R1858" s="12"/>
    </row>
    <row r="1859" spans="1:18" x14ac:dyDescent="0.2">
      <c r="A1859">
        <v>16</v>
      </c>
      <c r="B1859" t="s">
        <v>4</v>
      </c>
      <c r="C1859">
        <v>2017</v>
      </c>
      <c r="D1859">
        <v>10</v>
      </c>
      <c r="E1859" s="4">
        <v>0</v>
      </c>
      <c r="F1859" s="9">
        <v>0</v>
      </c>
      <c r="G1859" s="6">
        <v>17312</v>
      </c>
      <c r="H1859" s="9">
        <f t="shared" si="29"/>
        <v>0</v>
      </c>
      <c r="I1859" s="6">
        <v>11182</v>
      </c>
      <c r="J1859" s="6">
        <f>VLOOKUP(Table1[[#This Row],[Province]],[1]Sheet1!$A$3:$F$37,6,FALSE)</f>
        <v>12448200</v>
      </c>
      <c r="K1859">
        <v>0</v>
      </c>
      <c r="L1859" s="4">
        <v>6.4058169999999999</v>
      </c>
      <c r="M1859" s="4">
        <v>106.064018</v>
      </c>
      <c r="N1859" s="13">
        <v>5.75</v>
      </c>
      <c r="P1859"/>
      <c r="Q1859" s="12"/>
      <c r="R1859" s="12"/>
    </row>
    <row r="1860" spans="1:18" x14ac:dyDescent="0.2">
      <c r="A1860">
        <v>16</v>
      </c>
      <c r="B1860" t="s">
        <v>4</v>
      </c>
      <c r="C1860">
        <v>2017</v>
      </c>
      <c r="D1860">
        <v>11</v>
      </c>
      <c r="E1860" s="4">
        <v>0</v>
      </c>
      <c r="F1860" s="9">
        <v>0</v>
      </c>
      <c r="G1860" s="6">
        <v>4524</v>
      </c>
      <c r="H1860" s="9">
        <f t="shared" si="29"/>
        <v>0</v>
      </c>
      <c r="I1860" s="6">
        <v>11186</v>
      </c>
      <c r="J1860" s="6">
        <f>VLOOKUP(Table1[[#This Row],[Province]],[1]Sheet1!$A$3:$F$37,6,FALSE)</f>
        <v>12448200</v>
      </c>
      <c r="K1860">
        <v>0</v>
      </c>
      <c r="L1860" s="4">
        <v>6.4058169999999999</v>
      </c>
      <c r="M1860" s="4">
        <v>106.064018</v>
      </c>
      <c r="N1860" s="13">
        <v>5.75</v>
      </c>
      <c r="P1860"/>
      <c r="Q1860" s="12"/>
      <c r="R1860" s="12"/>
    </row>
    <row r="1861" spans="1:18" x14ac:dyDescent="0.2">
      <c r="A1861">
        <v>16</v>
      </c>
      <c r="B1861" t="s">
        <v>4</v>
      </c>
      <c r="C1861">
        <v>2017</v>
      </c>
      <c r="D1861">
        <v>12</v>
      </c>
      <c r="E1861" s="4">
        <v>0</v>
      </c>
      <c r="F1861" s="9">
        <v>0</v>
      </c>
      <c r="G1861" s="6">
        <v>8428</v>
      </c>
      <c r="H1861" s="9">
        <f t="shared" si="29"/>
        <v>0</v>
      </c>
      <c r="I1861" s="6">
        <v>11221</v>
      </c>
      <c r="J1861" s="6">
        <f>VLOOKUP(Table1[[#This Row],[Province]],[1]Sheet1!$A$3:$F$37,6,FALSE)</f>
        <v>12448200</v>
      </c>
      <c r="K1861">
        <v>1</v>
      </c>
      <c r="L1861" s="4">
        <v>6.4058169999999999</v>
      </c>
      <c r="M1861" s="4">
        <v>106.064018</v>
      </c>
      <c r="N1861" s="13">
        <v>5.75</v>
      </c>
      <c r="P1861"/>
      <c r="Q1861" s="12"/>
      <c r="R1861" s="12"/>
    </row>
    <row r="1862" spans="1:18" x14ac:dyDescent="0.2">
      <c r="A1862">
        <v>16</v>
      </c>
      <c r="B1862" t="s">
        <v>4</v>
      </c>
      <c r="C1862">
        <v>2018</v>
      </c>
      <c r="D1862">
        <v>1</v>
      </c>
      <c r="E1862" s="4">
        <v>0</v>
      </c>
      <c r="F1862" s="9">
        <v>0</v>
      </c>
      <c r="G1862" s="6">
        <v>15606</v>
      </c>
      <c r="H1862" s="9">
        <f t="shared" si="29"/>
        <v>0</v>
      </c>
      <c r="I1862" s="6">
        <v>12318</v>
      </c>
      <c r="J1862" s="6">
        <f>VLOOKUP(Table1[[#This Row],[Province]],[1]Sheet1!$A$3:$F$37,6,FALSE)</f>
        <v>12448200</v>
      </c>
      <c r="K1862">
        <v>0</v>
      </c>
      <c r="L1862" s="4">
        <v>6.4058169999999999</v>
      </c>
      <c r="M1862" s="4">
        <v>106.064018</v>
      </c>
      <c r="N1862" s="13">
        <v>5.77</v>
      </c>
      <c r="P1862"/>
      <c r="Q1862" s="12"/>
      <c r="R1862" s="12"/>
    </row>
    <row r="1863" spans="1:18" x14ac:dyDescent="0.2">
      <c r="A1863">
        <v>16</v>
      </c>
      <c r="B1863" t="s">
        <v>4</v>
      </c>
      <c r="C1863">
        <v>2018</v>
      </c>
      <c r="D1863">
        <v>2</v>
      </c>
      <c r="E1863" s="4">
        <v>0</v>
      </c>
      <c r="F1863" s="9">
        <v>0</v>
      </c>
      <c r="G1863" s="6">
        <v>16473</v>
      </c>
      <c r="H1863" s="9">
        <f t="shared" si="29"/>
        <v>0</v>
      </c>
      <c r="I1863" s="6">
        <v>12009</v>
      </c>
      <c r="J1863" s="6">
        <f>VLOOKUP(Table1[[#This Row],[Province]],[1]Sheet1!$A$3:$F$37,6,FALSE)</f>
        <v>12448200</v>
      </c>
      <c r="K1863">
        <v>0</v>
      </c>
      <c r="L1863" s="4">
        <v>6.4058169999999999</v>
      </c>
      <c r="M1863" s="4">
        <v>106.064018</v>
      </c>
      <c r="N1863" s="13">
        <v>5.77</v>
      </c>
      <c r="P1863"/>
      <c r="Q1863" s="12"/>
      <c r="R1863" s="12"/>
    </row>
    <row r="1864" spans="1:18" x14ac:dyDescent="0.2">
      <c r="A1864">
        <v>16</v>
      </c>
      <c r="B1864" t="s">
        <v>4</v>
      </c>
      <c r="C1864">
        <v>2018</v>
      </c>
      <c r="D1864">
        <v>3</v>
      </c>
      <c r="E1864" s="4">
        <v>0</v>
      </c>
      <c r="F1864" s="9">
        <v>0</v>
      </c>
      <c r="G1864" s="6">
        <v>7975</v>
      </c>
      <c r="H1864" s="9">
        <f t="shared" si="29"/>
        <v>0</v>
      </c>
      <c r="I1864" s="6">
        <v>12000</v>
      </c>
      <c r="J1864" s="6">
        <f>VLOOKUP(Table1[[#This Row],[Province]],[1]Sheet1!$A$3:$F$37,6,FALSE)</f>
        <v>12448200</v>
      </c>
      <c r="K1864">
        <v>0</v>
      </c>
      <c r="L1864" s="4">
        <v>6.4058169999999999</v>
      </c>
      <c r="M1864" s="4">
        <v>106.064018</v>
      </c>
      <c r="N1864" s="13">
        <v>5.77</v>
      </c>
      <c r="P1864"/>
      <c r="Q1864" s="12"/>
      <c r="R1864" s="12"/>
    </row>
    <row r="1865" spans="1:18" x14ac:dyDescent="0.2">
      <c r="A1865">
        <v>16</v>
      </c>
      <c r="B1865" t="s">
        <v>4</v>
      </c>
      <c r="C1865">
        <v>2018</v>
      </c>
      <c r="D1865">
        <v>4</v>
      </c>
      <c r="E1865" s="4">
        <v>0</v>
      </c>
      <c r="F1865" s="9">
        <v>0</v>
      </c>
      <c r="G1865" s="6">
        <v>9379</v>
      </c>
      <c r="H1865" s="9">
        <f t="shared" si="29"/>
        <v>0</v>
      </c>
      <c r="I1865" s="6">
        <v>11946</v>
      </c>
      <c r="J1865" s="6">
        <f>VLOOKUP(Table1[[#This Row],[Province]],[1]Sheet1!$A$3:$F$37,6,FALSE)</f>
        <v>12448200</v>
      </c>
      <c r="K1865">
        <v>0</v>
      </c>
      <c r="L1865" s="4">
        <v>6.4058169999999999</v>
      </c>
      <c r="M1865" s="4">
        <v>106.064018</v>
      </c>
      <c r="N1865" s="13">
        <v>5.77</v>
      </c>
      <c r="P1865"/>
      <c r="Q1865" s="12"/>
      <c r="R1865" s="12"/>
    </row>
    <row r="1866" spans="1:18" x14ac:dyDescent="0.2">
      <c r="A1866">
        <v>16</v>
      </c>
      <c r="B1866" t="s">
        <v>4</v>
      </c>
      <c r="C1866">
        <v>2018</v>
      </c>
      <c r="D1866">
        <v>5</v>
      </c>
      <c r="E1866" s="4">
        <v>0</v>
      </c>
      <c r="F1866" s="9">
        <v>0</v>
      </c>
      <c r="G1866" s="6">
        <v>10625</v>
      </c>
      <c r="H1866" s="9">
        <f t="shared" si="29"/>
        <v>0</v>
      </c>
      <c r="I1866" s="6">
        <v>15235</v>
      </c>
      <c r="J1866" s="6">
        <f>VLOOKUP(Table1[[#This Row],[Province]],[1]Sheet1!$A$3:$F$37,6,FALSE)</f>
        <v>12448200</v>
      </c>
      <c r="K1866">
        <v>1</v>
      </c>
      <c r="L1866" s="4">
        <v>6.4058169999999999</v>
      </c>
      <c r="M1866" s="4">
        <v>106.064018</v>
      </c>
      <c r="N1866" s="13">
        <v>5.77</v>
      </c>
      <c r="P1866"/>
      <c r="Q1866" s="12"/>
      <c r="R1866" s="12"/>
    </row>
    <row r="1867" spans="1:18" x14ac:dyDescent="0.2">
      <c r="A1867">
        <v>16</v>
      </c>
      <c r="B1867" t="s">
        <v>4</v>
      </c>
      <c r="C1867">
        <v>2018</v>
      </c>
      <c r="D1867">
        <v>5</v>
      </c>
      <c r="E1867" s="4">
        <v>0</v>
      </c>
      <c r="F1867" s="9">
        <v>0</v>
      </c>
      <c r="G1867" s="6">
        <v>13115</v>
      </c>
      <c r="H1867" s="9">
        <f t="shared" si="29"/>
        <v>0</v>
      </c>
      <c r="I1867" s="6">
        <v>13008</v>
      </c>
      <c r="J1867" s="6">
        <f>VLOOKUP(Table1[[#This Row],[Province]],[1]Sheet1!$A$3:$F$37,6,FALSE)</f>
        <v>12448200</v>
      </c>
      <c r="K1867">
        <v>1</v>
      </c>
      <c r="L1867" s="4">
        <v>6.4058169999999999</v>
      </c>
      <c r="M1867" s="4">
        <v>106.064018</v>
      </c>
      <c r="N1867" s="13">
        <v>5.77</v>
      </c>
      <c r="P1867"/>
      <c r="Q1867" s="12"/>
      <c r="R1867" s="12"/>
    </row>
    <row r="1868" spans="1:18" x14ac:dyDescent="0.2">
      <c r="A1868">
        <v>16</v>
      </c>
      <c r="B1868" t="s">
        <v>4</v>
      </c>
      <c r="C1868">
        <v>2018</v>
      </c>
      <c r="D1868">
        <v>6</v>
      </c>
      <c r="E1868" s="4">
        <v>0</v>
      </c>
      <c r="F1868" s="9">
        <v>0</v>
      </c>
      <c r="G1868" s="6">
        <v>11598</v>
      </c>
      <c r="H1868" s="9">
        <f t="shared" si="29"/>
        <v>0</v>
      </c>
      <c r="I1868" s="6">
        <v>12822</v>
      </c>
      <c r="J1868" s="6">
        <f>VLOOKUP(Table1[[#This Row],[Province]],[1]Sheet1!$A$3:$F$37,6,FALSE)</f>
        <v>12448200</v>
      </c>
      <c r="K1868">
        <v>0</v>
      </c>
      <c r="L1868" s="4">
        <v>6.4058169999999999</v>
      </c>
      <c r="M1868" s="4">
        <v>106.064018</v>
      </c>
      <c r="N1868" s="13">
        <v>5.77</v>
      </c>
      <c r="P1868"/>
      <c r="Q1868" s="12"/>
      <c r="R1868" s="12"/>
    </row>
    <row r="1869" spans="1:18" x14ac:dyDescent="0.2">
      <c r="A1869">
        <v>16</v>
      </c>
      <c r="B1869" t="s">
        <v>4</v>
      </c>
      <c r="C1869">
        <v>2018</v>
      </c>
      <c r="D1869">
        <v>7</v>
      </c>
      <c r="E1869" s="4">
        <v>0</v>
      </c>
      <c r="F1869" s="9">
        <v>0</v>
      </c>
      <c r="G1869" s="6">
        <v>7242</v>
      </c>
      <c r="H1869" s="9">
        <f t="shared" si="29"/>
        <v>0</v>
      </c>
      <c r="I1869" s="6">
        <v>12843</v>
      </c>
      <c r="J1869" s="6">
        <f>VLOOKUP(Table1[[#This Row],[Province]],[1]Sheet1!$A$3:$F$37,6,FALSE)</f>
        <v>12448200</v>
      </c>
      <c r="K1869">
        <v>0</v>
      </c>
      <c r="L1869" s="4">
        <v>6.4058169999999999</v>
      </c>
      <c r="M1869" s="4">
        <v>106.064018</v>
      </c>
      <c r="N1869" s="13">
        <v>5.77</v>
      </c>
      <c r="P1869"/>
      <c r="Q1869" s="12"/>
      <c r="R1869" s="12"/>
    </row>
    <row r="1870" spans="1:18" x14ac:dyDescent="0.2">
      <c r="A1870">
        <v>16</v>
      </c>
      <c r="B1870" t="s">
        <v>4</v>
      </c>
      <c r="C1870">
        <v>2018</v>
      </c>
      <c r="D1870">
        <v>8</v>
      </c>
      <c r="E1870" s="4">
        <v>0</v>
      </c>
      <c r="F1870" s="9">
        <v>0</v>
      </c>
      <c r="G1870" s="6">
        <v>8392</v>
      </c>
      <c r="H1870" s="9">
        <f t="shared" si="29"/>
        <v>0</v>
      </c>
      <c r="I1870" s="6">
        <v>12849</v>
      </c>
      <c r="J1870" s="6">
        <f>VLOOKUP(Table1[[#This Row],[Province]],[1]Sheet1!$A$3:$F$37,6,FALSE)</f>
        <v>12448200</v>
      </c>
      <c r="K1870">
        <v>0</v>
      </c>
      <c r="L1870" s="4">
        <v>6.4058169999999999</v>
      </c>
      <c r="M1870" s="4">
        <v>106.064018</v>
      </c>
      <c r="N1870" s="13">
        <v>5.77</v>
      </c>
      <c r="P1870"/>
      <c r="Q1870" s="12"/>
      <c r="R1870" s="12"/>
    </row>
    <row r="1871" spans="1:18" x14ac:dyDescent="0.2">
      <c r="A1871">
        <v>16</v>
      </c>
      <c r="B1871" t="s">
        <v>4</v>
      </c>
      <c r="C1871">
        <v>2018</v>
      </c>
      <c r="D1871">
        <v>9</v>
      </c>
      <c r="E1871" s="4">
        <v>0</v>
      </c>
      <c r="F1871" s="9">
        <v>0</v>
      </c>
      <c r="G1871" s="6">
        <v>6832</v>
      </c>
      <c r="H1871" s="9">
        <f t="shared" si="29"/>
        <v>0</v>
      </c>
      <c r="I1871" s="6">
        <v>13665</v>
      </c>
      <c r="J1871" s="6">
        <f>VLOOKUP(Table1[[#This Row],[Province]],[1]Sheet1!$A$3:$F$37,6,FALSE)</f>
        <v>12448200</v>
      </c>
      <c r="K1871">
        <v>0</v>
      </c>
      <c r="L1871" s="4">
        <v>6.4058169999999999</v>
      </c>
      <c r="M1871" s="4">
        <v>106.064018</v>
      </c>
      <c r="N1871" s="13">
        <v>5.77</v>
      </c>
      <c r="P1871"/>
      <c r="Q1871" s="12"/>
      <c r="R1871" s="12"/>
    </row>
    <row r="1872" spans="1:18" x14ac:dyDescent="0.2">
      <c r="A1872">
        <v>16</v>
      </c>
      <c r="B1872" t="s">
        <v>4</v>
      </c>
      <c r="C1872">
        <v>2018</v>
      </c>
      <c r="D1872">
        <v>11</v>
      </c>
      <c r="E1872" s="4">
        <v>0</v>
      </c>
      <c r="F1872" s="9">
        <v>0</v>
      </c>
      <c r="G1872" s="6">
        <v>8903</v>
      </c>
      <c r="H1872" s="9">
        <f t="shared" si="29"/>
        <v>0</v>
      </c>
      <c r="I1872" s="6">
        <v>13618</v>
      </c>
      <c r="J1872" s="6">
        <f>VLOOKUP(Table1[[#This Row],[Province]],[1]Sheet1!$A$3:$F$37,6,FALSE)</f>
        <v>12448200</v>
      </c>
      <c r="K1872">
        <v>0</v>
      </c>
      <c r="L1872" s="4">
        <v>6.4058169999999999</v>
      </c>
      <c r="M1872" s="4">
        <v>106.064018</v>
      </c>
      <c r="N1872" s="13">
        <v>5.77</v>
      </c>
      <c r="P1872"/>
      <c r="Q1872" s="12"/>
      <c r="R1872" s="12"/>
    </row>
    <row r="1873" spans="1:18" x14ac:dyDescent="0.2">
      <c r="A1873">
        <v>16</v>
      </c>
      <c r="B1873" t="s">
        <v>4</v>
      </c>
      <c r="C1873">
        <v>2018</v>
      </c>
      <c r="D1873">
        <v>12</v>
      </c>
      <c r="E1873" s="4">
        <v>0</v>
      </c>
      <c r="F1873" s="9">
        <v>0</v>
      </c>
      <c r="G1873" s="6">
        <v>6567</v>
      </c>
      <c r="H1873" s="9">
        <f t="shared" si="29"/>
        <v>0</v>
      </c>
      <c r="I1873" s="6">
        <v>13594</v>
      </c>
      <c r="J1873" s="6">
        <f>VLOOKUP(Table1[[#This Row],[Province]],[1]Sheet1!$A$3:$F$37,6,FALSE)</f>
        <v>12448200</v>
      </c>
      <c r="K1873">
        <v>1</v>
      </c>
      <c r="L1873" s="4">
        <v>6.4058169999999999</v>
      </c>
      <c r="M1873" s="4">
        <v>106.064018</v>
      </c>
      <c r="N1873" s="13">
        <v>5.77</v>
      </c>
      <c r="P1873"/>
      <c r="Q1873" s="12"/>
      <c r="R1873" s="12"/>
    </row>
    <row r="1874" spans="1:18" x14ac:dyDescent="0.2">
      <c r="A1874">
        <v>16</v>
      </c>
      <c r="B1874" t="s">
        <v>4</v>
      </c>
      <c r="C1874">
        <v>2019</v>
      </c>
      <c r="D1874">
        <v>1</v>
      </c>
      <c r="E1874" s="4">
        <v>0</v>
      </c>
      <c r="F1874" s="9">
        <v>0</v>
      </c>
      <c r="G1874" s="6">
        <v>7945</v>
      </c>
      <c r="H1874" s="9">
        <f t="shared" si="29"/>
        <v>0</v>
      </c>
      <c r="I1874" s="6">
        <v>13356</v>
      </c>
      <c r="J1874" s="6">
        <f>VLOOKUP(Table1[[#This Row],[Province]],[1]Sheet1!$A$3:$F$37,6,FALSE)</f>
        <v>12448200</v>
      </c>
      <c r="K1874">
        <v>0</v>
      </c>
      <c r="L1874" s="4">
        <v>6.4058169999999999</v>
      </c>
      <c r="M1874" s="4">
        <v>106.064018</v>
      </c>
      <c r="N1874" s="13">
        <v>5.26</v>
      </c>
      <c r="P1874"/>
      <c r="Q1874" s="12"/>
      <c r="R1874" s="12"/>
    </row>
    <row r="1875" spans="1:18" x14ac:dyDescent="0.2">
      <c r="A1875">
        <v>16</v>
      </c>
      <c r="B1875" t="s">
        <v>4</v>
      </c>
      <c r="C1875">
        <v>2019</v>
      </c>
      <c r="D1875">
        <v>2</v>
      </c>
      <c r="E1875" s="4">
        <v>0</v>
      </c>
      <c r="F1875" s="9">
        <v>0</v>
      </c>
      <c r="G1875" s="6">
        <v>6158</v>
      </c>
      <c r="H1875" s="9">
        <f t="shared" si="29"/>
        <v>0</v>
      </c>
      <c r="I1875" s="6">
        <v>13332</v>
      </c>
      <c r="J1875" s="6">
        <f>VLOOKUP(Table1[[#This Row],[Province]],[1]Sheet1!$A$3:$F$37,6,FALSE)</f>
        <v>12448200</v>
      </c>
      <c r="K1875">
        <v>0</v>
      </c>
      <c r="L1875" s="4">
        <v>6.4058169999999999</v>
      </c>
      <c r="M1875" s="4">
        <v>106.064018</v>
      </c>
      <c r="N1875" s="13">
        <v>5.26</v>
      </c>
      <c r="P1875"/>
      <c r="Q1875" s="12"/>
      <c r="R1875" s="12"/>
    </row>
    <row r="1876" spans="1:18" x14ac:dyDescent="0.2">
      <c r="A1876">
        <v>16</v>
      </c>
      <c r="B1876" t="s">
        <v>4</v>
      </c>
      <c r="C1876">
        <v>2019</v>
      </c>
      <c r="D1876">
        <v>3</v>
      </c>
      <c r="E1876" s="4">
        <v>0</v>
      </c>
      <c r="F1876" s="9">
        <v>0</v>
      </c>
      <c r="G1876" s="6">
        <v>1174</v>
      </c>
      <c r="H1876" s="9">
        <f t="shared" si="29"/>
        <v>0</v>
      </c>
      <c r="I1876" s="6">
        <v>13364</v>
      </c>
      <c r="J1876" s="6">
        <f>VLOOKUP(Table1[[#This Row],[Province]],[1]Sheet1!$A$3:$F$37,6,FALSE)</f>
        <v>12448200</v>
      </c>
      <c r="K1876">
        <v>0</v>
      </c>
      <c r="L1876" s="4">
        <v>6.4058169999999999</v>
      </c>
      <c r="M1876" s="4">
        <v>106.064018</v>
      </c>
      <c r="N1876" s="13">
        <v>5.26</v>
      </c>
      <c r="P1876"/>
      <c r="Q1876" s="12"/>
      <c r="R1876" s="12"/>
    </row>
    <row r="1877" spans="1:18" x14ac:dyDescent="0.2">
      <c r="A1877">
        <v>16</v>
      </c>
      <c r="B1877" t="s">
        <v>4</v>
      </c>
      <c r="C1877">
        <v>2019</v>
      </c>
      <c r="D1877">
        <v>4</v>
      </c>
      <c r="E1877" s="4">
        <v>0</v>
      </c>
      <c r="F1877" s="9">
        <v>0</v>
      </c>
      <c r="G1877" s="6">
        <v>7467</v>
      </c>
      <c r="H1877" s="9">
        <f t="shared" si="29"/>
        <v>0</v>
      </c>
      <c r="I1877" s="6">
        <v>13450</v>
      </c>
      <c r="J1877" s="6">
        <f>VLOOKUP(Table1[[#This Row],[Province]],[1]Sheet1!$A$3:$F$37,6,FALSE)</f>
        <v>12448200</v>
      </c>
      <c r="K1877">
        <v>0</v>
      </c>
      <c r="L1877" s="4">
        <v>6.4058169999999999</v>
      </c>
      <c r="M1877" s="4">
        <v>106.064018</v>
      </c>
      <c r="N1877" s="13">
        <v>5.26</v>
      </c>
      <c r="P1877"/>
      <c r="Q1877" s="12"/>
      <c r="R1877" s="12"/>
    </row>
    <row r="1878" spans="1:18" x14ac:dyDescent="0.2">
      <c r="A1878">
        <v>16</v>
      </c>
      <c r="B1878" t="s">
        <v>4</v>
      </c>
      <c r="C1878">
        <v>2019</v>
      </c>
      <c r="D1878">
        <v>5</v>
      </c>
      <c r="E1878" s="4">
        <v>0</v>
      </c>
      <c r="F1878" s="9">
        <v>0</v>
      </c>
      <c r="G1878" s="6">
        <v>10459</v>
      </c>
      <c r="H1878" s="9">
        <f t="shared" si="29"/>
        <v>0</v>
      </c>
      <c r="I1878" s="6">
        <v>13612</v>
      </c>
      <c r="J1878" s="6">
        <f>VLOOKUP(Table1[[#This Row],[Province]],[1]Sheet1!$A$3:$F$37,6,FALSE)</f>
        <v>12448200</v>
      </c>
      <c r="K1878">
        <v>1</v>
      </c>
      <c r="L1878" s="4">
        <v>6.4058169999999999</v>
      </c>
      <c r="M1878" s="4">
        <v>106.064018</v>
      </c>
      <c r="N1878" s="13">
        <v>5.26</v>
      </c>
      <c r="P1878"/>
      <c r="Q1878" s="12"/>
      <c r="R1878" s="12"/>
    </row>
    <row r="1879" spans="1:18" x14ac:dyDescent="0.2">
      <c r="A1879">
        <v>16</v>
      </c>
      <c r="B1879" t="s">
        <v>4</v>
      </c>
      <c r="C1879">
        <v>2019</v>
      </c>
      <c r="D1879">
        <v>6</v>
      </c>
      <c r="E1879" s="4">
        <v>0</v>
      </c>
      <c r="F1879" s="9">
        <v>0</v>
      </c>
      <c r="G1879" s="6">
        <v>15292</v>
      </c>
      <c r="H1879" s="9">
        <f t="shared" si="29"/>
        <v>0</v>
      </c>
      <c r="I1879" s="6">
        <v>12612</v>
      </c>
      <c r="J1879" s="6">
        <f>VLOOKUP(Table1[[#This Row],[Province]],[1]Sheet1!$A$3:$F$37,6,FALSE)</f>
        <v>12448200</v>
      </c>
      <c r="K1879">
        <v>0</v>
      </c>
      <c r="L1879" s="4">
        <v>6.4058169999999999</v>
      </c>
      <c r="M1879" s="4">
        <v>106.064018</v>
      </c>
      <c r="N1879" s="13">
        <v>5.26</v>
      </c>
      <c r="P1879"/>
      <c r="Q1879" s="12"/>
      <c r="R1879" s="12"/>
    </row>
    <row r="1880" spans="1:18" x14ac:dyDescent="0.2">
      <c r="A1880">
        <v>16</v>
      </c>
      <c r="B1880" t="s">
        <v>4</v>
      </c>
      <c r="C1880">
        <v>2019</v>
      </c>
      <c r="D1880">
        <v>7</v>
      </c>
      <c r="E1880" s="4">
        <v>0</v>
      </c>
      <c r="F1880" s="9">
        <v>0</v>
      </c>
      <c r="G1880" s="6">
        <v>9310</v>
      </c>
      <c r="H1880" s="9">
        <f t="shared" si="29"/>
        <v>0</v>
      </c>
      <c r="I1880" s="6">
        <v>13527</v>
      </c>
      <c r="J1880" s="6">
        <f>VLOOKUP(Table1[[#This Row],[Province]],[1]Sheet1!$A$3:$F$37,6,FALSE)</f>
        <v>12448200</v>
      </c>
      <c r="K1880">
        <v>0</v>
      </c>
      <c r="L1880" s="4">
        <v>6.4058169999999999</v>
      </c>
      <c r="M1880" s="4">
        <v>106.064018</v>
      </c>
      <c r="N1880" s="13">
        <v>5.26</v>
      </c>
      <c r="P1880"/>
      <c r="Q1880" s="12"/>
      <c r="R1880" s="12"/>
    </row>
    <row r="1881" spans="1:18" x14ac:dyDescent="0.2">
      <c r="A1881">
        <v>16</v>
      </c>
      <c r="B1881" t="s">
        <v>4</v>
      </c>
      <c r="C1881">
        <v>2019</v>
      </c>
      <c r="D1881">
        <v>8</v>
      </c>
      <c r="E1881" s="4">
        <v>0</v>
      </c>
      <c r="F1881" s="9">
        <v>0</v>
      </c>
      <c r="G1881" s="6">
        <v>9305</v>
      </c>
      <c r="H1881" s="9">
        <f t="shared" si="29"/>
        <v>0</v>
      </c>
      <c r="I1881" s="6">
        <v>13493</v>
      </c>
      <c r="J1881" s="6">
        <f>VLOOKUP(Table1[[#This Row],[Province]],[1]Sheet1!$A$3:$F$37,6,FALSE)</f>
        <v>12448200</v>
      </c>
      <c r="K1881">
        <v>0</v>
      </c>
      <c r="L1881" s="4">
        <v>6.4058169999999999</v>
      </c>
      <c r="M1881" s="4">
        <v>106.064018</v>
      </c>
      <c r="N1881" s="13">
        <v>5.26</v>
      </c>
      <c r="P1881"/>
      <c r="Q1881" s="12"/>
      <c r="R1881" s="12"/>
    </row>
    <row r="1882" spans="1:18" x14ac:dyDescent="0.2">
      <c r="A1882">
        <v>16</v>
      </c>
      <c r="B1882" t="s">
        <v>4</v>
      </c>
      <c r="C1882">
        <v>2019</v>
      </c>
      <c r="D1882">
        <v>9</v>
      </c>
      <c r="E1882" s="4">
        <v>0</v>
      </c>
      <c r="F1882" s="9">
        <v>0</v>
      </c>
      <c r="G1882" s="6">
        <v>7085</v>
      </c>
      <c r="H1882" s="9">
        <f t="shared" si="29"/>
        <v>0</v>
      </c>
      <c r="I1882" s="6">
        <v>13374</v>
      </c>
      <c r="J1882" s="6">
        <f>VLOOKUP(Table1[[#This Row],[Province]],[1]Sheet1!$A$3:$F$37,6,FALSE)</f>
        <v>12448200</v>
      </c>
      <c r="K1882">
        <v>0</v>
      </c>
      <c r="L1882" s="4">
        <v>6.4058169999999999</v>
      </c>
      <c r="M1882" s="4">
        <v>106.064018</v>
      </c>
      <c r="N1882" s="13">
        <v>5.26</v>
      </c>
      <c r="P1882"/>
      <c r="Q1882" s="12"/>
      <c r="R1882" s="12"/>
    </row>
    <row r="1883" spans="1:18" x14ac:dyDescent="0.2">
      <c r="A1883">
        <v>16</v>
      </c>
      <c r="B1883" t="s">
        <v>4</v>
      </c>
      <c r="C1883">
        <v>2019</v>
      </c>
      <c r="D1883">
        <v>10</v>
      </c>
      <c r="E1883" s="4">
        <v>0</v>
      </c>
      <c r="F1883" s="9">
        <v>0</v>
      </c>
      <c r="G1883" s="6">
        <v>11191</v>
      </c>
      <c r="H1883" s="9">
        <f t="shared" si="29"/>
        <v>0</v>
      </c>
      <c r="I1883" s="6">
        <v>13261</v>
      </c>
      <c r="J1883" s="6">
        <f>VLOOKUP(Table1[[#This Row],[Province]],[1]Sheet1!$A$3:$F$37,6,FALSE)</f>
        <v>12448200</v>
      </c>
      <c r="K1883">
        <v>0</v>
      </c>
      <c r="L1883" s="4">
        <v>6.4058169999999999</v>
      </c>
      <c r="M1883" s="4">
        <v>106.064018</v>
      </c>
      <c r="N1883" s="13">
        <v>5.26</v>
      </c>
      <c r="P1883"/>
      <c r="Q1883" s="12"/>
      <c r="R1883" s="12"/>
    </row>
    <row r="1884" spans="1:18" x14ac:dyDescent="0.2">
      <c r="A1884">
        <v>16</v>
      </c>
      <c r="B1884" t="s">
        <v>4</v>
      </c>
      <c r="C1884">
        <v>2019</v>
      </c>
      <c r="D1884">
        <v>11</v>
      </c>
      <c r="E1884" s="4">
        <v>0</v>
      </c>
      <c r="F1884" s="9">
        <v>0</v>
      </c>
      <c r="G1884" s="6">
        <v>6334</v>
      </c>
      <c r="H1884" s="9">
        <f t="shared" si="29"/>
        <v>0</v>
      </c>
      <c r="I1884" s="6">
        <v>12828</v>
      </c>
      <c r="J1884" s="6">
        <f>VLOOKUP(Table1[[#This Row],[Province]],[1]Sheet1!$A$3:$F$37,6,FALSE)</f>
        <v>12448200</v>
      </c>
      <c r="K1884">
        <v>0</v>
      </c>
      <c r="L1884" s="4">
        <v>6.4058169999999999</v>
      </c>
      <c r="M1884" s="4">
        <v>106.064018</v>
      </c>
      <c r="N1884" s="13">
        <v>5.26</v>
      </c>
      <c r="P1884"/>
      <c r="Q1884" s="12"/>
      <c r="R1884" s="12"/>
    </row>
    <row r="1885" spans="1:18" x14ac:dyDescent="0.2">
      <c r="A1885">
        <v>16</v>
      </c>
      <c r="B1885" t="s">
        <v>4</v>
      </c>
      <c r="C1885">
        <v>2019</v>
      </c>
      <c r="D1885">
        <v>12</v>
      </c>
      <c r="E1885" s="4">
        <v>0</v>
      </c>
      <c r="F1885" s="9">
        <v>0</v>
      </c>
      <c r="G1885" s="6">
        <v>7743</v>
      </c>
      <c r="H1885" s="9">
        <f t="shared" si="29"/>
        <v>0</v>
      </c>
      <c r="I1885" s="6">
        <v>13532</v>
      </c>
      <c r="J1885" s="6">
        <f>VLOOKUP(Table1[[#This Row],[Province]],[1]Sheet1!$A$3:$F$37,6,FALSE)</f>
        <v>12448200</v>
      </c>
      <c r="K1885">
        <v>1</v>
      </c>
      <c r="L1885" s="4">
        <v>6.4058169999999999</v>
      </c>
      <c r="M1885" s="4">
        <v>106.064018</v>
      </c>
      <c r="N1885" s="13">
        <v>5.26</v>
      </c>
      <c r="P1885"/>
      <c r="Q1885" s="12"/>
      <c r="R1885" s="12"/>
    </row>
    <row r="1886" spans="1:18" x14ac:dyDescent="0.2">
      <c r="A1886">
        <v>16</v>
      </c>
      <c r="B1886" t="s">
        <v>4</v>
      </c>
      <c r="C1886">
        <v>2020</v>
      </c>
      <c r="D1886">
        <v>1</v>
      </c>
      <c r="E1886" s="4">
        <v>0</v>
      </c>
      <c r="F1886" s="9">
        <v>0</v>
      </c>
      <c r="G1886" s="6">
        <v>11574</v>
      </c>
      <c r="H1886" s="9">
        <f t="shared" si="29"/>
        <v>0</v>
      </c>
      <c r="I1886" s="6">
        <v>13942</v>
      </c>
      <c r="J1886" s="6">
        <f>VLOOKUP(Table1[[#This Row],[Province]],[1]Sheet1!$A$3:$F$37,6,FALSE)</f>
        <v>12448200</v>
      </c>
      <c r="K1886">
        <v>0</v>
      </c>
      <c r="L1886" s="4">
        <v>6.4058169999999999</v>
      </c>
      <c r="M1886" s="4">
        <v>106.064018</v>
      </c>
      <c r="N1886" s="13">
        <v>-3.39</v>
      </c>
      <c r="P1886"/>
      <c r="Q1886" s="12"/>
      <c r="R1886" s="12"/>
    </row>
    <row r="1887" spans="1:18" x14ac:dyDescent="0.2">
      <c r="A1887">
        <v>16</v>
      </c>
      <c r="B1887" t="s">
        <v>4</v>
      </c>
      <c r="C1887">
        <v>2020</v>
      </c>
      <c r="D1887">
        <v>2</v>
      </c>
      <c r="E1887" s="4">
        <v>0</v>
      </c>
      <c r="F1887" s="9">
        <v>0</v>
      </c>
      <c r="G1887" s="6">
        <v>6471</v>
      </c>
      <c r="H1887" s="9">
        <f t="shared" si="29"/>
        <v>0</v>
      </c>
      <c r="I1887" s="6">
        <v>14082</v>
      </c>
      <c r="J1887" s="6">
        <f>VLOOKUP(Table1[[#This Row],[Province]],[1]Sheet1!$A$3:$F$37,6,FALSE)</f>
        <v>12448200</v>
      </c>
      <c r="K1887">
        <v>0</v>
      </c>
      <c r="L1887" s="4">
        <v>6.4058169999999999</v>
      </c>
      <c r="M1887" s="4">
        <v>106.064018</v>
      </c>
      <c r="N1887" s="13">
        <v>-3.39</v>
      </c>
      <c r="P1887"/>
      <c r="Q1887" s="12"/>
      <c r="R1887" s="12"/>
    </row>
    <row r="1888" spans="1:18" x14ac:dyDescent="0.2">
      <c r="A1888">
        <v>16</v>
      </c>
      <c r="B1888" t="s">
        <v>4</v>
      </c>
      <c r="C1888">
        <v>2020</v>
      </c>
      <c r="D1888">
        <v>3</v>
      </c>
      <c r="E1888" s="4">
        <v>0</v>
      </c>
      <c r="F1888" s="9">
        <v>0</v>
      </c>
      <c r="G1888" s="6">
        <v>8101</v>
      </c>
      <c r="H1888" s="9">
        <f t="shared" si="29"/>
        <v>0</v>
      </c>
      <c r="I1888" s="6">
        <v>16303</v>
      </c>
      <c r="J1888" s="6">
        <f>VLOOKUP(Table1[[#This Row],[Province]],[1]Sheet1!$A$3:$F$37,6,FALSE)</f>
        <v>12448200</v>
      </c>
      <c r="K1888">
        <v>0</v>
      </c>
      <c r="L1888" s="4">
        <v>6.4058169999999999</v>
      </c>
      <c r="M1888" s="4">
        <v>106.064018</v>
      </c>
      <c r="N1888" s="13">
        <v>-3.39</v>
      </c>
      <c r="P1888"/>
      <c r="Q1888" s="12"/>
      <c r="R1888" s="12"/>
    </row>
    <row r="1889" spans="1:18" x14ac:dyDescent="0.2">
      <c r="A1889">
        <v>16</v>
      </c>
      <c r="B1889" t="s">
        <v>4</v>
      </c>
      <c r="C1889">
        <v>2020</v>
      </c>
      <c r="D1889">
        <v>4</v>
      </c>
      <c r="E1889" s="4">
        <v>0</v>
      </c>
      <c r="F1889" s="9">
        <v>0</v>
      </c>
      <c r="G1889" s="6">
        <v>10643</v>
      </c>
      <c r="H1889" s="9">
        <f t="shared" si="29"/>
        <v>0</v>
      </c>
      <c r="I1889" s="6">
        <v>18299</v>
      </c>
      <c r="J1889" s="6">
        <f>VLOOKUP(Table1[[#This Row],[Province]],[1]Sheet1!$A$3:$F$37,6,FALSE)</f>
        <v>12448200</v>
      </c>
      <c r="K1889">
        <v>1</v>
      </c>
      <c r="L1889" s="4">
        <v>6.4058169999999999</v>
      </c>
      <c r="M1889" s="4">
        <v>106.064018</v>
      </c>
      <c r="N1889" s="13">
        <v>-3.39</v>
      </c>
      <c r="P1889"/>
      <c r="Q1889" s="12"/>
      <c r="R1889" s="12"/>
    </row>
    <row r="1890" spans="1:18" x14ac:dyDescent="0.2">
      <c r="A1890">
        <v>16</v>
      </c>
      <c r="B1890" t="s">
        <v>4</v>
      </c>
      <c r="C1890">
        <v>2020</v>
      </c>
      <c r="D1890">
        <v>5</v>
      </c>
      <c r="E1890" s="4">
        <v>0</v>
      </c>
      <c r="F1890" s="9">
        <v>0</v>
      </c>
      <c r="G1890" s="6">
        <v>6956</v>
      </c>
      <c r="H1890" s="9">
        <f t="shared" si="29"/>
        <v>0</v>
      </c>
      <c r="I1890" s="6">
        <v>18079</v>
      </c>
      <c r="J1890" s="6">
        <f>VLOOKUP(Table1[[#This Row],[Province]],[1]Sheet1!$A$3:$F$37,6,FALSE)</f>
        <v>12448200</v>
      </c>
      <c r="K1890">
        <v>0</v>
      </c>
      <c r="L1890" s="4">
        <v>6.4058169999999999</v>
      </c>
      <c r="M1890" s="4">
        <v>106.064018</v>
      </c>
      <c r="N1890" s="13">
        <v>-3.39</v>
      </c>
      <c r="P1890"/>
      <c r="Q1890" s="12"/>
      <c r="R1890" s="12"/>
    </row>
    <row r="1891" spans="1:18" x14ac:dyDescent="0.2">
      <c r="A1891">
        <v>16</v>
      </c>
      <c r="B1891" t="s">
        <v>4</v>
      </c>
      <c r="C1891">
        <v>2020</v>
      </c>
      <c r="D1891">
        <v>6</v>
      </c>
      <c r="E1891" s="4">
        <v>0</v>
      </c>
      <c r="F1891" s="9">
        <v>0</v>
      </c>
      <c r="G1891" s="6">
        <v>17644</v>
      </c>
      <c r="H1891" s="9">
        <f t="shared" si="29"/>
        <v>0</v>
      </c>
      <c r="I1891" s="6">
        <v>16765</v>
      </c>
      <c r="J1891" s="6">
        <f>VLOOKUP(Table1[[#This Row],[Province]],[1]Sheet1!$A$3:$F$37,6,FALSE)</f>
        <v>12448200</v>
      </c>
      <c r="K1891">
        <v>0</v>
      </c>
      <c r="L1891" s="4">
        <v>6.4058169999999999</v>
      </c>
      <c r="M1891" s="4">
        <v>106.064018</v>
      </c>
      <c r="N1891" s="13">
        <v>-3.39</v>
      </c>
      <c r="P1891"/>
      <c r="Q1891" s="12"/>
      <c r="R1891" s="12"/>
    </row>
    <row r="1892" spans="1:18" x14ac:dyDescent="0.2">
      <c r="A1892">
        <v>16</v>
      </c>
      <c r="B1892" t="s">
        <v>4</v>
      </c>
      <c r="C1892">
        <v>2020</v>
      </c>
      <c r="D1892">
        <v>7</v>
      </c>
      <c r="E1892" s="4">
        <v>0</v>
      </c>
      <c r="F1892" s="9">
        <v>0</v>
      </c>
      <c r="G1892" s="6">
        <v>6779</v>
      </c>
      <c r="H1892" s="9">
        <f t="shared" si="29"/>
        <v>0</v>
      </c>
      <c r="I1892" s="6">
        <v>15645</v>
      </c>
      <c r="J1892" s="6">
        <f>VLOOKUP(Table1[[#This Row],[Province]],[1]Sheet1!$A$3:$F$37,6,FALSE)</f>
        <v>12448200</v>
      </c>
      <c r="K1892">
        <v>0</v>
      </c>
      <c r="L1892" s="4">
        <v>6.4058169999999999</v>
      </c>
      <c r="M1892" s="4">
        <v>106.064018</v>
      </c>
      <c r="N1892" s="13">
        <v>-3.39</v>
      </c>
      <c r="P1892"/>
      <c r="Q1892" s="12"/>
      <c r="R1892" s="12"/>
    </row>
    <row r="1893" spans="1:18" x14ac:dyDescent="0.2">
      <c r="A1893">
        <v>16</v>
      </c>
      <c r="B1893" t="s">
        <v>4</v>
      </c>
      <c r="C1893">
        <v>2020</v>
      </c>
      <c r="D1893">
        <v>8</v>
      </c>
      <c r="E1893" s="4">
        <v>0</v>
      </c>
      <c r="F1893" s="9">
        <v>0</v>
      </c>
      <c r="G1893" s="6">
        <v>14631</v>
      </c>
      <c r="H1893" s="9">
        <f t="shared" si="29"/>
        <v>0</v>
      </c>
      <c r="I1893" s="6">
        <v>15021</v>
      </c>
      <c r="J1893" s="6">
        <f>VLOOKUP(Table1[[#This Row],[Province]],[1]Sheet1!$A$3:$F$37,6,FALSE)</f>
        <v>12448200</v>
      </c>
      <c r="K1893">
        <v>0</v>
      </c>
      <c r="L1893" s="4">
        <v>6.4058169999999999</v>
      </c>
      <c r="M1893" s="4">
        <v>106.064018</v>
      </c>
      <c r="N1893" s="13">
        <v>-3.39</v>
      </c>
      <c r="P1893"/>
      <c r="Q1893" s="12"/>
      <c r="R1893" s="12"/>
    </row>
    <row r="1894" spans="1:18" x14ac:dyDescent="0.2">
      <c r="A1894">
        <v>16</v>
      </c>
      <c r="B1894" t="s">
        <v>4</v>
      </c>
      <c r="C1894">
        <v>2020</v>
      </c>
      <c r="D1894">
        <v>9</v>
      </c>
      <c r="E1894" s="4">
        <v>0</v>
      </c>
      <c r="F1894" s="9">
        <v>0</v>
      </c>
      <c r="G1894" s="6">
        <v>6995</v>
      </c>
      <c r="H1894" s="9">
        <f t="shared" si="29"/>
        <v>0</v>
      </c>
      <c r="I1894" s="6">
        <v>14627</v>
      </c>
      <c r="J1894" s="6">
        <f>VLOOKUP(Table1[[#This Row],[Province]],[1]Sheet1!$A$3:$F$37,6,FALSE)</f>
        <v>12448200</v>
      </c>
      <c r="K1894">
        <v>0</v>
      </c>
      <c r="L1894" s="4">
        <v>6.4058169999999999</v>
      </c>
      <c r="M1894" s="4">
        <v>106.064018</v>
      </c>
      <c r="N1894" s="13">
        <v>-3.39</v>
      </c>
      <c r="P1894"/>
      <c r="Q1894" s="12"/>
      <c r="R1894" s="12"/>
    </row>
    <row r="1895" spans="1:18" x14ac:dyDescent="0.2">
      <c r="A1895">
        <v>16</v>
      </c>
      <c r="B1895" t="s">
        <v>4</v>
      </c>
      <c r="C1895">
        <v>2020</v>
      </c>
      <c r="D1895">
        <v>10</v>
      </c>
      <c r="E1895" s="4">
        <v>0</v>
      </c>
      <c r="F1895" s="9">
        <v>0</v>
      </c>
      <c r="G1895" s="6">
        <v>13253</v>
      </c>
      <c r="H1895" s="9">
        <f t="shared" si="29"/>
        <v>0</v>
      </c>
      <c r="I1895" s="6">
        <v>14527</v>
      </c>
      <c r="J1895" s="6">
        <f>VLOOKUP(Table1[[#This Row],[Province]],[1]Sheet1!$A$3:$F$37,6,FALSE)</f>
        <v>12448200</v>
      </c>
      <c r="K1895">
        <v>0</v>
      </c>
      <c r="L1895" s="4">
        <v>6.4058169999999999</v>
      </c>
      <c r="M1895" s="4">
        <v>106.064018</v>
      </c>
      <c r="N1895" s="13">
        <v>-3.39</v>
      </c>
      <c r="P1895"/>
      <c r="Q1895" s="12"/>
      <c r="R1895" s="12"/>
    </row>
    <row r="1896" spans="1:18" x14ac:dyDescent="0.2">
      <c r="A1896">
        <v>16</v>
      </c>
      <c r="B1896" t="s">
        <v>4</v>
      </c>
      <c r="C1896">
        <v>2020</v>
      </c>
      <c r="D1896">
        <v>11</v>
      </c>
      <c r="E1896" s="4">
        <v>0</v>
      </c>
      <c r="F1896" s="9">
        <v>0</v>
      </c>
      <c r="G1896" s="6">
        <v>9564</v>
      </c>
      <c r="H1896" s="9">
        <f t="shared" si="29"/>
        <v>0</v>
      </c>
      <c r="I1896" s="6">
        <v>14420</v>
      </c>
      <c r="J1896" s="6">
        <f>VLOOKUP(Table1[[#This Row],[Province]],[1]Sheet1!$A$3:$F$37,6,FALSE)</f>
        <v>12448200</v>
      </c>
      <c r="K1896">
        <v>0</v>
      </c>
      <c r="L1896" s="4">
        <v>6.4058169999999999</v>
      </c>
      <c r="M1896" s="4">
        <v>106.064018</v>
      </c>
      <c r="N1896" s="13">
        <v>-3.39</v>
      </c>
      <c r="P1896"/>
      <c r="Q1896" s="12"/>
      <c r="R1896" s="12"/>
    </row>
    <row r="1897" spans="1:18" x14ac:dyDescent="0.2">
      <c r="A1897">
        <v>16</v>
      </c>
      <c r="B1897" t="s">
        <v>4</v>
      </c>
      <c r="C1897">
        <v>2020</v>
      </c>
      <c r="D1897">
        <v>12</v>
      </c>
      <c r="E1897" s="4">
        <v>0</v>
      </c>
      <c r="F1897" s="9">
        <v>0</v>
      </c>
      <c r="G1897" s="6">
        <v>5661</v>
      </c>
      <c r="H1897" s="9">
        <f t="shared" si="29"/>
        <v>0</v>
      </c>
      <c r="I1897" s="6">
        <v>13843</v>
      </c>
      <c r="J1897" s="6">
        <f>VLOOKUP(Table1[[#This Row],[Province]],[1]Sheet1!$A$3:$F$37,6,FALSE)</f>
        <v>12448200</v>
      </c>
      <c r="K1897">
        <v>1</v>
      </c>
      <c r="L1897" s="4">
        <v>6.4058169999999999</v>
      </c>
      <c r="M1897" s="4">
        <v>106.064018</v>
      </c>
      <c r="N1897" s="13">
        <v>-3.39</v>
      </c>
      <c r="P1897"/>
      <c r="Q1897" s="12"/>
      <c r="R1897" s="12"/>
    </row>
    <row r="1898" spans="1:18" x14ac:dyDescent="0.2">
      <c r="A1898">
        <v>16</v>
      </c>
      <c r="B1898" t="s">
        <v>4</v>
      </c>
      <c r="C1898">
        <v>2021</v>
      </c>
      <c r="D1898">
        <v>1</v>
      </c>
      <c r="E1898" s="4">
        <v>0</v>
      </c>
      <c r="F1898" s="9">
        <v>0</v>
      </c>
      <c r="G1898" s="6">
        <v>4948</v>
      </c>
      <c r="H1898" s="9">
        <f t="shared" si="29"/>
        <v>0</v>
      </c>
      <c r="I1898" s="6">
        <v>14263</v>
      </c>
      <c r="J1898" s="6">
        <f>VLOOKUP(Table1[[#This Row],[Province]],[1]Sheet1!$A$3:$F$37,6,FALSE)</f>
        <v>12448200</v>
      </c>
      <c r="K1898">
        <v>0</v>
      </c>
      <c r="L1898" s="4">
        <v>6.4058169999999999</v>
      </c>
      <c r="M1898" s="4">
        <v>106.064018</v>
      </c>
      <c r="N1898" s="13">
        <v>4.49</v>
      </c>
      <c r="P1898"/>
      <c r="Q1898" s="12"/>
      <c r="R1898" s="12"/>
    </row>
    <row r="1899" spans="1:18" x14ac:dyDescent="0.2">
      <c r="A1899">
        <v>16</v>
      </c>
      <c r="B1899" t="s">
        <v>4</v>
      </c>
      <c r="C1899">
        <v>2021</v>
      </c>
      <c r="D1899">
        <v>2</v>
      </c>
      <c r="E1899" s="4">
        <v>0</v>
      </c>
      <c r="F1899" s="9">
        <v>0</v>
      </c>
      <c r="G1899" s="6">
        <v>3133</v>
      </c>
      <c r="H1899" s="9">
        <f t="shared" si="29"/>
        <v>0</v>
      </c>
      <c r="I1899" s="6">
        <v>14220</v>
      </c>
      <c r="J1899" s="6">
        <f>VLOOKUP(Table1[[#This Row],[Province]],[1]Sheet1!$A$3:$F$37,6,FALSE)</f>
        <v>12448200</v>
      </c>
      <c r="K1899">
        <v>0</v>
      </c>
      <c r="L1899" s="4">
        <v>6.4058169999999999</v>
      </c>
      <c r="M1899" s="4">
        <v>106.064018</v>
      </c>
      <c r="N1899" s="13">
        <v>4.49</v>
      </c>
      <c r="P1899"/>
      <c r="Q1899" s="12"/>
      <c r="R1899" s="12"/>
    </row>
    <row r="1900" spans="1:18" x14ac:dyDescent="0.2">
      <c r="A1900">
        <v>16</v>
      </c>
      <c r="B1900" t="s">
        <v>4</v>
      </c>
      <c r="C1900">
        <v>2021</v>
      </c>
      <c r="D1900">
        <v>3</v>
      </c>
      <c r="E1900" s="4">
        <v>0</v>
      </c>
      <c r="F1900" s="9">
        <v>0</v>
      </c>
      <c r="G1900" s="6">
        <v>972</v>
      </c>
      <c r="H1900" s="9">
        <f t="shared" si="29"/>
        <v>0</v>
      </c>
      <c r="I1900" s="6">
        <v>14479</v>
      </c>
      <c r="J1900" s="6">
        <f>VLOOKUP(Table1[[#This Row],[Province]],[1]Sheet1!$A$3:$F$37,6,FALSE)</f>
        <v>12448200</v>
      </c>
      <c r="K1900">
        <v>0</v>
      </c>
      <c r="L1900" s="4">
        <v>6.4058169999999999</v>
      </c>
      <c r="M1900" s="4">
        <v>106.064018</v>
      </c>
      <c r="N1900" s="13">
        <v>4.49</v>
      </c>
      <c r="P1900"/>
      <c r="Q1900" s="12"/>
      <c r="R1900" s="12"/>
    </row>
    <row r="1901" spans="1:18" x14ac:dyDescent="0.2">
      <c r="A1901">
        <v>16</v>
      </c>
      <c r="B1901" t="s">
        <v>4</v>
      </c>
      <c r="C1901">
        <v>2021</v>
      </c>
      <c r="D1901">
        <v>4</v>
      </c>
      <c r="E1901" s="4">
        <v>0</v>
      </c>
      <c r="F1901" s="9">
        <v>0</v>
      </c>
      <c r="G1901" s="6">
        <v>6539</v>
      </c>
      <c r="H1901" s="9">
        <f t="shared" si="29"/>
        <v>0</v>
      </c>
      <c r="I1901" s="6">
        <v>13775</v>
      </c>
      <c r="J1901" s="6">
        <f>VLOOKUP(Table1[[#This Row],[Province]],[1]Sheet1!$A$3:$F$37,6,FALSE)</f>
        <v>12448200</v>
      </c>
      <c r="K1901">
        <v>1</v>
      </c>
      <c r="L1901" s="4">
        <v>6.4058169999999999</v>
      </c>
      <c r="M1901" s="4">
        <v>106.064018</v>
      </c>
      <c r="N1901" s="13">
        <v>4.49</v>
      </c>
      <c r="P1901"/>
      <c r="Q1901" s="12"/>
      <c r="R1901" s="12"/>
    </row>
    <row r="1902" spans="1:18" x14ac:dyDescent="0.2">
      <c r="A1902">
        <v>16</v>
      </c>
      <c r="B1902" t="s">
        <v>4</v>
      </c>
      <c r="C1902">
        <v>2021</v>
      </c>
      <c r="D1902">
        <v>5</v>
      </c>
      <c r="E1902" s="4">
        <v>0</v>
      </c>
      <c r="F1902" s="9">
        <v>0</v>
      </c>
      <c r="G1902" s="6">
        <v>1449</v>
      </c>
      <c r="H1902" s="9">
        <f t="shared" si="29"/>
        <v>0</v>
      </c>
      <c r="I1902" s="6">
        <v>13800</v>
      </c>
      <c r="J1902" s="6">
        <f>VLOOKUP(Table1[[#This Row],[Province]],[1]Sheet1!$A$3:$F$37,6,FALSE)</f>
        <v>12448200</v>
      </c>
      <c r="K1902">
        <v>0</v>
      </c>
      <c r="L1902" s="4">
        <v>6.4058169999999999</v>
      </c>
      <c r="M1902" s="4">
        <v>106.064018</v>
      </c>
      <c r="N1902" s="13">
        <v>4.49</v>
      </c>
      <c r="P1902"/>
      <c r="Q1902" s="12"/>
      <c r="R1902" s="12"/>
    </row>
    <row r="1903" spans="1:18" x14ac:dyDescent="0.2">
      <c r="A1903">
        <v>16</v>
      </c>
      <c r="B1903" t="s">
        <v>4</v>
      </c>
      <c r="C1903">
        <v>2021</v>
      </c>
      <c r="D1903">
        <v>6</v>
      </c>
      <c r="E1903" s="4">
        <v>0</v>
      </c>
      <c r="F1903" s="9">
        <v>0</v>
      </c>
      <c r="G1903" s="6">
        <v>2891</v>
      </c>
      <c r="H1903" s="9">
        <f t="shared" si="29"/>
        <v>0</v>
      </c>
      <c r="I1903" s="6">
        <v>13338</v>
      </c>
      <c r="J1903" s="6">
        <f>VLOOKUP(Table1[[#This Row],[Province]],[1]Sheet1!$A$3:$F$37,6,FALSE)</f>
        <v>12448200</v>
      </c>
      <c r="K1903">
        <v>0</v>
      </c>
      <c r="L1903" s="4">
        <v>6.4058169999999999</v>
      </c>
      <c r="M1903" s="4">
        <v>106.064018</v>
      </c>
      <c r="N1903" s="13">
        <v>4.49</v>
      </c>
      <c r="P1903"/>
      <c r="Q1903" s="12"/>
      <c r="R1903" s="12"/>
    </row>
    <row r="1904" spans="1:18" x14ac:dyDescent="0.2">
      <c r="A1904">
        <v>16</v>
      </c>
      <c r="B1904" t="s">
        <v>4</v>
      </c>
      <c r="C1904">
        <v>2021</v>
      </c>
      <c r="D1904">
        <v>7</v>
      </c>
      <c r="E1904" s="4">
        <v>0</v>
      </c>
      <c r="F1904" s="9">
        <v>0</v>
      </c>
      <c r="G1904" s="6">
        <v>8945</v>
      </c>
      <c r="H1904" s="9">
        <f t="shared" si="29"/>
        <v>0</v>
      </c>
      <c r="I1904" s="6">
        <v>13150</v>
      </c>
      <c r="J1904" s="6">
        <f>VLOOKUP(Table1[[#This Row],[Province]],[1]Sheet1!$A$3:$F$37,6,FALSE)</f>
        <v>12448200</v>
      </c>
      <c r="K1904">
        <v>0</v>
      </c>
      <c r="L1904" s="4">
        <v>6.4058169999999999</v>
      </c>
      <c r="M1904" s="4">
        <v>106.064018</v>
      </c>
      <c r="N1904" s="13">
        <v>4.49</v>
      </c>
      <c r="P1904"/>
      <c r="Q1904" s="12"/>
      <c r="R1904" s="12"/>
    </row>
    <row r="1905" spans="1:18" x14ac:dyDescent="0.2">
      <c r="A1905">
        <v>16</v>
      </c>
      <c r="B1905" t="s">
        <v>4</v>
      </c>
      <c r="C1905">
        <v>2021</v>
      </c>
      <c r="D1905">
        <v>8</v>
      </c>
      <c r="E1905" s="4">
        <v>0</v>
      </c>
      <c r="F1905" s="9">
        <v>0</v>
      </c>
      <c r="G1905" s="6">
        <v>4697</v>
      </c>
      <c r="H1905" s="9">
        <f t="shared" si="29"/>
        <v>0</v>
      </c>
      <c r="I1905" s="6">
        <v>13110</v>
      </c>
      <c r="J1905" s="6">
        <f>VLOOKUP(Table1[[#This Row],[Province]],[1]Sheet1!$A$3:$F$37,6,FALSE)</f>
        <v>12448200</v>
      </c>
      <c r="K1905">
        <v>0</v>
      </c>
      <c r="L1905" s="4">
        <v>6.4058169999999999</v>
      </c>
      <c r="M1905" s="4">
        <v>106.064018</v>
      </c>
      <c r="N1905" s="13">
        <v>4.49</v>
      </c>
      <c r="P1905"/>
      <c r="Q1905" s="12"/>
      <c r="R1905" s="12"/>
    </row>
    <row r="1906" spans="1:18" x14ac:dyDescent="0.2">
      <c r="A1906">
        <v>16</v>
      </c>
      <c r="B1906" t="s">
        <v>4</v>
      </c>
      <c r="C1906">
        <v>2021</v>
      </c>
      <c r="D1906">
        <v>9</v>
      </c>
      <c r="E1906" s="4">
        <v>0</v>
      </c>
      <c r="F1906" s="9">
        <v>0</v>
      </c>
      <c r="G1906" s="6">
        <v>15602</v>
      </c>
      <c r="H1906" s="9">
        <f t="shared" si="29"/>
        <v>0</v>
      </c>
      <c r="I1906" s="6">
        <v>12968</v>
      </c>
      <c r="J1906" s="6">
        <f>VLOOKUP(Table1[[#This Row],[Province]],[1]Sheet1!$A$3:$F$37,6,FALSE)</f>
        <v>12448200</v>
      </c>
      <c r="K1906">
        <v>0</v>
      </c>
      <c r="L1906" s="4">
        <v>6.4058169999999999</v>
      </c>
      <c r="M1906" s="4">
        <v>106.064018</v>
      </c>
      <c r="N1906" s="13">
        <v>4.49</v>
      </c>
      <c r="P1906"/>
      <c r="Q1906" s="12"/>
      <c r="R1906" s="12"/>
    </row>
    <row r="1907" spans="1:18" x14ac:dyDescent="0.2">
      <c r="A1907">
        <v>16</v>
      </c>
      <c r="B1907" t="s">
        <v>4</v>
      </c>
      <c r="C1907">
        <v>2021</v>
      </c>
      <c r="D1907">
        <v>10</v>
      </c>
      <c r="E1907" s="4">
        <v>0</v>
      </c>
      <c r="F1907" s="9">
        <v>0</v>
      </c>
      <c r="G1907" s="6">
        <v>8677</v>
      </c>
      <c r="H1907" s="9">
        <f t="shared" si="29"/>
        <v>0</v>
      </c>
      <c r="I1907" s="6">
        <v>12950</v>
      </c>
      <c r="J1907" s="6">
        <f>VLOOKUP(Table1[[#This Row],[Province]],[1]Sheet1!$A$3:$F$37,6,FALSE)</f>
        <v>12448200</v>
      </c>
      <c r="K1907">
        <v>0</v>
      </c>
      <c r="L1907" s="4">
        <v>6.4058169999999999</v>
      </c>
      <c r="M1907" s="4">
        <v>106.064018</v>
      </c>
      <c r="N1907" s="13">
        <v>4.49</v>
      </c>
      <c r="P1907"/>
      <c r="Q1907" s="12"/>
      <c r="R1907" s="12"/>
    </row>
    <row r="1908" spans="1:18" x14ac:dyDescent="0.2">
      <c r="A1908">
        <v>16</v>
      </c>
      <c r="B1908" t="s">
        <v>4</v>
      </c>
      <c r="C1908">
        <v>2021</v>
      </c>
      <c r="D1908">
        <v>11</v>
      </c>
      <c r="E1908" s="4">
        <v>0</v>
      </c>
      <c r="F1908" s="9">
        <v>0</v>
      </c>
      <c r="G1908" s="6">
        <v>12009</v>
      </c>
      <c r="H1908" s="9">
        <f t="shared" si="29"/>
        <v>0</v>
      </c>
      <c r="I1908" s="6">
        <v>12950</v>
      </c>
      <c r="J1908" s="6">
        <f>VLOOKUP(Table1[[#This Row],[Province]],[1]Sheet1!$A$3:$F$37,6,FALSE)</f>
        <v>12448200</v>
      </c>
      <c r="K1908">
        <v>0</v>
      </c>
      <c r="L1908" s="4">
        <v>6.4058169999999999</v>
      </c>
      <c r="M1908" s="4">
        <v>106.064018</v>
      </c>
      <c r="N1908" s="13">
        <v>4.49</v>
      </c>
      <c r="P1908"/>
      <c r="Q1908" s="12"/>
      <c r="R1908" s="12"/>
    </row>
    <row r="1909" spans="1:18" x14ac:dyDescent="0.2">
      <c r="A1909">
        <v>16</v>
      </c>
      <c r="B1909" t="s">
        <v>4</v>
      </c>
      <c r="C1909">
        <v>2021</v>
      </c>
      <c r="D1909">
        <v>12</v>
      </c>
      <c r="E1909" s="4">
        <v>0</v>
      </c>
      <c r="F1909" s="9">
        <v>0</v>
      </c>
      <c r="G1909" s="6">
        <v>15598</v>
      </c>
      <c r="H1909" s="9">
        <f t="shared" si="29"/>
        <v>0</v>
      </c>
      <c r="I1909" s="6">
        <v>12950</v>
      </c>
      <c r="J1909" s="6">
        <f>VLOOKUP(Table1[[#This Row],[Province]],[1]Sheet1!$A$3:$F$37,6,FALSE)</f>
        <v>12448200</v>
      </c>
      <c r="K1909">
        <v>1</v>
      </c>
      <c r="L1909" s="4">
        <v>6.4058169999999999</v>
      </c>
      <c r="M1909" s="4">
        <v>106.064018</v>
      </c>
      <c r="N1909" s="13">
        <v>4.49</v>
      </c>
      <c r="P1909"/>
      <c r="Q1909" s="12"/>
      <c r="R1909" s="12"/>
    </row>
    <row r="1910" spans="1:18" x14ac:dyDescent="0.2">
      <c r="A1910">
        <v>16</v>
      </c>
      <c r="B1910" t="s">
        <v>4</v>
      </c>
      <c r="C1910">
        <v>2022</v>
      </c>
      <c r="D1910">
        <v>1</v>
      </c>
      <c r="E1910" s="6">
        <v>0</v>
      </c>
      <c r="F1910" s="9">
        <v>0</v>
      </c>
      <c r="G1910" s="6">
        <v>12862</v>
      </c>
      <c r="H1910" s="9">
        <f t="shared" si="29"/>
        <v>0</v>
      </c>
      <c r="I1910" s="6">
        <v>13140</v>
      </c>
      <c r="J1910" s="6">
        <f>VLOOKUP(Table1[[#This Row],[Province]],[1]Sheet1!$A$3:$F$37,6,FALSE)</f>
        <v>12448200</v>
      </c>
      <c r="K1910">
        <v>0</v>
      </c>
      <c r="L1910" s="4">
        <v>6.4058169999999999</v>
      </c>
      <c r="M1910" s="4">
        <v>106.064018</v>
      </c>
      <c r="N1910" s="13">
        <v>5.03</v>
      </c>
      <c r="P1910"/>
      <c r="Q1910" s="12"/>
      <c r="R1910" s="12"/>
    </row>
    <row r="1911" spans="1:18" x14ac:dyDescent="0.2">
      <c r="A1911">
        <v>16</v>
      </c>
      <c r="B1911" t="s">
        <v>4</v>
      </c>
      <c r="C1911">
        <v>2022</v>
      </c>
      <c r="D1911">
        <v>2</v>
      </c>
      <c r="E1911" s="6">
        <v>0</v>
      </c>
      <c r="F1911" s="9">
        <v>0</v>
      </c>
      <c r="G1911" s="6">
        <v>14188</v>
      </c>
      <c r="H1911" s="9">
        <f t="shared" si="29"/>
        <v>0</v>
      </c>
      <c r="I1911" s="6">
        <v>13500</v>
      </c>
      <c r="J1911" s="6">
        <f>VLOOKUP(Table1[[#This Row],[Province]],[1]Sheet1!$A$3:$F$37,6,FALSE)</f>
        <v>12448200</v>
      </c>
      <c r="K1911">
        <v>0</v>
      </c>
      <c r="L1911" s="4">
        <v>6.4058169999999999</v>
      </c>
      <c r="M1911" s="4">
        <v>106.064018</v>
      </c>
      <c r="N1911" s="13">
        <v>5.03</v>
      </c>
      <c r="P1911"/>
      <c r="Q1911" s="12"/>
      <c r="R1911" s="12"/>
    </row>
    <row r="1912" spans="1:18" x14ac:dyDescent="0.2">
      <c r="A1912">
        <v>16</v>
      </c>
      <c r="B1912" t="s">
        <v>4</v>
      </c>
      <c r="C1912">
        <v>2022</v>
      </c>
      <c r="D1912">
        <v>3</v>
      </c>
      <c r="E1912" s="6">
        <v>0</v>
      </c>
      <c r="F1912" s="9">
        <v>0</v>
      </c>
      <c r="G1912" s="6">
        <v>13223</v>
      </c>
      <c r="H1912" s="9">
        <f t="shared" si="29"/>
        <v>0</v>
      </c>
      <c r="I1912" s="6">
        <v>13580</v>
      </c>
      <c r="J1912" s="6">
        <f>VLOOKUP(Table1[[#This Row],[Province]],[1]Sheet1!$A$3:$F$37,6,FALSE)</f>
        <v>12448200</v>
      </c>
      <c r="K1912">
        <v>0</v>
      </c>
      <c r="L1912" s="4">
        <v>6.4058169999999999</v>
      </c>
      <c r="M1912" s="4">
        <v>106.064018</v>
      </c>
      <c r="N1912" s="13">
        <v>5.03</v>
      </c>
      <c r="P1912"/>
      <c r="Q1912" s="12"/>
      <c r="R1912" s="12"/>
    </row>
    <row r="1913" spans="1:18" x14ac:dyDescent="0.2">
      <c r="A1913">
        <v>16</v>
      </c>
      <c r="B1913" t="s">
        <v>4</v>
      </c>
      <c r="C1913">
        <v>2022</v>
      </c>
      <c r="D1913">
        <v>4</v>
      </c>
      <c r="E1913" s="6">
        <v>0</v>
      </c>
      <c r="F1913" s="9">
        <v>0</v>
      </c>
      <c r="G1913" s="6">
        <v>14629</v>
      </c>
      <c r="H1913" s="9">
        <f t="shared" si="29"/>
        <v>0</v>
      </c>
      <c r="I1913" s="6">
        <v>14232</v>
      </c>
      <c r="J1913" s="6">
        <f>VLOOKUP(Table1[[#This Row],[Province]],[1]Sheet1!$A$3:$F$37,6,FALSE)</f>
        <v>12448200</v>
      </c>
      <c r="K1913">
        <v>1</v>
      </c>
      <c r="L1913" s="4">
        <v>6.4058169999999999</v>
      </c>
      <c r="M1913" s="4">
        <v>106.064018</v>
      </c>
      <c r="N1913" s="13">
        <v>5.03</v>
      </c>
      <c r="P1913"/>
      <c r="Q1913" s="12"/>
      <c r="R1913" s="12"/>
    </row>
    <row r="1914" spans="1:18" x14ac:dyDescent="0.2">
      <c r="A1914">
        <v>16</v>
      </c>
      <c r="B1914" t="s">
        <v>4</v>
      </c>
      <c r="C1914">
        <v>2022</v>
      </c>
      <c r="D1914">
        <v>5</v>
      </c>
      <c r="E1914" s="6">
        <v>0</v>
      </c>
      <c r="F1914" s="9">
        <v>0</v>
      </c>
      <c r="G1914" s="6">
        <v>9533</v>
      </c>
      <c r="H1914" s="9">
        <f t="shared" si="29"/>
        <v>0</v>
      </c>
      <c r="I1914" s="6">
        <v>14550</v>
      </c>
      <c r="J1914" s="6">
        <f>VLOOKUP(Table1[[#This Row],[Province]],[1]Sheet1!$A$3:$F$37,6,FALSE)</f>
        <v>12448200</v>
      </c>
      <c r="K1914">
        <v>0</v>
      </c>
      <c r="L1914" s="4">
        <v>6.4058169999999999</v>
      </c>
      <c r="M1914" s="4">
        <v>106.064018</v>
      </c>
      <c r="N1914" s="13">
        <v>5.03</v>
      </c>
      <c r="P1914"/>
      <c r="Q1914" s="12"/>
      <c r="R1914" s="12"/>
    </row>
    <row r="1915" spans="1:18" x14ac:dyDescent="0.2">
      <c r="A1915">
        <v>16</v>
      </c>
      <c r="B1915" t="s">
        <v>4</v>
      </c>
      <c r="C1915">
        <v>2022</v>
      </c>
      <c r="D1915">
        <v>6</v>
      </c>
      <c r="E1915" s="6">
        <v>0</v>
      </c>
      <c r="F1915" s="9">
        <v>0</v>
      </c>
      <c r="G1915" s="6">
        <v>13255</v>
      </c>
      <c r="H1915" s="9">
        <f t="shared" si="29"/>
        <v>0</v>
      </c>
      <c r="I1915" s="6">
        <v>14550</v>
      </c>
      <c r="J1915" s="6">
        <f>VLOOKUP(Table1[[#This Row],[Province]],[1]Sheet1!$A$3:$F$37,6,FALSE)</f>
        <v>12448200</v>
      </c>
      <c r="K1915">
        <v>0</v>
      </c>
      <c r="L1915" s="4">
        <v>6.4058169999999999</v>
      </c>
      <c r="M1915" s="4">
        <v>106.064018</v>
      </c>
      <c r="N1915" s="13">
        <v>5.03</v>
      </c>
      <c r="P1915"/>
      <c r="Q1915" s="12"/>
      <c r="R1915" s="12"/>
    </row>
    <row r="1916" spans="1:18" x14ac:dyDescent="0.2">
      <c r="A1916">
        <v>16</v>
      </c>
      <c r="B1916" t="s">
        <v>4</v>
      </c>
      <c r="C1916">
        <v>2022</v>
      </c>
      <c r="D1916">
        <v>7</v>
      </c>
      <c r="E1916" s="6">
        <v>0</v>
      </c>
      <c r="F1916" s="9">
        <v>0</v>
      </c>
      <c r="G1916" s="6">
        <v>10650</v>
      </c>
      <c r="H1916" s="9">
        <f t="shared" si="29"/>
        <v>0</v>
      </c>
      <c r="I1916" s="6">
        <v>14552</v>
      </c>
      <c r="J1916" s="6">
        <f>VLOOKUP(Table1[[#This Row],[Province]],[1]Sheet1!$A$3:$F$37,6,FALSE)</f>
        <v>12448200</v>
      </c>
      <c r="K1916">
        <v>0</v>
      </c>
      <c r="L1916" s="4">
        <v>6.4058169999999999</v>
      </c>
      <c r="M1916" s="4">
        <v>106.064018</v>
      </c>
      <c r="N1916" s="13">
        <v>5.03</v>
      </c>
      <c r="P1916"/>
      <c r="Q1916" s="12"/>
      <c r="R1916" s="12"/>
    </row>
    <row r="1917" spans="1:18" x14ac:dyDescent="0.2">
      <c r="A1917">
        <v>16</v>
      </c>
      <c r="B1917" t="s">
        <v>4</v>
      </c>
      <c r="C1917">
        <v>2022</v>
      </c>
      <c r="D1917">
        <v>8</v>
      </c>
      <c r="E1917" s="6">
        <v>0</v>
      </c>
      <c r="F1917" s="9">
        <v>0</v>
      </c>
      <c r="G1917" s="6">
        <v>12500</v>
      </c>
      <c r="H1917" s="9">
        <f t="shared" si="29"/>
        <v>0</v>
      </c>
      <c r="I1917" s="6">
        <v>14550</v>
      </c>
      <c r="J1917" s="6">
        <f>VLOOKUP(Table1[[#This Row],[Province]],[1]Sheet1!$A$3:$F$37,6,FALSE)</f>
        <v>12448200</v>
      </c>
      <c r="K1917">
        <v>0</v>
      </c>
      <c r="L1917" s="4">
        <v>6.4058169999999999</v>
      </c>
      <c r="M1917" s="4">
        <v>106.064018</v>
      </c>
      <c r="N1917" s="13">
        <v>5.03</v>
      </c>
      <c r="P1917"/>
      <c r="Q1917" s="12"/>
      <c r="R1917" s="12"/>
    </row>
    <row r="1918" spans="1:18" x14ac:dyDescent="0.2">
      <c r="A1918">
        <v>16</v>
      </c>
      <c r="B1918" t="s">
        <v>4</v>
      </c>
      <c r="C1918">
        <v>2022</v>
      </c>
      <c r="D1918">
        <v>9</v>
      </c>
      <c r="E1918" s="6">
        <v>0</v>
      </c>
      <c r="F1918" s="9">
        <v>0</v>
      </c>
      <c r="G1918" s="6">
        <v>10175</v>
      </c>
      <c r="H1918" s="9">
        <f t="shared" si="29"/>
        <v>0</v>
      </c>
      <c r="I1918" s="6">
        <v>13987</v>
      </c>
      <c r="J1918" s="6">
        <f>VLOOKUP(Table1[[#This Row],[Province]],[1]Sheet1!$A$3:$F$37,6,FALSE)</f>
        <v>12448200</v>
      </c>
      <c r="K1918">
        <v>0</v>
      </c>
      <c r="L1918" s="4">
        <v>6.4058169999999999</v>
      </c>
      <c r="M1918" s="4">
        <v>106.064018</v>
      </c>
      <c r="N1918" s="13">
        <v>5.03</v>
      </c>
      <c r="P1918"/>
      <c r="Q1918" s="12"/>
      <c r="R1918" s="12"/>
    </row>
    <row r="1919" spans="1:18" x14ac:dyDescent="0.2">
      <c r="A1919">
        <v>16</v>
      </c>
      <c r="B1919" t="s">
        <v>4</v>
      </c>
      <c r="C1919">
        <v>2022</v>
      </c>
      <c r="D1919">
        <v>10</v>
      </c>
      <c r="E1919" s="6">
        <v>0</v>
      </c>
      <c r="F1919" s="9">
        <v>0</v>
      </c>
      <c r="G1919" s="6">
        <v>10383</v>
      </c>
      <c r="H1919" s="9">
        <f t="shared" si="29"/>
        <v>0</v>
      </c>
      <c r="I1919" s="6">
        <v>14032</v>
      </c>
      <c r="J1919" s="6">
        <f>VLOOKUP(Table1[[#This Row],[Province]],[1]Sheet1!$A$3:$F$37,6,FALSE)</f>
        <v>12448200</v>
      </c>
      <c r="K1919">
        <v>0</v>
      </c>
      <c r="L1919" s="4">
        <v>6.4058169999999999</v>
      </c>
      <c r="M1919" s="4">
        <v>106.064018</v>
      </c>
      <c r="N1919" s="13">
        <v>5.03</v>
      </c>
      <c r="P1919"/>
      <c r="Q1919" s="12"/>
      <c r="R1919" s="12"/>
    </row>
    <row r="1920" spans="1:18" x14ac:dyDescent="0.2">
      <c r="A1920">
        <v>16</v>
      </c>
      <c r="B1920" t="s">
        <v>4</v>
      </c>
      <c r="C1920">
        <v>2022</v>
      </c>
      <c r="D1920">
        <v>11</v>
      </c>
      <c r="E1920" s="6">
        <v>0</v>
      </c>
      <c r="F1920" s="9">
        <v>0</v>
      </c>
      <c r="G1920" s="6">
        <v>12015</v>
      </c>
      <c r="H1920" s="9">
        <f t="shared" si="29"/>
        <v>0</v>
      </c>
      <c r="I1920" s="6">
        <v>14700</v>
      </c>
      <c r="J1920" s="6">
        <f>VLOOKUP(Table1[[#This Row],[Province]],[1]Sheet1!$A$3:$F$37,6,FALSE)</f>
        <v>12448200</v>
      </c>
      <c r="K1920">
        <v>0</v>
      </c>
      <c r="L1920" s="4">
        <v>6.4058169999999999</v>
      </c>
      <c r="M1920" s="4">
        <v>106.064018</v>
      </c>
      <c r="N1920" s="13">
        <v>5.03</v>
      </c>
      <c r="P1920"/>
      <c r="Q1920" s="12"/>
      <c r="R1920" s="12"/>
    </row>
    <row r="1921" spans="1:18" x14ac:dyDescent="0.2">
      <c r="A1921">
        <v>16</v>
      </c>
      <c r="B1921" t="s">
        <v>4</v>
      </c>
      <c r="C1921">
        <v>2022</v>
      </c>
      <c r="D1921">
        <v>12</v>
      </c>
      <c r="E1921" s="6">
        <v>0</v>
      </c>
      <c r="F1921" s="9">
        <v>0</v>
      </c>
      <c r="G1921" s="6">
        <v>11402</v>
      </c>
      <c r="H1921" s="9">
        <f t="shared" si="29"/>
        <v>0</v>
      </c>
      <c r="I1921" s="6">
        <v>14700</v>
      </c>
      <c r="J1921" s="6">
        <f>VLOOKUP(Table1[[#This Row],[Province]],[1]Sheet1!$A$3:$F$37,6,FALSE)</f>
        <v>12448200</v>
      </c>
      <c r="K1921">
        <v>1</v>
      </c>
      <c r="L1921" s="4">
        <v>6.4058169999999999</v>
      </c>
      <c r="M1921" s="4">
        <v>106.064018</v>
      </c>
      <c r="N1921" s="13">
        <v>5.03</v>
      </c>
      <c r="P1921"/>
      <c r="Q1921" s="12"/>
      <c r="R1921" s="12"/>
    </row>
    <row r="1922" spans="1:18" x14ac:dyDescent="0.2">
      <c r="A1922">
        <v>17</v>
      </c>
      <c r="B1922" t="s">
        <v>2</v>
      </c>
      <c r="C1922">
        <v>2013</v>
      </c>
      <c r="D1922">
        <v>1</v>
      </c>
      <c r="E1922" s="4">
        <v>0</v>
      </c>
      <c r="F1922" s="9">
        <v>1.4E-2</v>
      </c>
      <c r="G1922" s="6">
        <v>2755</v>
      </c>
      <c r="H1922" s="9">
        <f t="shared" ref="H1922:H1985" si="30">F1922+E1922</f>
        <v>1.4E-2</v>
      </c>
      <c r="I1922" s="6">
        <v>12619</v>
      </c>
      <c r="J1922" s="6">
        <f>VLOOKUP(Table1[[#This Row],[Province]],[1]Sheet1!$A$3:$F$37,6,FALSE)</f>
        <v>4246500</v>
      </c>
      <c r="K1922">
        <v>0</v>
      </c>
      <c r="L1922" s="4">
        <v>8.4095180000000003</v>
      </c>
      <c r="M1922" s="4">
        <v>115.18891600000001</v>
      </c>
      <c r="N1922" s="6"/>
      <c r="P1922"/>
      <c r="Q1922" s="12"/>
      <c r="R1922" s="12"/>
    </row>
    <row r="1923" spans="1:18" x14ac:dyDescent="0.2">
      <c r="A1923">
        <v>17</v>
      </c>
      <c r="B1923" t="s">
        <v>2</v>
      </c>
      <c r="C1923">
        <v>2013</v>
      </c>
      <c r="D1923">
        <v>2</v>
      </c>
      <c r="E1923" s="4">
        <v>0</v>
      </c>
      <c r="F1923" s="9">
        <v>0</v>
      </c>
      <c r="G1923" s="6">
        <v>2641</v>
      </c>
      <c r="H1923" s="9">
        <f t="shared" si="30"/>
        <v>0</v>
      </c>
      <c r="I1923" s="6">
        <v>12000</v>
      </c>
      <c r="J1923" s="6">
        <f>VLOOKUP(Table1[[#This Row],[Province]],[1]Sheet1!$A$3:$F$37,6,FALSE)</f>
        <v>4246500</v>
      </c>
      <c r="K1923">
        <v>0</v>
      </c>
      <c r="L1923" s="4">
        <v>8.4095180000000003</v>
      </c>
      <c r="M1923" s="4">
        <v>115.18891600000001</v>
      </c>
      <c r="N1923" s="6"/>
      <c r="P1923"/>
      <c r="Q1923" s="12"/>
      <c r="R1923" s="12"/>
    </row>
    <row r="1924" spans="1:18" x14ac:dyDescent="0.2">
      <c r="A1924">
        <v>17</v>
      </c>
      <c r="B1924" t="s">
        <v>2</v>
      </c>
      <c r="C1924">
        <v>2013</v>
      </c>
      <c r="D1924">
        <v>3</v>
      </c>
      <c r="E1924" s="4">
        <v>0</v>
      </c>
      <c r="F1924" s="9">
        <v>0</v>
      </c>
      <c r="G1924" s="6">
        <v>2722</v>
      </c>
      <c r="H1924" s="9">
        <f t="shared" si="30"/>
        <v>0</v>
      </c>
      <c r="I1924" s="6">
        <v>12000</v>
      </c>
      <c r="J1924" s="6">
        <f>VLOOKUP(Table1[[#This Row],[Province]],[1]Sheet1!$A$3:$F$37,6,FALSE)</f>
        <v>4246500</v>
      </c>
      <c r="K1924">
        <v>0</v>
      </c>
      <c r="L1924" s="4">
        <v>8.4095180000000003</v>
      </c>
      <c r="M1924" s="4">
        <v>115.18891600000001</v>
      </c>
      <c r="N1924" s="6"/>
      <c r="P1924"/>
      <c r="Q1924" s="12"/>
      <c r="R1924" s="12"/>
    </row>
    <row r="1925" spans="1:18" x14ac:dyDescent="0.2">
      <c r="A1925">
        <v>17</v>
      </c>
      <c r="B1925" t="s">
        <v>2</v>
      </c>
      <c r="C1925">
        <v>2013</v>
      </c>
      <c r="D1925">
        <v>4</v>
      </c>
      <c r="E1925" s="4">
        <v>0</v>
      </c>
      <c r="F1925" s="9">
        <v>0</v>
      </c>
      <c r="G1925" s="6">
        <v>3537</v>
      </c>
      <c r="H1925" s="9">
        <f t="shared" si="30"/>
        <v>0</v>
      </c>
      <c r="I1925" s="6">
        <v>12000</v>
      </c>
      <c r="J1925" s="6">
        <f>VLOOKUP(Table1[[#This Row],[Province]],[1]Sheet1!$A$3:$F$37,6,FALSE)</f>
        <v>4246500</v>
      </c>
      <c r="K1925">
        <v>0</v>
      </c>
      <c r="L1925" s="4">
        <v>8.4095180000000003</v>
      </c>
      <c r="M1925" s="4">
        <v>115.18891600000001</v>
      </c>
      <c r="N1925" s="6"/>
      <c r="P1925"/>
      <c r="Q1925" s="12"/>
      <c r="R1925" s="12"/>
    </row>
    <row r="1926" spans="1:18" x14ac:dyDescent="0.2">
      <c r="A1926">
        <v>17</v>
      </c>
      <c r="B1926" t="s">
        <v>2</v>
      </c>
      <c r="C1926">
        <v>2013</v>
      </c>
      <c r="D1926">
        <v>5</v>
      </c>
      <c r="E1926" s="4">
        <v>0</v>
      </c>
      <c r="F1926" s="9">
        <v>0.01</v>
      </c>
      <c r="G1926" s="6">
        <v>4287</v>
      </c>
      <c r="H1926" s="9">
        <f t="shared" si="30"/>
        <v>0.01</v>
      </c>
      <c r="I1926" s="6">
        <v>12000</v>
      </c>
      <c r="J1926" s="6">
        <f>VLOOKUP(Table1[[#This Row],[Province]],[1]Sheet1!$A$3:$F$37,6,FALSE)</f>
        <v>4246500</v>
      </c>
      <c r="K1926">
        <v>0</v>
      </c>
      <c r="L1926" s="4">
        <v>8.4095180000000003</v>
      </c>
      <c r="M1926" s="4">
        <v>115.18891600000001</v>
      </c>
      <c r="N1926" s="6"/>
      <c r="P1926"/>
      <c r="Q1926" s="12"/>
      <c r="R1926" s="12"/>
    </row>
    <row r="1927" spans="1:18" x14ac:dyDescent="0.2">
      <c r="A1927">
        <v>17</v>
      </c>
      <c r="B1927" t="s">
        <v>2</v>
      </c>
      <c r="C1927">
        <v>2013</v>
      </c>
      <c r="D1927">
        <v>6</v>
      </c>
      <c r="E1927" s="4">
        <v>0</v>
      </c>
      <c r="F1927" s="9">
        <v>0</v>
      </c>
      <c r="G1927" s="6">
        <v>3570</v>
      </c>
      <c r="H1927" s="9">
        <f t="shared" si="30"/>
        <v>0</v>
      </c>
      <c r="I1927" s="6">
        <v>12132</v>
      </c>
      <c r="J1927" s="6">
        <f>VLOOKUP(Table1[[#This Row],[Province]],[1]Sheet1!$A$3:$F$37,6,FALSE)</f>
        <v>4246500</v>
      </c>
      <c r="K1927">
        <v>0</v>
      </c>
      <c r="L1927" s="4">
        <v>8.4095180000000003</v>
      </c>
      <c r="M1927" s="4">
        <v>115.18891600000001</v>
      </c>
      <c r="N1927" s="6"/>
      <c r="P1927"/>
      <c r="Q1927" s="12"/>
      <c r="R1927" s="12"/>
    </row>
    <row r="1928" spans="1:18" x14ac:dyDescent="0.2">
      <c r="A1928">
        <v>17</v>
      </c>
      <c r="B1928" t="s">
        <v>2</v>
      </c>
      <c r="C1928">
        <v>2013</v>
      </c>
      <c r="D1928">
        <v>7</v>
      </c>
      <c r="E1928" s="4">
        <v>0</v>
      </c>
      <c r="F1928" s="9">
        <v>4.0000000000000001E-3</v>
      </c>
      <c r="G1928" s="6">
        <v>6194</v>
      </c>
      <c r="H1928" s="9">
        <f t="shared" si="30"/>
        <v>4.0000000000000001E-3</v>
      </c>
      <c r="I1928" s="6">
        <v>13636</v>
      </c>
      <c r="J1928" s="6">
        <f>VLOOKUP(Table1[[#This Row],[Province]],[1]Sheet1!$A$3:$F$37,6,FALSE)</f>
        <v>4246500</v>
      </c>
      <c r="K1928">
        <v>1</v>
      </c>
      <c r="L1928" s="4">
        <v>8.4095180000000003</v>
      </c>
      <c r="M1928" s="4">
        <v>115.18891600000001</v>
      </c>
      <c r="N1928" s="6"/>
      <c r="P1928"/>
      <c r="Q1928" s="12"/>
      <c r="R1928" s="12"/>
    </row>
    <row r="1929" spans="1:18" x14ac:dyDescent="0.2">
      <c r="A1929">
        <v>17</v>
      </c>
      <c r="B1929" t="s">
        <v>2</v>
      </c>
      <c r="C1929">
        <v>2013</v>
      </c>
      <c r="D1929">
        <v>8</v>
      </c>
      <c r="E1929" s="4">
        <v>0</v>
      </c>
      <c r="F1929" s="9">
        <v>0</v>
      </c>
      <c r="G1929" s="6">
        <v>2266</v>
      </c>
      <c r="H1929" s="9">
        <f t="shared" si="30"/>
        <v>0</v>
      </c>
      <c r="I1929" s="6">
        <v>12059</v>
      </c>
      <c r="J1929" s="6">
        <f>VLOOKUP(Table1[[#This Row],[Province]],[1]Sheet1!$A$3:$F$37,6,FALSE)</f>
        <v>4246500</v>
      </c>
      <c r="K1929">
        <v>0</v>
      </c>
      <c r="L1929" s="4">
        <v>8.4095180000000003</v>
      </c>
      <c r="M1929" s="4">
        <v>115.18891600000001</v>
      </c>
      <c r="N1929" s="6"/>
      <c r="P1929"/>
      <c r="Q1929" s="12"/>
      <c r="R1929" s="12"/>
    </row>
    <row r="1930" spans="1:18" x14ac:dyDescent="0.2">
      <c r="A1930">
        <v>17</v>
      </c>
      <c r="B1930" t="s">
        <v>2</v>
      </c>
      <c r="C1930">
        <v>2013</v>
      </c>
      <c r="D1930">
        <v>9</v>
      </c>
      <c r="E1930" s="4">
        <v>0</v>
      </c>
      <c r="F1930" s="9">
        <v>0</v>
      </c>
      <c r="G1930" s="6">
        <v>4841</v>
      </c>
      <c r="H1930" s="9">
        <f t="shared" si="30"/>
        <v>0</v>
      </c>
      <c r="I1930" s="6">
        <v>12000</v>
      </c>
      <c r="J1930" s="6">
        <f>VLOOKUP(Table1[[#This Row],[Province]],[1]Sheet1!$A$3:$F$37,6,FALSE)</f>
        <v>4246500</v>
      </c>
      <c r="K1930">
        <v>0</v>
      </c>
      <c r="L1930" s="4">
        <v>8.4095180000000003</v>
      </c>
      <c r="M1930" s="4">
        <v>115.18891600000001</v>
      </c>
      <c r="N1930" s="6"/>
      <c r="P1930"/>
      <c r="Q1930" s="12"/>
      <c r="R1930" s="12"/>
    </row>
    <row r="1931" spans="1:18" x14ac:dyDescent="0.2">
      <c r="A1931">
        <v>17</v>
      </c>
      <c r="B1931" t="s">
        <v>2</v>
      </c>
      <c r="C1931">
        <v>2013</v>
      </c>
      <c r="D1931">
        <v>10</v>
      </c>
      <c r="E1931" s="4">
        <v>0</v>
      </c>
      <c r="F1931" s="9">
        <v>0</v>
      </c>
      <c r="G1931" s="6">
        <v>3961</v>
      </c>
      <c r="H1931" s="9">
        <f t="shared" si="30"/>
        <v>0</v>
      </c>
      <c r="I1931" s="6">
        <v>11968</v>
      </c>
      <c r="J1931" s="6">
        <f>VLOOKUP(Table1[[#This Row],[Province]],[1]Sheet1!$A$3:$F$37,6,FALSE)</f>
        <v>4246500</v>
      </c>
      <c r="K1931">
        <v>0</v>
      </c>
      <c r="L1931" s="4">
        <v>8.4095180000000003</v>
      </c>
      <c r="M1931" s="4">
        <v>115.18891600000001</v>
      </c>
      <c r="N1931" s="6"/>
      <c r="P1931"/>
      <c r="Q1931" s="12"/>
      <c r="R1931" s="12"/>
    </row>
    <row r="1932" spans="1:18" x14ac:dyDescent="0.2">
      <c r="A1932">
        <v>17</v>
      </c>
      <c r="B1932" t="s">
        <v>2</v>
      </c>
      <c r="C1932">
        <v>2013</v>
      </c>
      <c r="D1932">
        <v>11</v>
      </c>
      <c r="E1932" s="4">
        <v>0</v>
      </c>
      <c r="F1932" s="9">
        <v>1.1299999999999999</v>
      </c>
      <c r="G1932" s="6">
        <v>2918</v>
      </c>
      <c r="H1932" s="9">
        <f t="shared" si="30"/>
        <v>1.1299999999999999</v>
      </c>
      <c r="I1932" s="6">
        <v>11333</v>
      </c>
      <c r="J1932" s="6">
        <f>VLOOKUP(Table1[[#This Row],[Province]],[1]Sheet1!$A$3:$F$37,6,FALSE)</f>
        <v>4246500</v>
      </c>
      <c r="K1932">
        <v>0</v>
      </c>
      <c r="L1932" s="4">
        <v>8.4095180000000003</v>
      </c>
      <c r="M1932" s="4">
        <v>115.18891600000001</v>
      </c>
      <c r="N1932" s="6"/>
      <c r="P1932"/>
      <c r="Q1932" s="12"/>
      <c r="R1932" s="12"/>
    </row>
    <row r="1933" spans="1:18" x14ac:dyDescent="0.2">
      <c r="A1933">
        <v>17</v>
      </c>
      <c r="B1933" t="s">
        <v>2</v>
      </c>
      <c r="C1933">
        <v>2013</v>
      </c>
      <c r="D1933">
        <v>12</v>
      </c>
      <c r="E1933" s="4">
        <v>0</v>
      </c>
      <c r="F1933" s="9">
        <v>0</v>
      </c>
      <c r="G1933" s="6">
        <v>4059</v>
      </c>
      <c r="H1933" s="9">
        <f t="shared" si="30"/>
        <v>0</v>
      </c>
      <c r="I1933" s="6">
        <v>11333</v>
      </c>
      <c r="J1933" s="6">
        <f>VLOOKUP(Table1[[#This Row],[Province]],[1]Sheet1!$A$3:$F$37,6,FALSE)</f>
        <v>4246500</v>
      </c>
      <c r="K1933">
        <v>1</v>
      </c>
      <c r="L1933" s="4">
        <v>8.4095180000000003</v>
      </c>
      <c r="M1933" s="4">
        <v>115.18891600000001</v>
      </c>
      <c r="N1933" s="6"/>
      <c r="P1933"/>
      <c r="Q1933" s="12"/>
      <c r="R1933" s="12"/>
    </row>
    <row r="1934" spans="1:18" x14ac:dyDescent="0.2">
      <c r="A1934">
        <v>17</v>
      </c>
      <c r="B1934" t="s">
        <v>2</v>
      </c>
      <c r="C1934">
        <v>2014</v>
      </c>
      <c r="D1934">
        <v>1</v>
      </c>
      <c r="E1934" s="4">
        <v>0</v>
      </c>
      <c r="F1934" s="9">
        <v>0</v>
      </c>
      <c r="G1934" s="6">
        <v>2841</v>
      </c>
      <c r="H1934" s="9">
        <f t="shared" si="30"/>
        <v>0</v>
      </c>
      <c r="I1934" s="6">
        <v>11333</v>
      </c>
      <c r="J1934" s="6">
        <f>VLOOKUP(Table1[[#This Row],[Province]],[1]Sheet1!$A$3:$F$37,6,FALSE)</f>
        <v>4246500</v>
      </c>
      <c r="K1934">
        <v>0</v>
      </c>
      <c r="L1934" s="4">
        <v>8.4095180000000003</v>
      </c>
      <c r="M1934" s="4">
        <v>115.18891600000001</v>
      </c>
      <c r="N1934" s="6"/>
      <c r="P1934"/>
      <c r="Q1934" s="12"/>
      <c r="R1934" s="12"/>
    </row>
    <row r="1935" spans="1:18" x14ac:dyDescent="0.2">
      <c r="A1935">
        <v>17</v>
      </c>
      <c r="B1935" t="s">
        <v>2</v>
      </c>
      <c r="C1935">
        <v>2014</v>
      </c>
      <c r="D1935">
        <v>2</v>
      </c>
      <c r="E1935" s="4">
        <v>0</v>
      </c>
      <c r="F1935" s="9">
        <v>1.2E-2</v>
      </c>
      <c r="G1935" s="6">
        <v>2535</v>
      </c>
      <c r="H1935" s="9">
        <f t="shared" si="30"/>
        <v>1.2E-2</v>
      </c>
      <c r="I1935" s="6">
        <v>11333</v>
      </c>
      <c r="J1935" s="6">
        <f>VLOOKUP(Table1[[#This Row],[Province]],[1]Sheet1!$A$3:$F$37,6,FALSE)</f>
        <v>4246500</v>
      </c>
      <c r="K1935">
        <v>0</v>
      </c>
      <c r="L1935" s="4">
        <v>8.4095180000000003</v>
      </c>
      <c r="M1935" s="4">
        <v>115.18891600000001</v>
      </c>
      <c r="N1935" s="6"/>
      <c r="P1935"/>
      <c r="Q1935" s="12"/>
      <c r="R1935" s="12"/>
    </row>
    <row r="1936" spans="1:18" x14ac:dyDescent="0.2">
      <c r="A1936">
        <v>17</v>
      </c>
      <c r="B1936" t="s">
        <v>2</v>
      </c>
      <c r="C1936">
        <v>2014</v>
      </c>
      <c r="D1936">
        <v>3</v>
      </c>
      <c r="E1936" s="4">
        <v>0</v>
      </c>
      <c r="F1936" s="9">
        <v>0</v>
      </c>
      <c r="G1936" s="6">
        <v>2846</v>
      </c>
      <c r="H1936" s="9">
        <f t="shared" si="30"/>
        <v>0</v>
      </c>
      <c r="I1936" s="6">
        <v>11333</v>
      </c>
      <c r="J1936" s="6">
        <f>VLOOKUP(Table1[[#This Row],[Province]],[1]Sheet1!$A$3:$F$37,6,FALSE)</f>
        <v>4246500</v>
      </c>
      <c r="K1936">
        <v>0</v>
      </c>
      <c r="L1936" s="4">
        <v>8.4095180000000003</v>
      </c>
      <c r="M1936" s="4">
        <v>115.18891600000001</v>
      </c>
      <c r="N1936" s="6"/>
      <c r="P1936"/>
      <c r="Q1936" s="12"/>
      <c r="R1936" s="12"/>
    </row>
    <row r="1937" spans="1:18" x14ac:dyDescent="0.2">
      <c r="A1937">
        <v>17</v>
      </c>
      <c r="B1937" t="s">
        <v>2</v>
      </c>
      <c r="C1937">
        <v>2014</v>
      </c>
      <c r="D1937">
        <v>4</v>
      </c>
      <c r="E1937" s="4">
        <v>0</v>
      </c>
      <c r="F1937" s="9">
        <v>0</v>
      </c>
      <c r="G1937" s="6">
        <v>3666</v>
      </c>
      <c r="H1937" s="9">
        <f t="shared" si="30"/>
        <v>0</v>
      </c>
      <c r="I1937" s="6">
        <v>10292</v>
      </c>
      <c r="J1937" s="6">
        <f>VLOOKUP(Table1[[#This Row],[Province]],[1]Sheet1!$A$3:$F$37,6,FALSE)</f>
        <v>4246500</v>
      </c>
      <c r="K1937">
        <v>0</v>
      </c>
      <c r="L1937" s="4">
        <v>8.4095180000000003</v>
      </c>
      <c r="M1937" s="4">
        <v>115.18891600000001</v>
      </c>
      <c r="N1937" s="6"/>
      <c r="P1937"/>
      <c r="Q1937" s="12"/>
      <c r="R1937" s="12"/>
    </row>
    <row r="1938" spans="1:18" x14ac:dyDescent="0.2">
      <c r="A1938">
        <v>17</v>
      </c>
      <c r="B1938" t="s">
        <v>2</v>
      </c>
      <c r="C1938">
        <v>2014</v>
      </c>
      <c r="D1938">
        <v>5</v>
      </c>
      <c r="E1938" s="4">
        <v>0</v>
      </c>
      <c r="F1938" s="9">
        <v>5.0000000000000001E-3</v>
      </c>
      <c r="G1938" s="6">
        <v>4106</v>
      </c>
      <c r="H1938" s="9">
        <f t="shared" si="30"/>
        <v>5.0000000000000001E-3</v>
      </c>
      <c r="I1938" s="6">
        <v>10167</v>
      </c>
      <c r="J1938" s="6">
        <f>VLOOKUP(Table1[[#This Row],[Province]],[1]Sheet1!$A$3:$F$37,6,FALSE)</f>
        <v>4246500</v>
      </c>
      <c r="K1938">
        <v>0</v>
      </c>
      <c r="L1938" s="4">
        <v>8.4095180000000003</v>
      </c>
      <c r="M1938" s="4">
        <v>115.18891600000001</v>
      </c>
      <c r="N1938" s="6"/>
      <c r="P1938"/>
      <c r="Q1938" s="12"/>
      <c r="R1938" s="12"/>
    </row>
    <row r="1939" spans="1:18" x14ac:dyDescent="0.2">
      <c r="A1939">
        <v>17</v>
      </c>
      <c r="B1939" t="s">
        <v>2</v>
      </c>
      <c r="C1939">
        <v>2014</v>
      </c>
      <c r="D1939">
        <v>6</v>
      </c>
      <c r="E1939" s="4">
        <v>0</v>
      </c>
      <c r="F1939" s="9">
        <v>3.1E-2</v>
      </c>
      <c r="G1939" s="6">
        <v>5844</v>
      </c>
      <c r="H1939" s="9">
        <f t="shared" si="30"/>
        <v>3.1E-2</v>
      </c>
      <c r="I1939" s="6">
        <v>10167</v>
      </c>
      <c r="J1939" s="6">
        <f>VLOOKUP(Table1[[#This Row],[Province]],[1]Sheet1!$A$3:$F$37,6,FALSE)</f>
        <v>4246500</v>
      </c>
      <c r="K1939">
        <v>1</v>
      </c>
      <c r="L1939" s="4">
        <v>8.4095180000000003</v>
      </c>
      <c r="M1939" s="4">
        <v>115.18891600000001</v>
      </c>
      <c r="N1939" s="6"/>
      <c r="P1939"/>
      <c r="Q1939" s="12"/>
      <c r="R1939" s="12"/>
    </row>
    <row r="1940" spans="1:18" x14ac:dyDescent="0.2">
      <c r="A1940">
        <v>17</v>
      </c>
      <c r="B1940" t="s">
        <v>2</v>
      </c>
      <c r="C1940">
        <v>2014</v>
      </c>
      <c r="D1940">
        <v>7</v>
      </c>
      <c r="E1940" s="4">
        <v>0</v>
      </c>
      <c r="F1940" s="9">
        <v>0.91900000000000004</v>
      </c>
      <c r="G1940" s="6">
        <v>3666</v>
      </c>
      <c r="H1940" s="9">
        <f t="shared" si="30"/>
        <v>0.91900000000000004</v>
      </c>
      <c r="I1940" s="6">
        <v>10759</v>
      </c>
      <c r="J1940" s="6">
        <f>VLOOKUP(Table1[[#This Row],[Province]],[1]Sheet1!$A$3:$F$37,6,FALSE)</f>
        <v>4246500</v>
      </c>
      <c r="K1940">
        <v>0</v>
      </c>
      <c r="L1940" s="4">
        <v>8.4095180000000003</v>
      </c>
      <c r="M1940" s="4">
        <v>115.18891600000001</v>
      </c>
      <c r="N1940" s="6"/>
      <c r="P1940"/>
      <c r="Q1940" s="12"/>
      <c r="R1940" s="12"/>
    </row>
    <row r="1941" spans="1:18" x14ac:dyDescent="0.2">
      <c r="A1941">
        <v>17</v>
      </c>
      <c r="B1941" t="s">
        <v>2</v>
      </c>
      <c r="C1941">
        <v>2014</v>
      </c>
      <c r="D1941">
        <v>8</v>
      </c>
      <c r="E1941" s="4">
        <v>0</v>
      </c>
      <c r="F1941" s="9">
        <v>0</v>
      </c>
      <c r="G1941" s="6">
        <v>3534</v>
      </c>
      <c r="H1941" s="9">
        <f t="shared" si="30"/>
        <v>0</v>
      </c>
      <c r="I1941" s="6">
        <v>10850</v>
      </c>
      <c r="J1941" s="6">
        <f>VLOOKUP(Table1[[#This Row],[Province]],[1]Sheet1!$A$3:$F$37,6,FALSE)</f>
        <v>4246500</v>
      </c>
      <c r="K1941">
        <v>0</v>
      </c>
      <c r="L1941" s="4">
        <v>8.4095180000000003</v>
      </c>
      <c r="M1941" s="4">
        <v>115.18891600000001</v>
      </c>
      <c r="N1941" s="6"/>
      <c r="P1941"/>
      <c r="Q1941" s="12"/>
      <c r="R1941" s="12"/>
    </row>
    <row r="1942" spans="1:18" x14ac:dyDescent="0.2">
      <c r="A1942">
        <v>17</v>
      </c>
      <c r="B1942" t="s">
        <v>2</v>
      </c>
      <c r="C1942">
        <v>2014</v>
      </c>
      <c r="D1942">
        <v>9</v>
      </c>
      <c r="E1942" s="4">
        <v>0</v>
      </c>
      <c r="F1942" s="9">
        <v>0</v>
      </c>
      <c r="G1942" s="6">
        <v>3557</v>
      </c>
      <c r="H1942" s="9">
        <f t="shared" si="30"/>
        <v>0</v>
      </c>
      <c r="I1942" s="6">
        <v>10333</v>
      </c>
      <c r="J1942" s="6">
        <f>VLOOKUP(Table1[[#This Row],[Province]],[1]Sheet1!$A$3:$F$37,6,FALSE)</f>
        <v>4246500</v>
      </c>
      <c r="K1942">
        <v>0</v>
      </c>
      <c r="L1942" s="4">
        <v>8.4095180000000003</v>
      </c>
      <c r="M1942" s="4">
        <v>115.18891600000001</v>
      </c>
      <c r="N1942" s="6"/>
      <c r="P1942"/>
      <c r="Q1942" s="12"/>
      <c r="R1942" s="12"/>
    </row>
    <row r="1943" spans="1:18" x14ac:dyDescent="0.2">
      <c r="A1943">
        <v>17</v>
      </c>
      <c r="B1943" t="s">
        <v>2</v>
      </c>
      <c r="C1943">
        <v>2014</v>
      </c>
      <c r="D1943">
        <v>10</v>
      </c>
      <c r="E1943" s="4">
        <v>0</v>
      </c>
      <c r="F1943" s="9">
        <v>0</v>
      </c>
      <c r="G1943" s="6">
        <v>5276</v>
      </c>
      <c r="H1943" s="9">
        <f t="shared" si="30"/>
        <v>0</v>
      </c>
      <c r="I1943" s="6">
        <v>10000</v>
      </c>
      <c r="J1943" s="6">
        <f>VLOOKUP(Table1[[#This Row],[Province]],[1]Sheet1!$A$3:$F$37,6,FALSE)</f>
        <v>4246500</v>
      </c>
      <c r="K1943">
        <v>0</v>
      </c>
      <c r="L1943" s="4">
        <v>8.4095180000000003</v>
      </c>
      <c r="M1943" s="4">
        <v>115.18891600000001</v>
      </c>
      <c r="N1943" s="6"/>
      <c r="P1943"/>
      <c r="Q1943" s="12"/>
      <c r="R1943" s="12"/>
    </row>
    <row r="1944" spans="1:18" x14ac:dyDescent="0.2">
      <c r="A1944">
        <v>17</v>
      </c>
      <c r="B1944" t="s">
        <v>2</v>
      </c>
      <c r="C1944">
        <v>2014</v>
      </c>
      <c r="D1944">
        <v>11</v>
      </c>
      <c r="E1944" s="4">
        <v>0</v>
      </c>
      <c r="F1944" s="9">
        <v>0</v>
      </c>
      <c r="G1944" s="6">
        <v>4210</v>
      </c>
      <c r="H1944" s="9">
        <f t="shared" si="30"/>
        <v>0</v>
      </c>
      <c r="I1944" s="6">
        <v>10000</v>
      </c>
      <c r="J1944" s="6">
        <f>VLOOKUP(Table1[[#This Row],[Province]],[1]Sheet1!$A$3:$F$37,6,FALSE)</f>
        <v>4246500</v>
      </c>
      <c r="K1944">
        <v>0</v>
      </c>
      <c r="L1944" s="4">
        <v>8.4095180000000003</v>
      </c>
      <c r="M1944" s="4">
        <v>115.18891600000001</v>
      </c>
      <c r="N1944" s="6"/>
      <c r="P1944"/>
      <c r="Q1944" s="12"/>
      <c r="R1944" s="12"/>
    </row>
    <row r="1945" spans="1:18" x14ac:dyDescent="0.2">
      <c r="A1945">
        <v>17</v>
      </c>
      <c r="B1945" t="s">
        <v>2</v>
      </c>
      <c r="C1945">
        <v>2014</v>
      </c>
      <c r="D1945">
        <v>12</v>
      </c>
      <c r="E1945" s="4">
        <v>0</v>
      </c>
      <c r="F1945" s="9">
        <v>1.2E-2</v>
      </c>
      <c r="G1945" s="6">
        <v>4910</v>
      </c>
      <c r="H1945" s="9">
        <f t="shared" si="30"/>
        <v>1.2E-2</v>
      </c>
      <c r="I1945" s="6">
        <v>10000</v>
      </c>
      <c r="J1945" s="6">
        <f>VLOOKUP(Table1[[#This Row],[Province]],[1]Sheet1!$A$3:$F$37,6,FALSE)</f>
        <v>4246500</v>
      </c>
      <c r="K1945">
        <v>1</v>
      </c>
      <c r="L1945" s="4">
        <v>8.4095180000000003</v>
      </c>
      <c r="M1945" s="4">
        <v>115.18891600000001</v>
      </c>
      <c r="N1945" s="6"/>
      <c r="P1945"/>
      <c r="Q1945" s="12"/>
      <c r="R1945" s="12"/>
    </row>
    <row r="1946" spans="1:18" x14ac:dyDescent="0.2">
      <c r="A1946">
        <v>17</v>
      </c>
      <c r="B1946" t="s">
        <v>2</v>
      </c>
      <c r="C1946">
        <v>2015</v>
      </c>
      <c r="D1946">
        <v>1</v>
      </c>
      <c r="E1946" s="4">
        <v>0</v>
      </c>
      <c r="F1946" s="9">
        <v>0</v>
      </c>
      <c r="G1946" s="6">
        <v>2413</v>
      </c>
      <c r="H1946" s="9">
        <f t="shared" si="30"/>
        <v>0</v>
      </c>
      <c r="I1946" s="6">
        <v>10000</v>
      </c>
      <c r="J1946" s="6">
        <f>VLOOKUP(Table1[[#This Row],[Province]],[1]Sheet1!$A$3:$F$37,6,FALSE)</f>
        <v>4246500</v>
      </c>
      <c r="K1946">
        <v>0</v>
      </c>
      <c r="L1946" s="4">
        <v>8.4095180000000003</v>
      </c>
      <c r="M1946" s="4">
        <v>115.18891600000001</v>
      </c>
      <c r="N1946" s="6"/>
      <c r="P1946"/>
      <c r="Q1946" s="12"/>
      <c r="R1946" s="12"/>
    </row>
    <row r="1947" spans="1:18" x14ac:dyDescent="0.2">
      <c r="A1947">
        <v>17</v>
      </c>
      <c r="B1947" t="s">
        <v>2</v>
      </c>
      <c r="C1947">
        <v>2015</v>
      </c>
      <c r="D1947">
        <v>2</v>
      </c>
      <c r="E1947" s="4">
        <v>0</v>
      </c>
      <c r="F1947" s="9">
        <v>0</v>
      </c>
      <c r="G1947" s="6">
        <v>6086</v>
      </c>
      <c r="H1947" s="9">
        <f t="shared" si="30"/>
        <v>0</v>
      </c>
      <c r="I1947" s="6">
        <v>10000</v>
      </c>
      <c r="J1947" s="6">
        <f>VLOOKUP(Table1[[#This Row],[Province]],[1]Sheet1!$A$3:$F$37,6,FALSE)</f>
        <v>4246500</v>
      </c>
      <c r="K1947">
        <v>0</v>
      </c>
      <c r="L1947" s="4">
        <v>8.4095180000000003</v>
      </c>
      <c r="M1947" s="4">
        <v>115.18891600000001</v>
      </c>
      <c r="N1947" s="6"/>
      <c r="P1947"/>
      <c r="Q1947" s="12"/>
      <c r="R1947" s="12"/>
    </row>
    <row r="1948" spans="1:18" x14ac:dyDescent="0.2">
      <c r="A1948">
        <v>17</v>
      </c>
      <c r="B1948" t="s">
        <v>2</v>
      </c>
      <c r="C1948">
        <v>2015</v>
      </c>
      <c r="D1948">
        <v>3</v>
      </c>
      <c r="E1948" s="4">
        <v>0</v>
      </c>
      <c r="F1948" s="9">
        <v>0</v>
      </c>
      <c r="G1948" s="6">
        <v>2762</v>
      </c>
      <c r="H1948" s="9">
        <f t="shared" si="30"/>
        <v>0</v>
      </c>
      <c r="I1948" s="6">
        <v>10159</v>
      </c>
      <c r="J1948" s="6">
        <f>VLOOKUP(Table1[[#This Row],[Province]],[1]Sheet1!$A$3:$F$37,6,FALSE)</f>
        <v>4246500</v>
      </c>
      <c r="K1948">
        <v>0</v>
      </c>
      <c r="L1948" s="4">
        <v>8.4095180000000003</v>
      </c>
      <c r="M1948" s="4">
        <v>115.18891600000001</v>
      </c>
      <c r="N1948" s="6"/>
      <c r="P1948"/>
      <c r="Q1948" s="12"/>
      <c r="R1948" s="12"/>
    </row>
    <row r="1949" spans="1:18" x14ac:dyDescent="0.2">
      <c r="A1949">
        <v>17</v>
      </c>
      <c r="B1949" t="s">
        <v>2</v>
      </c>
      <c r="C1949">
        <v>2015</v>
      </c>
      <c r="D1949">
        <v>4</v>
      </c>
      <c r="E1949" s="4">
        <v>0</v>
      </c>
      <c r="F1949" s="9">
        <v>1E-3</v>
      </c>
      <c r="G1949" s="6">
        <v>4575</v>
      </c>
      <c r="H1949" s="9">
        <f t="shared" si="30"/>
        <v>1E-3</v>
      </c>
      <c r="I1949" s="6">
        <v>11071</v>
      </c>
      <c r="J1949" s="6">
        <f>VLOOKUP(Table1[[#This Row],[Province]],[1]Sheet1!$A$3:$F$37,6,FALSE)</f>
        <v>4246500</v>
      </c>
      <c r="K1949">
        <v>0</v>
      </c>
      <c r="L1949" s="4">
        <v>8.4095180000000003</v>
      </c>
      <c r="M1949" s="4">
        <v>115.18891600000001</v>
      </c>
      <c r="N1949" s="6"/>
      <c r="P1949"/>
      <c r="Q1949" s="12"/>
      <c r="R1949" s="12"/>
    </row>
    <row r="1950" spans="1:18" x14ac:dyDescent="0.2">
      <c r="A1950">
        <v>17</v>
      </c>
      <c r="B1950" t="s">
        <v>2</v>
      </c>
      <c r="C1950">
        <v>2015</v>
      </c>
      <c r="D1950">
        <v>5</v>
      </c>
      <c r="E1950" s="4">
        <v>0</v>
      </c>
      <c r="F1950" s="9">
        <v>0</v>
      </c>
      <c r="G1950" s="6">
        <v>4384</v>
      </c>
      <c r="H1950" s="9">
        <f t="shared" si="30"/>
        <v>0</v>
      </c>
      <c r="I1950" s="6">
        <v>12000</v>
      </c>
      <c r="J1950" s="6">
        <f>VLOOKUP(Table1[[#This Row],[Province]],[1]Sheet1!$A$3:$F$37,6,FALSE)</f>
        <v>4246500</v>
      </c>
      <c r="K1950">
        <v>0</v>
      </c>
      <c r="L1950" s="4">
        <v>8.4095180000000003</v>
      </c>
      <c r="M1950" s="4">
        <v>115.18891600000001</v>
      </c>
      <c r="N1950" s="6"/>
      <c r="P1950"/>
      <c r="Q1950" s="12"/>
      <c r="R1950" s="12"/>
    </row>
    <row r="1951" spans="1:18" x14ac:dyDescent="0.2">
      <c r="A1951">
        <v>17</v>
      </c>
      <c r="B1951" t="s">
        <v>2</v>
      </c>
      <c r="C1951">
        <v>2015</v>
      </c>
      <c r="D1951">
        <v>6</v>
      </c>
      <c r="E1951" s="4">
        <v>0</v>
      </c>
      <c r="F1951" s="9">
        <v>0</v>
      </c>
      <c r="G1951" s="6">
        <v>4982</v>
      </c>
      <c r="H1951" s="9">
        <f t="shared" si="30"/>
        <v>0</v>
      </c>
      <c r="I1951" s="6">
        <v>12000</v>
      </c>
      <c r="J1951" s="6">
        <f>VLOOKUP(Table1[[#This Row],[Province]],[1]Sheet1!$A$3:$F$37,6,FALSE)</f>
        <v>4246500</v>
      </c>
      <c r="K1951">
        <v>1</v>
      </c>
      <c r="L1951" s="4">
        <v>8.4095180000000003</v>
      </c>
      <c r="M1951" s="4">
        <v>115.18891600000001</v>
      </c>
      <c r="N1951" s="6"/>
      <c r="P1951"/>
      <c r="Q1951" s="12"/>
      <c r="R1951" s="12"/>
    </row>
    <row r="1952" spans="1:18" x14ac:dyDescent="0.2">
      <c r="A1952">
        <v>17</v>
      </c>
      <c r="B1952" t="s">
        <v>2</v>
      </c>
      <c r="C1952">
        <v>2015</v>
      </c>
      <c r="D1952">
        <v>7</v>
      </c>
      <c r="E1952" s="4">
        <v>0</v>
      </c>
      <c r="F1952" s="9">
        <v>4.9000000000000002E-2</v>
      </c>
      <c r="G1952" s="6">
        <v>3401</v>
      </c>
      <c r="H1952" s="9">
        <f t="shared" si="30"/>
        <v>4.9000000000000002E-2</v>
      </c>
      <c r="I1952" s="6">
        <v>12000</v>
      </c>
      <c r="J1952" s="6">
        <f>VLOOKUP(Table1[[#This Row],[Province]],[1]Sheet1!$A$3:$F$37,6,FALSE)</f>
        <v>4246500</v>
      </c>
      <c r="K1952">
        <v>0</v>
      </c>
      <c r="L1952" s="4">
        <v>8.4095180000000003</v>
      </c>
      <c r="M1952" s="4">
        <v>115.18891600000001</v>
      </c>
      <c r="N1952" s="6"/>
      <c r="P1952"/>
      <c r="Q1952" s="12"/>
      <c r="R1952" s="12"/>
    </row>
    <row r="1953" spans="1:18" x14ac:dyDescent="0.2">
      <c r="A1953">
        <v>17</v>
      </c>
      <c r="B1953" t="s">
        <v>2</v>
      </c>
      <c r="C1953">
        <v>2015</v>
      </c>
      <c r="D1953">
        <v>8</v>
      </c>
      <c r="E1953" s="4">
        <v>0</v>
      </c>
      <c r="F1953" s="9">
        <v>6.0000000000000001E-3</v>
      </c>
      <c r="G1953" s="6">
        <v>3366</v>
      </c>
      <c r="H1953" s="9">
        <f t="shared" si="30"/>
        <v>6.0000000000000001E-3</v>
      </c>
      <c r="I1953" s="6">
        <v>12100</v>
      </c>
      <c r="J1953" s="6">
        <f>VLOOKUP(Table1[[#This Row],[Province]],[1]Sheet1!$A$3:$F$37,6,FALSE)</f>
        <v>4246500</v>
      </c>
      <c r="K1953">
        <v>0</v>
      </c>
      <c r="L1953" s="4">
        <v>8.4095180000000003</v>
      </c>
      <c r="M1953" s="4">
        <v>115.18891600000001</v>
      </c>
      <c r="N1953" s="6"/>
      <c r="P1953"/>
      <c r="Q1953" s="12"/>
      <c r="R1953" s="12"/>
    </row>
    <row r="1954" spans="1:18" x14ac:dyDescent="0.2">
      <c r="A1954">
        <v>17</v>
      </c>
      <c r="B1954" t="s">
        <v>2</v>
      </c>
      <c r="C1954">
        <v>2015</v>
      </c>
      <c r="D1954">
        <v>9</v>
      </c>
      <c r="E1954" s="4">
        <v>0</v>
      </c>
      <c r="F1954" s="9">
        <v>1E-3</v>
      </c>
      <c r="G1954" s="6">
        <v>4517</v>
      </c>
      <c r="H1954" s="9">
        <f t="shared" si="30"/>
        <v>1E-3</v>
      </c>
      <c r="I1954" s="6">
        <v>11524</v>
      </c>
      <c r="J1954" s="6">
        <f>VLOOKUP(Table1[[#This Row],[Province]],[1]Sheet1!$A$3:$F$37,6,FALSE)</f>
        <v>4246500</v>
      </c>
      <c r="K1954">
        <v>0</v>
      </c>
      <c r="L1954" s="4">
        <v>8.4095180000000003</v>
      </c>
      <c r="M1954" s="4">
        <v>115.18891600000001</v>
      </c>
      <c r="N1954" s="6"/>
      <c r="P1954"/>
      <c r="Q1954" s="12"/>
      <c r="R1954" s="12"/>
    </row>
    <row r="1955" spans="1:18" x14ac:dyDescent="0.2">
      <c r="A1955">
        <v>17</v>
      </c>
      <c r="B1955" t="s">
        <v>2</v>
      </c>
      <c r="C1955">
        <v>2015</v>
      </c>
      <c r="D1955">
        <v>10</v>
      </c>
      <c r="E1955" s="4">
        <v>0</v>
      </c>
      <c r="F1955" s="9">
        <v>0</v>
      </c>
      <c r="G1955" s="6">
        <v>3011</v>
      </c>
      <c r="H1955" s="9">
        <f t="shared" si="30"/>
        <v>0</v>
      </c>
      <c r="I1955" s="6">
        <v>11405</v>
      </c>
      <c r="J1955" s="6">
        <f>VLOOKUP(Table1[[#This Row],[Province]],[1]Sheet1!$A$3:$F$37,6,FALSE)</f>
        <v>4246500</v>
      </c>
      <c r="K1955">
        <v>0</v>
      </c>
      <c r="L1955" s="4">
        <v>8.4095180000000003</v>
      </c>
      <c r="M1955" s="4">
        <v>115.18891600000001</v>
      </c>
      <c r="N1955" s="6"/>
      <c r="P1955"/>
      <c r="Q1955" s="12"/>
      <c r="R1955" s="12"/>
    </row>
    <row r="1956" spans="1:18" x14ac:dyDescent="0.2">
      <c r="A1956">
        <v>17</v>
      </c>
      <c r="B1956" t="s">
        <v>2</v>
      </c>
      <c r="C1956">
        <v>2015</v>
      </c>
      <c r="D1956">
        <v>11</v>
      </c>
      <c r="E1956" s="4">
        <v>0</v>
      </c>
      <c r="F1956" s="9">
        <v>0</v>
      </c>
      <c r="G1956" s="6">
        <v>3970</v>
      </c>
      <c r="H1956" s="9">
        <f t="shared" si="30"/>
        <v>0</v>
      </c>
      <c r="I1956" s="6">
        <v>11937</v>
      </c>
      <c r="J1956" s="6">
        <f>VLOOKUP(Table1[[#This Row],[Province]],[1]Sheet1!$A$3:$F$37,6,FALSE)</f>
        <v>4246500</v>
      </c>
      <c r="K1956">
        <v>0</v>
      </c>
      <c r="L1956" s="4">
        <v>8.4095180000000003</v>
      </c>
      <c r="M1956" s="4">
        <v>115.18891600000001</v>
      </c>
      <c r="N1956" s="6"/>
      <c r="P1956"/>
      <c r="Q1956" s="12"/>
      <c r="R1956" s="12"/>
    </row>
    <row r="1957" spans="1:18" x14ac:dyDescent="0.2">
      <c r="A1957">
        <v>17</v>
      </c>
      <c r="B1957" t="s">
        <v>2</v>
      </c>
      <c r="C1957">
        <v>2015</v>
      </c>
      <c r="D1957">
        <v>12</v>
      </c>
      <c r="E1957" s="4">
        <v>0</v>
      </c>
      <c r="F1957" s="9">
        <v>0</v>
      </c>
      <c r="G1957" s="6">
        <v>4255</v>
      </c>
      <c r="H1957" s="9">
        <f t="shared" si="30"/>
        <v>0</v>
      </c>
      <c r="I1957" s="6">
        <v>12100</v>
      </c>
      <c r="J1957" s="6">
        <f>VLOOKUP(Table1[[#This Row],[Province]],[1]Sheet1!$A$3:$F$37,6,FALSE)</f>
        <v>4246500</v>
      </c>
      <c r="K1957">
        <v>1</v>
      </c>
      <c r="L1957" s="4">
        <v>8.4095180000000003</v>
      </c>
      <c r="M1957" s="4">
        <v>115.18891600000001</v>
      </c>
      <c r="N1957" s="6"/>
      <c r="P1957"/>
      <c r="Q1957" s="12"/>
      <c r="R1957" s="12"/>
    </row>
    <row r="1958" spans="1:18" x14ac:dyDescent="0.2">
      <c r="A1958">
        <v>17</v>
      </c>
      <c r="B1958" t="s">
        <v>2</v>
      </c>
      <c r="C1958">
        <v>2016</v>
      </c>
      <c r="D1958">
        <v>1</v>
      </c>
      <c r="E1958" s="4">
        <v>0</v>
      </c>
      <c r="F1958" s="9">
        <v>0</v>
      </c>
      <c r="G1958" s="6">
        <v>5338</v>
      </c>
      <c r="H1958" s="9">
        <f t="shared" si="30"/>
        <v>0</v>
      </c>
      <c r="I1958" s="6">
        <v>12825</v>
      </c>
      <c r="J1958" s="6">
        <f>VLOOKUP(Table1[[#This Row],[Province]],[1]Sheet1!$A$3:$F$37,6,FALSE)</f>
        <v>4246500</v>
      </c>
      <c r="K1958">
        <v>0</v>
      </c>
      <c r="L1958" s="4">
        <v>8.4095180000000003</v>
      </c>
      <c r="M1958" s="4">
        <v>115.18891600000001</v>
      </c>
      <c r="N1958" s="13">
        <v>6.33</v>
      </c>
      <c r="P1958"/>
      <c r="Q1958" s="12"/>
      <c r="R1958" s="12"/>
    </row>
    <row r="1959" spans="1:18" x14ac:dyDescent="0.2">
      <c r="A1959">
        <v>17</v>
      </c>
      <c r="B1959" t="s">
        <v>2</v>
      </c>
      <c r="C1959">
        <v>2016</v>
      </c>
      <c r="D1959">
        <v>2</v>
      </c>
      <c r="E1959" s="4">
        <v>0</v>
      </c>
      <c r="F1959" s="9">
        <v>0</v>
      </c>
      <c r="G1959" s="6">
        <v>2381</v>
      </c>
      <c r="H1959" s="9">
        <f t="shared" si="30"/>
        <v>0</v>
      </c>
      <c r="I1959" s="6">
        <v>13000</v>
      </c>
      <c r="J1959" s="6">
        <f>VLOOKUP(Table1[[#This Row],[Province]],[1]Sheet1!$A$3:$F$37,6,FALSE)</f>
        <v>4246500</v>
      </c>
      <c r="K1959">
        <v>0</v>
      </c>
      <c r="L1959" s="4">
        <v>8.4095180000000003</v>
      </c>
      <c r="M1959" s="4">
        <v>115.18891600000001</v>
      </c>
      <c r="N1959" s="13">
        <v>6.33</v>
      </c>
      <c r="P1959"/>
      <c r="Q1959" s="12"/>
      <c r="R1959" s="12"/>
    </row>
    <row r="1960" spans="1:18" x14ac:dyDescent="0.2">
      <c r="A1960">
        <v>17</v>
      </c>
      <c r="B1960" t="s">
        <v>2</v>
      </c>
      <c r="C1960">
        <v>2016</v>
      </c>
      <c r="D1960">
        <v>3</v>
      </c>
      <c r="E1960" s="4">
        <v>0</v>
      </c>
      <c r="F1960" s="9">
        <v>8.9999999999999993E-3</v>
      </c>
      <c r="G1960" s="6">
        <v>3886</v>
      </c>
      <c r="H1960" s="9">
        <f t="shared" si="30"/>
        <v>8.9999999999999993E-3</v>
      </c>
      <c r="I1960" s="6">
        <v>13000</v>
      </c>
      <c r="J1960" s="6">
        <f>VLOOKUP(Table1[[#This Row],[Province]],[1]Sheet1!$A$3:$F$37,6,FALSE)</f>
        <v>4246500</v>
      </c>
      <c r="K1960">
        <v>0</v>
      </c>
      <c r="L1960" s="4">
        <v>8.4095180000000003</v>
      </c>
      <c r="M1960" s="4">
        <v>115.18891600000001</v>
      </c>
      <c r="N1960" s="13">
        <v>6.33</v>
      </c>
      <c r="P1960"/>
      <c r="Q1960" s="12"/>
      <c r="R1960" s="12"/>
    </row>
    <row r="1961" spans="1:18" x14ac:dyDescent="0.2">
      <c r="A1961">
        <v>17</v>
      </c>
      <c r="B1961" t="s">
        <v>2</v>
      </c>
      <c r="C1961">
        <v>2016</v>
      </c>
      <c r="D1961">
        <v>4</v>
      </c>
      <c r="E1961" s="4">
        <v>0</v>
      </c>
      <c r="F1961" s="9">
        <v>1E-3</v>
      </c>
      <c r="G1961" s="6">
        <v>2602</v>
      </c>
      <c r="H1961" s="9">
        <f t="shared" si="30"/>
        <v>1E-3</v>
      </c>
      <c r="I1961" s="6">
        <v>13095</v>
      </c>
      <c r="J1961" s="6">
        <f>VLOOKUP(Table1[[#This Row],[Province]],[1]Sheet1!$A$3:$F$37,6,FALSE)</f>
        <v>4246500</v>
      </c>
      <c r="K1961">
        <v>0</v>
      </c>
      <c r="L1961" s="4">
        <v>8.4095180000000003</v>
      </c>
      <c r="M1961" s="4">
        <v>115.18891600000001</v>
      </c>
      <c r="N1961" s="13">
        <v>6.33</v>
      </c>
      <c r="P1961"/>
      <c r="Q1961" s="12"/>
      <c r="R1961" s="12"/>
    </row>
    <row r="1962" spans="1:18" x14ac:dyDescent="0.2">
      <c r="A1962">
        <v>17</v>
      </c>
      <c r="B1962" t="s">
        <v>2</v>
      </c>
      <c r="C1962">
        <v>2016</v>
      </c>
      <c r="D1962">
        <v>5</v>
      </c>
      <c r="E1962" s="4">
        <v>0</v>
      </c>
      <c r="F1962" s="9">
        <v>5.0000000000000001E-3</v>
      </c>
      <c r="G1962" s="6">
        <v>3788</v>
      </c>
      <c r="H1962" s="9">
        <f t="shared" si="30"/>
        <v>5.0000000000000001E-3</v>
      </c>
      <c r="I1962" s="6">
        <v>14700</v>
      </c>
      <c r="J1962" s="6">
        <f>VLOOKUP(Table1[[#This Row],[Province]],[1]Sheet1!$A$3:$F$37,6,FALSE)</f>
        <v>4246500</v>
      </c>
      <c r="K1962">
        <v>0</v>
      </c>
      <c r="L1962" s="4">
        <v>8.4095180000000003</v>
      </c>
      <c r="M1962" s="4">
        <v>115.18891600000001</v>
      </c>
      <c r="N1962" s="13">
        <v>6.33</v>
      </c>
      <c r="P1962"/>
      <c r="Q1962" s="12"/>
      <c r="R1962" s="12"/>
    </row>
    <row r="1963" spans="1:18" x14ac:dyDescent="0.2">
      <c r="A1963">
        <v>17</v>
      </c>
      <c r="B1963" t="s">
        <v>2</v>
      </c>
      <c r="C1963">
        <v>2016</v>
      </c>
      <c r="D1963">
        <v>6</v>
      </c>
      <c r="E1963" s="4">
        <v>0</v>
      </c>
      <c r="F1963" s="9">
        <v>0</v>
      </c>
      <c r="G1963" s="6">
        <v>4307</v>
      </c>
      <c r="H1963" s="9">
        <f t="shared" si="30"/>
        <v>0</v>
      </c>
      <c r="I1963" s="6">
        <v>15614</v>
      </c>
      <c r="J1963" s="6">
        <f>VLOOKUP(Table1[[#This Row],[Province]],[1]Sheet1!$A$3:$F$37,6,FALSE)</f>
        <v>4246500</v>
      </c>
      <c r="K1963">
        <v>1</v>
      </c>
      <c r="L1963" s="4">
        <v>8.4095180000000003</v>
      </c>
      <c r="M1963" s="4">
        <v>115.18891600000001</v>
      </c>
      <c r="N1963" s="13">
        <v>6.33</v>
      </c>
      <c r="P1963"/>
      <c r="Q1963" s="12"/>
      <c r="R1963" s="12"/>
    </row>
    <row r="1964" spans="1:18" x14ac:dyDescent="0.2">
      <c r="A1964">
        <v>17</v>
      </c>
      <c r="B1964" t="s">
        <v>2</v>
      </c>
      <c r="C1964">
        <v>2016</v>
      </c>
      <c r="D1964">
        <v>7</v>
      </c>
      <c r="E1964" s="4">
        <v>0</v>
      </c>
      <c r="F1964" s="9">
        <v>0</v>
      </c>
      <c r="G1964" s="6">
        <v>4109</v>
      </c>
      <c r="H1964" s="9">
        <f t="shared" si="30"/>
        <v>0</v>
      </c>
      <c r="I1964" s="6">
        <v>15271</v>
      </c>
      <c r="J1964" s="6">
        <f>VLOOKUP(Table1[[#This Row],[Province]],[1]Sheet1!$A$3:$F$37,6,FALSE)</f>
        <v>4246500</v>
      </c>
      <c r="K1964">
        <v>0</v>
      </c>
      <c r="L1964" s="4">
        <v>8.4095180000000003</v>
      </c>
      <c r="M1964" s="4">
        <v>115.18891600000001</v>
      </c>
      <c r="N1964" s="13">
        <v>6.33</v>
      </c>
      <c r="P1964"/>
      <c r="Q1964" s="12"/>
      <c r="R1964" s="12"/>
    </row>
    <row r="1965" spans="1:18" x14ac:dyDescent="0.2">
      <c r="A1965">
        <v>17</v>
      </c>
      <c r="B1965" t="s">
        <v>2</v>
      </c>
      <c r="C1965">
        <v>2016</v>
      </c>
      <c r="D1965">
        <v>8</v>
      </c>
      <c r="E1965" s="4">
        <v>0</v>
      </c>
      <c r="F1965" s="9">
        <v>0</v>
      </c>
      <c r="G1965" s="6">
        <v>4061</v>
      </c>
      <c r="H1965" s="9">
        <f t="shared" si="30"/>
        <v>0</v>
      </c>
      <c r="I1965" s="6">
        <v>14583</v>
      </c>
      <c r="J1965" s="6">
        <f>VLOOKUP(Table1[[#This Row],[Province]],[1]Sheet1!$A$3:$F$37,6,FALSE)</f>
        <v>4246500</v>
      </c>
      <c r="K1965">
        <v>0</v>
      </c>
      <c r="L1965" s="4">
        <v>8.4095180000000003</v>
      </c>
      <c r="M1965" s="4">
        <v>115.18891600000001</v>
      </c>
      <c r="N1965" s="13">
        <v>6.33</v>
      </c>
      <c r="P1965"/>
      <c r="Q1965" s="12"/>
      <c r="R1965" s="12"/>
    </row>
    <row r="1966" spans="1:18" x14ac:dyDescent="0.2">
      <c r="A1966">
        <v>17</v>
      </c>
      <c r="B1966" t="s">
        <v>2</v>
      </c>
      <c r="C1966">
        <v>2016</v>
      </c>
      <c r="D1966">
        <v>9</v>
      </c>
      <c r="E1966" s="4">
        <v>0</v>
      </c>
      <c r="F1966" s="9">
        <v>0</v>
      </c>
      <c r="G1966" s="6">
        <v>1569</v>
      </c>
      <c r="H1966" s="9">
        <f t="shared" si="30"/>
        <v>0</v>
      </c>
      <c r="I1966" s="6">
        <v>13540</v>
      </c>
      <c r="J1966" s="6">
        <f>VLOOKUP(Table1[[#This Row],[Province]],[1]Sheet1!$A$3:$F$37,6,FALSE)</f>
        <v>4246500</v>
      </c>
      <c r="K1966">
        <v>0</v>
      </c>
      <c r="L1966" s="4">
        <v>8.4095180000000003</v>
      </c>
      <c r="M1966" s="4">
        <v>115.18891600000001</v>
      </c>
      <c r="N1966" s="13">
        <v>6.33</v>
      </c>
      <c r="P1966"/>
      <c r="Q1966" s="12"/>
      <c r="R1966" s="12"/>
    </row>
    <row r="1967" spans="1:18" x14ac:dyDescent="0.2">
      <c r="A1967">
        <v>17</v>
      </c>
      <c r="B1967" t="s">
        <v>2</v>
      </c>
      <c r="C1967">
        <v>2016</v>
      </c>
      <c r="D1967">
        <v>10</v>
      </c>
      <c r="E1967" s="4">
        <v>0</v>
      </c>
      <c r="F1967" s="9">
        <v>1E-3</v>
      </c>
      <c r="G1967" s="6">
        <v>6856</v>
      </c>
      <c r="H1967" s="9">
        <f t="shared" si="30"/>
        <v>1E-3</v>
      </c>
      <c r="I1967" s="6">
        <v>13000</v>
      </c>
      <c r="J1967" s="6">
        <f>VLOOKUP(Table1[[#This Row],[Province]],[1]Sheet1!$A$3:$F$37,6,FALSE)</f>
        <v>4246500</v>
      </c>
      <c r="K1967">
        <v>0</v>
      </c>
      <c r="L1967" s="4">
        <v>8.4095180000000003</v>
      </c>
      <c r="M1967" s="4">
        <v>115.18891600000001</v>
      </c>
      <c r="N1967" s="13">
        <v>6.33</v>
      </c>
      <c r="P1967"/>
      <c r="Q1967" s="12"/>
      <c r="R1967" s="12"/>
    </row>
    <row r="1968" spans="1:18" x14ac:dyDescent="0.2">
      <c r="A1968">
        <v>17</v>
      </c>
      <c r="B1968" t="s">
        <v>2</v>
      </c>
      <c r="C1968">
        <v>2016</v>
      </c>
      <c r="D1968">
        <v>11</v>
      </c>
      <c r="E1968" s="4">
        <v>0</v>
      </c>
      <c r="F1968" s="9">
        <v>0</v>
      </c>
      <c r="G1968" s="6">
        <v>1941</v>
      </c>
      <c r="H1968" s="9">
        <f t="shared" si="30"/>
        <v>0</v>
      </c>
      <c r="I1968" s="6">
        <v>13000</v>
      </c>
      <c r="J1968" s="6">
        <f>VLOOKUP(Table1[[#This Row],[Province]],[1]Sheet1!$A$3:$F$37,6,FALSE)</f>
        <v>4246500</v>
      </c>
      <c r="K1968">
        <v>0</v>
      </c>
      <c r="L1968" s="4">
        <v>8.4095180000000003</v>
      </c>
      <c r="M1968" s="4">
        <v>115.18891600000001</v>
      </c>
      <c r="N1968" s="13">
        <v>6.33</v>
      </c>
      <c r="P1968"/>
      <c r="Q1968" s="12"/>
      <c r="R1968" s="12"/>
    </row>
    <row r="1969" spans="1:18" x14ac:dyDescent="0.2">
      <c r="A1969">
        <v>17</v>
      </c>
      <c r="B1969" t="s">
        <v>2</v>
      </c>
      <c r="C1969">
        <v>2016</v>
      </c>
      <c r="D1969">
        <v>12</v>
      </c>
      <c r="E1969" s="4">
        <v>0</v>
      </c>
      <c r="F1969" s="9">
        <v>0</v>
      </c>
      <c r="G1969" s="6">
        <v>1943</v>
      </c>
      <c r="H1969" s="9">
        <f t="shared" si="30"/>
        <v>0</v>
      </c>
      <c r="I1969" s="6">
        <v>13250</v>
      </c>
      <c r="J1969" s="6">
        <f>VLOOKUP(Table1[[#This Row],[Province]],[1]Sheet1!$A$3:$F$37,6,FALSE)</f>
        <v>4246500</v>
      </c>
      <c r="K1969">
        <v>1</v>
      </c>
      <c r="L1969" s="4">
        <v>8.4095180000000003</v>
      </c>
      <c r="M1969" s="4">
        <v>115.18891600000001</v>
      </c>
      <c r="N1969" s="13">
        <v>6.33</v>
      </c>
      <c r="P1969"/>
      <c r="Q1969" s="12"/>
      <c r="R1969" s="12"/>
    </row>
    <row r="1970" spans="1:18" x14ac:dyDescent="0.2">
      <c r="A1970">
        <v>17</v>
      </c>
      <c r="B1970" t="s">
        <v>2</v>
      </c>
      <c r="C1970">
        <v>2017</v>
      </c>
      <c r="D1970">
        <v>1</v>
      </c>
      <c r="E1970" s="4">
        <v>0</v>
      </c>
      <c r="F1970" s="9">
        <v>0</v>
      </c>
      <c r="G1970" s="6">
        <v>3850</v>
      </c>
      <c r="H1970" s="9">
        <f t="shared" si="30"/>
        <v>0</v>
      </c>
      <c r="I1970" s="6">
        <v>13286</v>
      </c>
      <c r="J1970" s="6">
        <f>VLOOKUP(Table1[[#This Row],[Province]],[1]Sheet1!$A$3:$F$37,6,FALSE)</f>
        <v>4246500</v>
      </c>
      <c r="K1970">
        <v>0</v>
      </c>
      <c r="L1970" s="4">
        <v>8.4095180000000003</v>
      </c>
      <c r="M1970" s="4">
        <v>115.18891600000001</v>
      </c>
      <c r="N1970" s="13">
        <v>5.56</v>
      </c>
      <c r="P1970"/>
      <c r="Q1970" s="12"/>
      <c r="R1970" s="12"/>
    </row>
    <row r="1971" spans="1:18" x14ac:dyDescent="0.2">
      <c r="A1971">
        <v>17</v>
      </c>
      <c r="B1971" t="s">
        <v>2</v>
      </c>
      <c r="C1971">
        <v>2017</v>
      </c>
      <c r="D1971">
        <v>2</v>
      </c>
      <c r="E1971" s="4">
        <v>0</v>
      </c>
      <c r="F1971" s="9">
        <v>0</v>
      </c>
      <c r="G1971" s="6">
        <v>2212</v>
      </c>
      <c r="H1971" s="9">
        <f t="shared" si="30"/>
        <v>0</v>
      </c>
      <c r="I1971" s="6">
        <v>13000</v>
      </c>
      <c r="J1971" s="6">
        <f>VLOOKUP(Table1[[#This Row],[Province]],[1]Sheet1!$A$3:$F$37,6,FALSE)</f>
        <v>4246500</v>
      </c>
      <c r="K1971">
        <v>0</v>
      </c>
      <c r="L1971" s="4">
        <v>8.4095180000000003</v>
      </c>
      <c r="M1971" s="4">
        <v>115.18891600000001</v>
      </c>
      <c r="N1971" s="13">
        <v>5.56</v>
      </c>
      <c r="P1971"/>
      <c r="Q1971" s="12"/>
      <c r="R1971" s="12"/>
    </row>
    <row r="1972" spans="1:18" x14ac:dyDescent="0.2">
      <c r="A1972">
        <v>17</v>
      </c>
      <c r="B1972" t="s">
        <v>2</v>
      </c>
      <c r="C1972">
        <v>2017</v>
      </c>
      <c r="D1972">
        <v>3</v>
      </c>
      <c r="E1972" s="4">
        <v>0</v>
      </c>
      <c r="F1972" s="9">
        <v>0</v>
      </c>
      <c r="G1972" s="6">
        <v>1728</v>
      </c>
      <c r="H1972" s="9">
        <f t="shared" si="30"/>
        <v>0</v>
      </c>
      <c r="I1972" s="6">
        <v>13000</v>
      </c>
      <c r="J1972" s="6">
        <f>VLOOKUP(Table1[[#This Row],[Province]],[1]Sheet1!$A$3:$F$37,6,FALSE)</f>
        <v>4246500</v>
      </c>
      <c r="K1972">
        <v>0</v>
      </c>
      <c r="L1972" s="4">
        <v>8.4095180000000003</v>
      </c>
      <c r="M1972" s="4">
        <v>115.18891600000001</v>
      </c>
      <c r="N1972" s="13">
        <v>5.56</v>
      </c>
      <c r="P1972"/>
      <c r="Q1972" s="12"/>
      <c r="R1972" s="12"/>
    </row>
    <row r="1973" spans="1:18" x14ac:dyDescent="0.2">
      <c r="A1973">
        <v>17</v>
      </c>
      <c r="B1973" t="s">
        <v>2</v>
      </c>
      <c r="C1973">
        <v>2017</v>
      </c>
      <c r="D1973">
        <v>4</v>
      </c>
      <c r="E1973" s="4">
        <v>0</v>
      </c>
      <c r="F1973" s="9">
        <v>0</v>
      </c>
      <c r="G1973" s="6">
        <v>1235</v>
      </c>
      <c r="H1973" s="9">
        <f t="shared" si="30"/>
        <v>0</v>
      </c>
      <c r="I1973" s="6">
        <v>12853</v>
      </c>
      <c r="J1973" s="6">
        <f>VLOOKUP(Table1[[#This Row],[Province]],[1]Sheet1!$A$3:$F$37,6,FALSE)</f>
        <v>4246500</v>
      </c>
      <c r="K1973">
        <v>0</v>
      </c>
      <c r="L1973" s="4">
        <v>8.4095180000000003</v>
      </c>
      <c r="M1973" s="4">
        <v>115.18891600000001</v>
      </c>
      <c r="N1973" s="13">
        <v>5.56</v>
      </c>
      <c r="P1973"/>
      <c r="Q1973" s="12"/>
      <c r="R1973" s="12"/>
    </row>
    <row r="1974" spans="1:18" x14ac:dyDescent="0.2">
      <c r="A1974">
        <v>17</v>
      </c>
      <c r="B1974" t="s">
        <v>2</v>
      </c>
      <c r="C1974">
        <v>2017</v>
      </c>
      <c r="D1974">
        <v>5</v>
      </c>
      <c r="E1974" s="4">
        <v>0</v>
      </c>
      <c r="F1974" s="9">
        <v>0</v>
      </c>
      <c r="G1974" s="6">
        <v>1189</v>
      </c>
      <c r="H1974" s="9">
        <f t="shared" si="30"/>
        <v>0</v>
      </c>
      <c r="I1974" s="6">
        <v>12500</v>
      </c>
      <c r="J1974" s="6">
        <f>VLOOKUP(Table1[[#This Row],[Province]],[1]Sheet1!$A$3:$F$37,6,FALSE)</f>
        <v>4246500</v>
      </c>
      <c r="K1974">
        <v>1</v>
      </c>
      <c r="L1974" s="4">
        <v>8.4095180000000003</v>
      </c>
      <c r="M1974" s="4">
        <v>115.18891600000001</v>
      </c>
      <c r="N1974" s="13">
        <v>5.56</v>
      </c>
      <c r="P1974"/>
      <c r="Q1974" s="12"/>
      <c r="R1974" s="12"/>
    </row>
    <row r="1975" spans="1:18" x14ac:dyDescent="0.2">
      <c r="A1975">
        <v>17</v>
      </c>
      <c r="B1975" t="s">
        <v>2</v>
      </c>
      <c r="C1975">
        <v>2017</v>
      </c>
      <c r="D1975">
        <v>6</v>
      </c>
      <c r="E1975" s="4">
        <v>0</v>
      </c>
      <c r="F1975" s="9">
        <v>0</v>
      </c>
      <c r="G1975" s="6">
        <v>2200</v>
      </c>
      <c r="H1975" s="9">
        <f t="shared" si="30"/>
        <v>0</v>
      </c>
      <c r="I1975" s="6">
        <v>12500</v>
      </c>
      <c r="J1975" s="6">
        <f>VLOOKUP(Table1[[#This Row],[Province]],[1]Sheet1!$A$3:$F$37,6,FALSE)</f>
        <v>4246500</v>
      </c>
      <c r="K1975">
        <v>0</v>
      </c>
      <c r="L1975" s="4">
        <v>8.4095180000000003</v>
      </c>
      <c r="M1975" s="4">
        <v>115.18891600000001</v>
      </c>
      <c r="N1975" s="13">
        <v>5.56</v>
      </c>
      <c r="P1975"/>
      <c r="Q1975" s="12"/>
      <c r="R1975" s="12"/>
    </row>
    <row r="1976" spans="1:18" x14ac:dyDescent="0.2">
      <c r="A1976">
        <v>17</v>
      </c>
      <c r="B1976" t="s">
        <v>2</v>
      </c>
      <c r="C1976">
        <v>2017</v>
      </c>
      <c r="D1976">
        <v>7</v>
      </c>
      <c r="E1976" s="4">
        <v>0</v>
      </c>
      <c r="F1976" s="9">
        <v>0.184</v>
      </c>
      <c r="G1976" s="6">
        <v>2449</v>
      </c>
      <c r="H1976" s="9">
        <f t="shared" si="30"/>
        <v>0.184</v>
      </c>
      <c r="I1976" s="6">
        <v>12500</v>
      </c>
      <c r="J1976" s="6">
        <f>VLOOKUP(Table1[[#This Row],[Province]],[1]Sheet1!$A$3:$F$37,6,FALSE)</f>
        <v>4246500</v>
      </c>
      <c r="K1976">
        <v>0</v>
      </c>
      <c r="L1976" s="4">
        <v>8.4095180000000003</v>
      </c>
      <c r="M1976" s="4">
        <v>115.18891600000001</v>
      </c>
      <c r="N1976" s="13">
        <v>5.56</v>
      </c>
      <c r="P1976"/>
      <c r="Q1976" s="12"/>
      <c r="R1976" s="12"/>
    </row>
    <row r="1977" spans="1:18" x14ac:dyDescent="0.2">
      <c r="A1977">
        <v>17</v>
      </c>
      <c r="B1977" t="s">
        <v>2</v>
      </c>
      <c r="C1977">
        <v>2017</v>
      </c>
      <c r="D1977">
        <v>8</v>
      </c>
      <c r="E1977" s="4">
        <v>0</v>
      </c>
      <c r="F1977" s="9">
        <v>1.0999999999999999E-2</v>
      </c>
      <c r="G1977" s="6">
        <v>4694</v>
      </c>
      <c r="H1977" s="9">
        <f t="shared" si="30"/>
        <v>1.0999999999999999E-2</v>
      </c>
      <c r="I1977" s="6">
        <v>12295</v>
      </c>
      <c r="J1977" s="6">
        <f>VLOOKUP(Table1[[#This Row],[Province]],[1]Sheet1!$A$3:$F$37,6,FALSE)</f>
        <v>4246500</v>
      </c>
      <c r="K1977">
        <v>0</v>
      </c>
      <c r="L1977" s="4">
        <v>8.4095180000000003</v>
      </c>
      <c r="M1977" s="4">
        <v>115.18891600000001</v>
      </c>
      <c r="N1977" s="13">
        <v>5.56</v>
      </c>
      <c r="P1977"/>
      <c r="Q1977" s="12"/>
      <c r="R1977" s="12"/>
    </row>
    <row r="1978" spans="1:18" x14ac:dyDescent="0.2">
      <c r="A1978">
        <v>17</v>
      </c>
      <c r="B1978" t="s">
        <v>2</v>
      </c>
      <c r="C1978">
        <v>2017</v>
      </c>
      <c r="D1978">
        <v>9</v>
      </c>
      <c r="E1978" s="4">
        <v>0</v>
      </c>
      <c r="F1978" s="9">
        <v>0.43099999999999999</v>
      </c>
      <c r="G1978" s="6">
        <v>4549</v>
      </c>
      <c r="H1978" s="9">
        <f t="shared" si="30"/>
        <v>0.43099999999999999</v>
      </c>
      <c r="I1978" s="6">
        <v>12000</v>
      </c>
      <c r="J1978" s="6">
        <f>VLOOKUP(Table1[[#This Row],[Province]],[1]Sheet1!$A$3:$F$37,6,FALSE)</f>
        <v>4246500</v>
      </c>
      <c r="K1978">
        <v>0</v>
      </c>
      <c r="L1978" s="4">
        <v>8.4095180000000003</v>
      </c>
      <c r="M1978" s="4">
        <v>115.18891600000001</v>
      </c>
      <c r="N1978" s="13">
        <v>5.56</v>
      </c>
      <c r="P1978"/>
      <c r="Q1978" s="12"/>
      <c r="R1978" s="12"/>
    </row>
    <row r="1979" spans="1:18" x14ac:dyDescent="0.2">
      <c r="A1979">
        <v>17</v>
      </c>
      <c r="B1979" t="s">
        <v>2</v>
      </c>
      <c r="C1979">
        <v>2017</v>
      </c>
      <c r="D1979">
        <v>10</v>
      </c>
      <c r="E1979" s="4">
        <v>0</v>
      </c>
      <c r="F1979" s="9">
        <v>0.29899999999999999</v>
      </c>
      <c r="G1979" s="6">
        <v>5904</v>
      </c>
      <c r="H1979" s="9">
        <f t="shared" si="30"/>
        <v>0.29899999999999999</v>
      </c>
      <c r="I1979" s="6">
        <v>12000</v>
      </c>
      <c r="J1979" s="6">
        <f>VLOOKUP(Table1[[#This Row],[Province]],[1]Sheet1!$A$3:$F$37,6,FALSE)</f>
        <v>4246500</v>
      </c>
      <c r="K1979">
        <v>0</v>
      </c>
      <c r="L1979" s="4">
        <v>8.4095180000000003</v>
      </c>
      <c r="M1979" s="4">
        <v>115.18891600000001</v>
      </c>
      <c r="N1979" s="13">
        <v>5.56</v>
      </c>
      <c r="P1979"/>
      <c r="Q1979" s="12"/>
      <c r="R1979" s="12"/>
    </row>
    <row r="1980" spans="1:18" x14ac:dyDescent="0.2">
      <c r="A1980">
        <v>17</v>
      </c>
      <c r="B1980" t="s">
        <v>2</v>
      </c>
      <c r="C1980">
        <v>2017</v>
      </c>
      <c r="D1980">
        <v>11</v>
      </c>
      <c r="E1980" s="4">
        <v>0</v>
      </c>
      <c r="F1980" s="9">
        <v>0.14899999999999999</v>
      </c>
      <c r="G1980" s="6">
        <v>1543</v>
      </c>
      <c r="H1980" s="9">
        <f t="shared" si="30"/>
        <v>0.14899999999999999</v>
      </c>
      <c r="I1980" s="6">
        <v>12000</v>
      </c>
      <c r="J1980" s="6">
        <f>VLOOKUP(Table1[[#This Row],[Province]],[1]Sheet1!$A$3:$F$37,6,FALSE)</f>
        <v>4246500</v>
      </c>
      <c r="K1980">
        <v>0</v>
      </c>
      <c r="L1980" s="4">
        <v>8.4095180000000003</v>
      </c>
      <c r="M1980" s="4">
        <v>115.18891600000001</v>
      </c>
      <c r="N1980" s="13">
        <v>5.56</v>
      </c>
      <c r="P1980"/>
      <c r="Q1980" s="12"/>
      <c r="R1980" s="12"/>
    </row>
    <row r="1981" spans="1:18" x14ac:dyDescent="0.2">
      <c r="A1981">
        <v>17</v>
      </c>
      <c r="B1981" t="s">
        <v>2</v>
      </c>
      <c r="C1981">
        <v>2017</v>
      </c>
      <c r="D1981">
        <v>12</v>
      </c>
      <c r="E1981" s="4">
        <v>0</v>
      </c>
      <c r="F1981" s="9">
        <v>0</v>
      </c>
      <c r="G1981" s="6">
        <v>2874</v>
      </c>
      <c r="H1981" s="9">
        <f t="shared" si="30"/>
        <v>0</v>
      </c>
      <c r="I1981" s="6">
        <v>12000</v>
      </c>
      <c r="J1981" s="6">
        <f>VLOOKUP(Table1[[#This Row],[Province]],[1]Sheet1!$A$3:$F$37,6,FALSE)</f>
        <v>4246500</v>
      </c>
      <c r="K1981">
        <v>1</v>
      </c>
      <c r="L1981" s="4">
        <v>8.4095180000000003</v>
      </c>
      <c r="M1981" s="4">
        <v>115.18891600000001</v>
      </c>
      <c r="N1981" s="13">
        <v>5.56</v>
      </c>
      <c r="P1981"/>
      <c r="Q1981" s="12"/>
      <c r="R1981" s="12"/>
    </row>
    <row r="1982" spans="1:18" x14ac:dyDescent="0.2">
      <c r="A1982">
        <v>17</v>
      </c>
      <c r="B1982" t="s">
        <v>2</v>
      </c>
      <c r="C1982">
        <v>2018</v>
      </c>
      <c r="D1982">
        <v>1</v>
      </c>
      <c r="E1982" s="4">
        <v>0</v>
      </c>
      <c r="F1982" s="9">
        <v>0</v>
      </c>
      <c r="G1982" s="6">
        <v>6580</v>
      </c>
      <c r="H1982" s="9">
        <f t="shared" si="30"/>
        <v>0</v>
      </c>
      <c r="I1982" s="6">
        <v>12084</v>
      </c>
      <c r="J1982" s="6">
        <f>VLOOKUP(Table1[[#This Row],[Province]],[1]Sheet1!$A$3:$F$37,6,FALSE)</f>
        <v>4246500</v>
      </c>
      <c r="K1982">
        <v>0</v>
      </c>
      <c r="L1982" s="4">
        <v>8.4095180000000003</v>
      </c>
      <c r="M1982" s="4">
        <v>115.18891600000001</v>
      </c>
      <c r="N1982" s="13">
        <v>6.31</v>
      </c>
      <c r="P1982"/>
      <c r="Q1982" s="12"/>
      <c r="R1982" s="12"/>
    </row>
    <row r="1983" spans="1:18" x14ac:dyDescent="0.2">
      <c r="A1983">
        <v>17</v>
      </c>
      <c r="B1983" t="s">
        <v>2</v>
      </c>
      <c r="C1983">
        <v>2018</v>
      </c>
      <c r="D1983">
        <v>2</v>
      </c>
      <c r="E1983" s="4">
        <v>0</v>
      </c>
      <c r="F1983" s="9">
        <v>0</v>
      </c>
      <c r="G1983" s="6">
        <v>2662</v>
      </c>
      <c r="H1983" s="9">
        <f t="shared" si="30"/>
        <v>0</v>
      </c>
      <c r="I1983" s="6">
        <v>12000</v>
      </c>
      <c r="J1983" s="6">
        <f>VLOOKUP(Table1[[#This Row],[Province]],[1]Sheet1!$A$3:$F$37,6,FALSE)</f>
        <v>4246500</v>
      </c>
      <c r="K1983">
        <v>0</v>
      </c>
      <c r="L1983" s="4">
        <v>8.4095180000000003</v>
      </c>
      <c r="M1983" s="4">
        <v>115.18891600000001</v>
      </c>
      <c r="N1983" s="13">
        <v>6.31</v>
      </c>
      <c r="P1983"/>
      <c r="Q1983" s="12"/>
      <c r="R1983" s="12"/>
    </row>
    <row r="1984" spans="1:18" x14ac:dyDescent="0.2">
      <c r="A1984">
        <v>17</v>
      </c>
      <c r="B1984" t="s">
        <v>2</v>
      </c>
      <c r="C1984">
        <v>2018</v>
      </c>
      <c r="D1984">
        <v>3</v>
      </c>
      <c r="E1984" s="4">
        <v>0</v>
      </c>
      <c r="F1984" s="9">
        <v>9.8000000000000004E-2</v>
      </c>
      <c r="G1984" s="6">
        <v>3985</v>
      </c>
      <c r="H1984" s="9">
        <f t="shared" si="30"/>
        <v>9.8000000000000004E-2</v>
      </c>
      <c r="I1984" s="6">
        <v>12000</v>
      </c>
      <c r="J1984" s="6">
        <f>VLOOKUP(Table1[[#This Row],[Province]],[1]Sheet1!$A$3:$F$37,6,FALSE)</f>
        <v>4246500</v>
      </c>
      <c r="K1984">
        <v>0</v>
      </c>
      <c r="L1984" s="4">
        <v>8.4095180000000003</v>
      </c>
      <c r="M1984" s="4">
        <v>115.18891600000001</v>
      </c>
      <c r="N1984" s="13">
        <v>6.31</v>
      </c>
      <c r="P1984"/>
      <c r="Q1984" s="12"/>
      <c r="R1984" s="12"/>
    </row>
    <row r="1985" spans="1:18" x14ac:dyDescent="0.2">
      <c r="A1985">
        <v>17</v>
      </c>
      <c r="B1985" t="s">
        <v>2</v>
      </c>
      <c r="C1985">
        <v>2018</v>
      </c>
      <c r="D1985">
        <v>4</v>
      </c>
      <c r="E1985" s="4">
        <v>0</v>
      </c>
      <c r="F1985" s="9">
        <v>5.8000000000000003E-2</v>
      </c>
      <c r="G1985" s="6">
        <v>4641</v>
      </c>
      <c r="H1985" s="9">
        <f t="shared" si="30"/>
        <v>5.8000000000000003E-2</v>
      </c>
      <c r="I1985" s="6">
        <v>12095</v>
      </c>
      <c r="J1985" s="6">
        <f>VLOOKUP(Table1[[#This Row],[Province]],[1]Sheet1!$A$3:$F$37,6,FALSE)</f>
        <v>4246500</v>
      </c>
      <c r="K1985">
        <v>0</v>
      </c>
      <c r="L1985" s="4">
        <v>8.4095180000000003</v>
      </c>
      <c r="M1985" s="4">
        <v>115.18891600000001</v>
      </c>
      <c r="N1985" s="13">
        <v>6.31</v>
      </c>
      <c r="P1985"/>
      <c r="Q1985" s="12"/>
      <c r="R1985" s="12"/>
    </row>
    <row r="1986" spans="1:18" x14ac:dyDescent="0.2">
      <c r="A1986">
        <v>17</v>
      </c>
      <c r="B1986" t="s">
        <v>2</v>
      </c>
      <c r="C1986">
        <v>2018</v>
      </c>
      <c r="D1986">
        <v>5</v>
      </c>
      <c r="E1986" s="4">
        <v>0</v>
      </c>
      <c r="F1986" s="9">
        <v>0.20300000000000001</v>
      </c>
      <c r="G1986" s="6">
        <v>4063</v>
      </c>
      <c r="H1986" s="9">
        <f t="shared" ref="H1986:H2049" si="31">F1986+E1986</f>
        <v>0.20300000000000001</v>
      </c>
      <c r="I1986" s="6">
        <v>11250</v>
      </c>
      <c r="J1986" s="6">
        <f>VLOOKUP(Table1[[#This Row],[Province]],[1]Sheet1!$A$3:$F$37,6,FALSE)</f>
        <v>4246500</v>
      </c>
      <c r="K1986">
        <v>1</v>
      </c>
      <c r="L1986" s="4">
        <v>8.4095180000000003</v>
      </c>
      <c r="M1986" s="4">
        <v>115.18891600000001</v>
      </c>
      <c r="N1986" s="13">
        <v>6.31</v>
      </c>
      <c r="P1986"/>
      <c r="Q1986" s="12"/>
      <c r="R1986" s="12"/>
    </row>
    <row r="1987" spans="1:18" x14ac:dyDescent="0.2">
      <c r="A1987">
        <v>17</v>
      </c>
      <c r="B1987" t="s">
        <v>2</v>
      </c>
      <c r="C1987">
        <v>2018</v>
      </c>
      <c r="D1987">
        <v>6</v>
      </c>
      <c r="E1987" s="4">
        <v>0</v>
      </c>
      <c r="F1987" s="9">
        <v>0</v>
      </c>
      <c r="G1987" s="6">
        <v>5278</v>
      </c>
      <c r="H1987" s="9">
        <f t="shared" si="31"/>
        <v>0</v>
      </c>
      <c r="I1987" s="6">
        <v>11875</v>
      </c>
      <c r="J1987" s="6">
        <f>VLOOKUP(Table1[[#This Row],[Province]],[1]Sheet1!$A$3:$F$37,6,FALSE)</f>
        <v>4246500</v>
      </c>
      <c r="K1987">
        <v>0</v>
      </c>
      <c r="L1987" s="4">
        <v>8.4095180000000003</v>
      </c>
      <c r="M1987" s="4">
        <v>115.18891600000001</v>
      </c>
      <c r="N1987" s="13">
        <v>6.31</v>
      </c>
      <c r="P1987"/>
      <c r="Q1987" s="12"/>
      <c r="R1987" s="12"/>
    </row>
    <row r="1988" spans="1:18" x14ac:dyDescent="0.2">
      <c r="A1988">
        <v>17</v>
      </c>
      <c r="B1988" t="s">
        <v>2</v>
      </c>
      <c r="C1988">
        <v>2018</v>
      </c>
      <c r="D1988">
        <v>7</v>
      </c>
      <c r="E1988" s="4">
        <v>0</v>
      </c>
      <c r="F1988" s="9">
        <v>0.19</v>
      </c>
      <c r="G1988" s="6">
        <v>5571</v>
      </c>
      <c r="H1988" s="9">
        <f t="shared" si="31"/>
        <v>0.19</v>
      </c>
      <c r="I1988" s="6">
        <v>12000</v>
      </c>
      <c r="J1988" s="6">
        <f>VLOOKUP(Table1[[#This Row],[Province]],[1]Sheet1!$A$3:$F$37,6,FALSE)</f>
        <v>4246500</v>
      </c>
      <c r="K1988">
        <v>0</v>
      </c>
      <c r="L1988" s="4">
        <v>8.4095180000000003</v>
      </c>
      <c r="M1988" s="4">
        <v>115.18891600000001</v>
      </c>
      <c r="N1988" s="13">
        <v>6.31</v>
      </c>
      <c r="P1988"/>
      <c r="Q1988" s="12"/>
      <c r="R1988" s="12"/>
    </row>
    <row r="1989" spans="1:18" x14ac:dyDescent="0.2">
      <c r="A1989">
        <v>17</v>
      </c>
      <c r="B1989" t="s">
        <v>2</v>
      </c>
      <c r="C1989">
        <v>2018</v>
      </c>
      <c r="D1989">
        <v>8</v>
      </c>
      <c r="E1989" s="4">
        <v>0</v>
      </c>
      <c r="F1989" s="9">
        <v>0.09</v>
      </c>
      <c r="G1989" s="6">
        <v>2697</v>
      </c>
      <c r="H1989" s="9">
        <f t="shared" si="31"/>
        <v>0.09</v>
      </c>
      <c r="I1989" s="6">
        <v>12000</v>
      </c>
      <c r="J1989" s="6">
        <f>VLOOKUP(Table1[[#This Row],[Province]],[1]Sheet1!$A$3:$F$37,6,FALSE)</f>
        <v>4246500</v>
      </c>
      <c r="K1989">
        <v>0</v>
      </c>
      <c r="L1989" s="4">
        <v>8.4095180000000003</v>
      </c>
      <c r="M1989" s="4">
        <v>115.18891600000001</v>
      </c>
      <c r="N1989" s="13">
        <v>6.31</v>
      </c>
      <c r="P1989"/>
      <c r="Q1989" s="12"/>
      <c r="R1989" s="12"/>
    </row>
    <row r="1990" spans="1:18" x14ac:dyDescent="0.2">
      <c r="A1990">
        <v>17</v>
      </c>
      <c r="B1990" t="s">
        <v>2</v>
      </c>
      <c r="C1990">
        <v>2018</v>
      </c>
      <c r="D1990">
        <v>9</v>
      </c>
      <c r="E1990" s="4">
        <v>0</v>
      </c>
      <c r="F1990" s="9">
        <v>0.01</v>
      </c>
      <c r="G1990" s="6">
        <v>3172</v>
      </c>
      <c r="H1990" s="9">
        <f t="shared" si="31"/>
        <v>0.01</v>
      </c>
      <c r="I1990" s="6">
        <v>12000</v>
      </c>
      <c r="J1990" s="6">
        <f>VLOOKUP(Table1[[#This Row],[Province]],[1]Sheet1!$A$3:$F$37,6,FALSE)</f>
        <v>4246500</v>
      </c>
      <c r="K1990">
        <v>0</v>
      </c>
      <c r="L1990" s="4">
        <v>8.4095180000000003</v>
      </c>
      <c r="M1990" s="4">
        <v>115.18891600000001</v>
      </c>
      <c r="N1990" s="13">
        <v>6.31</v>
      </c>
      <c r="P1990"/>
      <c r="Q1990" s="12"/>
      <c r="R1990" s="12"/>
    </row>
    <row r="1991" spans="1:18" x14ac:dyDescent="0.2">
      <c r="A1991">
        <v>17</v>
      </c>
      <c r="B1991" t="s">
        <v>2</v>
      </c>
      <c r="C1991">
        <v>2018</v>
      </c>
      <c r="D1991">
        <v>10</v>
      </c>
      <c r="E1991" s="4">
        <v>0</v>
      </c>
      <c r="F1991" s="9">
        <v>2.3E-2</v>
      </c>
      <c r="G1991" s="6">
        <v>4436</v>
      </c>
      <c r="H1991" s="9">
        <f t="shared" si="31"/>
        <v>2.3E-2</v>
      </c>
      <c r="I1991" s="6">
        <v>11750</v>
      </c>
      <c r="J1991" s="6">
        <f>VLOOKUP(Table1[[#This Row],[Province]],[1]Sheet1!$A$3:$F$37,6,FALSE)</f>
        <v>4246500</v>
      </c>
      <c r="K1991">
        <v>0</v>
      </c>
      <c r="L1991" s="4">
        <v>8.4095180000000003</v>
      </c>
      <c r="M1991" s="4">
        <v>115.18891600000001</v>
      </c>
      <c r="N1991" s="13">
        <v>6.31</v>
      </c>
      <c r="P1991"/>
      <c r="Q1991" s="12"/>
      <c r="R1991" s="12"/>
    </row>
    <row r="1992" spans="1:18" x14ac:dyDescent="0.2">
      <c r="A1992">
        <v>17</v>
      </c>
      <c r="B1992" t="s">
        <v>2</v>
      </c>
      <c r="C1992">
        <v>2018</v>
      </c>
      <c r="D1992">
        <v>11</v>
      </c>
      <c r="E1992" s="4">
        <v>0</v>
      </c>
      <c r="F1992" s="9">
        <v>4.8000000000000001E-2</v>
      </c>
      <c r="G1992" s="6">
        <v>3923</v>
      </c>
      <c r="H1992" s="9">
        <f t="shared" si="31"/>
        <v>4.8000000000000001E-2</v>
      </c>
      <c r="I1992" s="6">
        <v>11583</v>
      </c>
      <c r="J1992" s="6">
        <f>VLOOKUP(Table1[[#This Row],[Province]],[1]Sheet1!$A$3:$F$37,6,FALSE)</f>
        <v>4246500</v>
      </c>
      <c r="K1992">
        <v>0</v>
      </c>
      <c r="L1992" s="4">
        <v>8.4095180000000003</v>
      </c>
      <c r="M1992" s="4">
        <v>115.18891600000001</v>
      </c>
      <c r="N1992" s="13">
        <v>6.31</v>
      </c>
      <c r="P1992"/>
      <c r="Q1992" s="12"/>
      <c r="R1992" s="12"/>
    </row>
    <row r="1993" spans="1:18" x14ac:dyDescent="0.2">
      <c r="A1993">
        <v>17</v>
      </c>
      <c r="B1993" t="s">
        <v>2</v>
      </c>
      <c r="C1993">
        <v>2018</v>
      </c>
      <c r="D1993">
        <v>12</v>
      </c>
      <c r="E1993" s="4">
        <v>0</v>
      </c>
      <c r="F1993" s="9">
        <v>7.6999999999999999E-2</v>
      </c>
      <c r="G1993" s="6">
        <v>2449</v>
      </c>
      <c r="H1993" s="9">
        <f t="shared" si="31"/>
        <v>7.6999999999999999E-2</v>
      </c>
      <c r="I1993" s="6">
        <v>11406</v>
      </c>
      <c r="J1993" s="6">
        <f>VLOOKUP(Table1[[#This Row],[Province]],[1]Sheet1!$A$3:$F$37,6,FALSE)</f>
        <v>4246500</v>
      </c>
      <c r="K1993">
        <v>1</v>
      </c>
      <c r="L1993" s="4">
        <v>8.4095180000000003</v>
      </c>
      <c r="M1993" s="4">
        <v>115.18891600000001</v>
      </c>
      <c r="N1993" s="13">
        <v>6.31</v>
      </c>
      <c r="P1993"/>
      <c r="Q1993" s="12"/>
      <c r="R1993" s="12"/>
    </row>
    <row r="1994" spans="1:18" x14ac:dyDescent="0.2">
      <c r="A1994">
        <v>17</v>
      </c>
      <c r="B1994" t="s">
        <v>2</v>
      </c>
      <c r="C1994">
        <v>2019</v>
      </c>
      <c r="D1994">
        <v>1</v>
      </c>
      <c r="E1994" s="4">
        <v>0</v>
      </c>
      <c r="F1994" s="9">
        <v>0</v>
      </c>
      <c r="G1994" s="6">
        <v>2838</v>
      </c>
      <c r="H1994" s="9">
        <f t="shared" si="31"/>
        <v>0</v>
      </c>
      <c r="I1994" s="6">
        <v>10658</v>
      </c>
      <c r="J1994" s="6">
        <f>VLOOKUP(Table1[[#This Row],[Province]],[1]Sheet1!$A$3:$F$37,6,FALSE)</f>
        <v>4246500</v>
      </c>
      <c r="K1994">
        <v>0</v>
      </c>
      <c r="L1994" s="4">
        <v>8.4095180000000003</v>
      </c>
      <c r="M1994" s="4">
        <v>115.18891600000001</v>
      </c>
      <c r="N1994" s="13">
        <v>5.6</v>
      </c>
      <c r="P1994"/>
      <c r="Q1994" s="12"/>
      <c r="R1994" s="12"/>
    </row>
    <row r="1995" spans="1:18" x14ac:dyDescent="0.2">
      <c r="A1995">
        <v>17</v>
      </c>
      <c r="B1995" t="s">
        <v>2</v>
      </c>
      <c r="C1995">
        <v>2019</v>
      </c>
      <c r="D1995">
        <v>2</v>
      </c>
      <c r="E1995" s="4">
        <v>0</v>
      </c>
      <c r="F1995" s="9">
        <v>4.8000000000000001E-2</v>
      </c>
      <c r="G1995" s="6">
        <v>2311</v>
      </c>
      <c r="H1995" s="9">
        <f t="shared" si="31"/>
        <v>4.8000000000000001E-2</v>
      </c>
      <c r="I1995" s="6">
        <v>10839</v>
      </c>
      <c r="J1995" s="6">
        <f>VLOOKUP(Table1[[#This Row],[Province]],[1]Sheet1!$A$3:$F$37,6,FALSE)</f>
        <v>4246500</v>
      </c>
      <c r="K1995">
        <v>0</v>
      </c>
      <c r="L1995" s="4">
        <v>8.4095180000000003</v>
      </c>
      <c r="M1995" s="4">
        <v>115.18891600000001</v>
      </c>
      <c r="N1995" s="13">
        <v>5.6</v>
      </c>
      <c r="P1995"/>
      <c r="Q1995" s="12"/>
      <c r="R1995" s="12"/>
    </row>
    <row r="1996" spans="1:18" x14ac:dyDescent="0.2">
      <c r="A1996">
        <v>17</v>
      </c>
      <c r="B1996" t="s">
        <v>2</v>
      </c>
      <c r="C1996">
        <v>2019</v>
      </c>
      <c r="D1996">
        <v>4</v>
      </c>
      <c r="E1996" s="4">
        <v>0</v>
      </c>
      <c r="F1996" s="9">
        <v>5.0000000000000001E-3</v>
      </c>
      <c r="G1996" s="6">
        <v>3011</v>
      </c>
      <c r="H1996" s="9">
        <f t="shared" si="31"/>
        <v>5.0000000000000001E-3</v>
      </c>
      <c r="I1996" s="6">
        <v>11152</v>
      </c>
      <c r="J1996" s="6">
        <f>VLOOKUP(Table1[[#This Row],[Province]],[1]Sheet1!$A$3:$F$37,6,FALSE)</f>
        <v>4246500</v>
      </c>
      <c r="K1996">
        <v>0</v>
      </c>
      <c r="L1996" s="4">
        <v>8.4095180000000003</v>
      </c>
      <c r="M1996" s="4">
        <v>115.18891600000001</v>
      </c>
      <c r="N1996" s="13">
        <v>5.6</v>
      </c>
      <c r="P1996"/>
      <c r="Q1996" s="12"/>
      <c r="R1996" s="12"/>
    </row>
    <row r="1997" spans="1:18" x14ac:dyDescent="0.2">
      <c r="A1997">
        <v>17</v>
      </c>
      <c r="B1997" t="s">
        <v>2</v>
      </c>
      <c r="C1997">
        <v>2019</v>
      </c>
      <c r="D1997">
        <v>5</v>
      </c>
      <c r="E1997" s="4">
        <v>2797</v>
      </c>
      <c r="F1997" s="9">
        <v>0</v>
      </c>
      <c r="G1997" s="6">
        <v>3593</v>
      </c>
      <c r="H1997" s="9">
        <f t="shared" si="31"/>
        <v>2797</v>
      </c>
      <c r="I1997" s="6">
        <v>14887</v>
      </c>
      <c r="J1997" s="6">
        <f>VLOOKUP(Table1[[#This Row],[Province]],[1]Sheet1!$A$3:$F$37,6,FALSE)</f>
        <v>4246500</v>
      </c>
      <c r="K1997">
        <v>1</v>
      </c>
      <c r="L1997" s="4">
        <v>8.4095180000000003</v>
      </c>
      <c r="M1997" s="4">
        <v>115.18891600000001</v>
      </c>
      <c r="N1997" s="13">
        <v>5.6</v>
      </c>
      <c r="P1997"/>
      <c r="Q1997" s="12"/>
      <c r="R1997" s="12"/>
    </row>
    <row r="1998" spans="1:18" x14ac:dyDescent="0.2">
      <c r="A1998">
        <v>17</v>
      </c>
      <c r="B1998" t="s">
        <v>2</v>
      </c>
      <c r="C1998">
        <v>2019</v>
      </c>
      <c r="D1998">
        <v>5</v>
      </c>
      <c r="E1998" s="4">
        <v>0</v>
      </c>
      <c r="F1998" s="9">
        <v>0</v>
      </c>
      <c r="G1998" s="6">
        <v>2221</v>
      </c>
      <c r="H1998" s="9">
        <f t="shared" si="31"/>
        <v>0</v>
      </c>
      <c r="I1998" s="6">
        <v>11849</v>
      </c>
      <c r="J1998" s="6">
        <f>VLOOKUP(Table1[[#This Row],[Province]],[1]Sheet1!$A$3:$F$37,6,FALSE)</f>
        <v>4246500</v>
      </c>
      <c r="K1998">
        <v>1</v>
      </c>
      <c r="L1998" s="4">
        <v>8.4095180000000003</v>
      </c>
      <c r="M1998" s="4">
        <v>115.18891600000001</v>
      </c>
      <c r="N1998" s="13">
        <v>5.6</v>
      </c>
      <c r="P1998"/>
      <c r="Q1998" s="12"/>
      <c r="R1998" s="12"/>
    </row>
    <row r="1999" spans="1:18" x14ac:dyDescent="0.2">
      <c r="A1999">
        <v>17</v>
      </c>
      <c r="B1999" t="s">
        <v>2</v>
      </c>
      <c r="C1999">
        <v>2019</v>
      </c>
      <c r="D1999">
        <v>6</v>
      </c>
      <c r="E1999" s="4">
        <v>0</v>
      </c>
      <c r="F1999" s="9">
        <v>2E-3</v>
      </c>
      <c r="G1999" s="6">
        <v>2670</v>
      </c>
      <c r="H1999" s="9">
        <f t="shared" si="31"/>
        <v>2E-3</v>
      </c>
      <c r="I1999" s="6">
        <v>11591</v>
      </c>
      <c r="J1999" s="6">
        <f>VLOOKUP(Table1[[#This Row],[Province]],[1]Sheet1!$A$3:$F$37,6,FALSE)</f>
        <v>4246500</v>
      </c>
      <c r="K1999">
        <v>0</v>
      </c>
      <c r="L1999" s="4">
        <v>8.4095180000000003</v>
      </c>
      <c r="M1999" s="4">
        <v>115.18891600000001</v>
      </c>
      <c r="N1999" s="13">
        <v>5.6</v>
      </c>
      <c r="P1999"/>
      <c r="Q1999" s="12"/>
      <c r="R1999" s="12"/>
    </row>
    <row r="2000" spans="1:18" x14ac:dyDescent="0.2">
      <c r="A2000">
        <v>17</v>
      </c>
      <c r="B2000" t="s">
        <v>2</v>
      </c>
      <c r="C2000">
        <v>2019</v>
      </c>
      <c r="D2000">
        <v>7</v>
      </c>
      <c r="E2000" s="4">
        <v>0</v>
      </c>
      <c r="F2000" s="9">
        <v>0.20300000000000001</v>
      </c>
      <c r="G2000" s="6">
        <v>2070</v>
      </c>
      <c r="H2000" s="9">
        <f t="shared" si="31"/>
        <v>0.20300000000000001</v>
      </c>
      <c r="I2000" s="6">
        <v>12272</v>
      </c>
      <c r="J2000" s="6">
        <f>VLOOKUP(Table1[[#This Row],[Province]],[1]Sheet1!$A$3:$F$37,6,FALSE)</f>
        <v>4246500</v>
      </c>
      <c r="K2000">
        <v>0</v>
      </c>
      <c r="L2000" s="4">
        <v>8.4095180000000003</v>
      </c>
      <c r="M2000" s="4">
        <v>115.18891600000001</v>
      </c>
      <c r="N2000" s="13">
        <v>5.6</v>
      </c>
      <c r="P2000"/>
      <c r="Q2000" s="12"/>
      <c r="R2000" s="12"/>
    </row>
    <row r="2001" spans="1:18" x14ac:dyDescent="0.2">
      <c r="A2001">
        <v>17</v>
      </c>
      <c r="B2001" t="s">
        <v>2</v>
      </c>
      <c r="C2001">
        <v>2019</v>
      </c>
      <c r="D2001">
        <v>8</v>
      </c>
      <c r="E2001" s="4">
        <v>0</v>
      </c>
      <c r="F2001" s="9">
        <v>0.82799999999999996</v>
      </c>
      <c r="G2001" s="6">
        <v>394</v>
      </c>
      <c r="H2001" s="9">
        <f t="shared" si="31"/>
        <v>0.82799999999999996</v>
      </c>
      <c r="I2001" s="6">
        <v>12529</v>
      </c>
      <c r="J2001" s="6">
        <f>VLOOKUP(Table1[[#This Row],[Province]],[1]Sheet1!$A$3:$F$37,6,FALSE)</f>
        <v>4246500</v>
      </c>
      <c r="K2001">
        <v>0</v>
      </c>
      <c r="L2001" s="4">
        <v>8.4095180000000003</v>
      </c>
      <c r="M2001" s="4">
        <v>115.18891600000001</v>
      </c>
      <c r="N2001" s="13">
        <v>5.6</v>
      </c>
      <c r="P2001"/>
      <c r="Q2001" s="12"/>
      <c r="R2001" s="12"/>
    </row>
    <row r="2002" spans="1:18" x14ac:dyDescent="0.2">
      <c r="A2002">
        <v>17</v>
      </c>
      <c r="B2002" t="s">
        <v>2</v>
      </c>
      <c r="C2002">
        <v>2019</v>
      </c>
      <c r="D2002">
        <v>9</v>
      </c>
      <c r="E2002" s="4">
        <v>0</v>
      </c>
      <c r="F2002" s="9">
        <v>7.0000000000000007E-2</v>
      </c>
      <c r="G2002" s="6">
        <v>2510</v>
      </c>
      <c r="H2002" s="9">
        <f t="shared" si="31"/>
        <v>7.0000000000000007E-2</v>
      </c>
      <c r="I2002" s="6">
        <v>12404</v>
      </c>
      <c r="J2002" s="6">
        <f>VLOOKUP(Table1[[#This Row],[Province]],[1]Sheet1!$A$3:$F$37,6,FALSE)</f>
        <v>4246500</v>
      </c>
      <c r="K2002">
        <v>0</v>
      </c>
      <c r="L2002" s="4">
        <v>8.4095180000000003</v>
      </c>
      <c r="M2002" s="4">
        <v>115.18891600000001</v>
      </c>
      <c r="N2002" s="13">
        <v>5.6</v>
      </c>
      <c r="P2002"/>
      <c r="Q2002" s="12"/>
      <c r="R2002" s="12"/>
    </row>
    <row r="2003" spans="1:18" x14ac:dyDescent="0.2">
      <c r="A2003">
        <v>17</v>
      </c>
      <c r="B2003" t="s">
        <v>2</v>
      </c>
      <c r="C2003">
        <v>2019</v>
      </c>
      <c r="D2003">
        <v>10</v>
      </c>
      <c r="E2003" s="4">
        <v>0</v>
      </c>
      <c r="F2003" s="9">
        <v>0</v>
      </c>
      <c r="G2003" s="6">
        <v>3515</v>
      </c>
      <c r="H2003" s="9">
        <f t="shared" si="31"/>
        <v>0</v>
      </c>
      <c r="I2003" s="6">
        <v>12375</v>
      </c>
      <c r="J2003" s="6">
        <f>VLOOKUP(Table1[[#This Row],[Province]],[1]Sheet1!$A$3:$F$37,6,FALSE)</f>
        <v>4246500</v>
      </c>
      <c r="K2003">
        <v>0</v>
      </c>
      <c r="L2003" s="4">
        <v>8.4095180000000003</v>
      </c>
      <c r="M2003" s="4">
        <v>115.18891600000001</v>
      </c>
      <c r="N2003" s="13">
        <v>5.6</v>
      </c>
      <c r="P2003"/>
      <c r="Q2003" s="12"/>
      <c r="R2003" s="12"/>
    </row>
    <row r="2004" spans="1:18" x14ac:dyDescent="0.2">
      <c r="A2004">
        <v>17</v>
      </c>
      <c r="B2004" t="s">
        <v>2</v>
      </c>
      <c r="C2004">
        <v>2019</v>
      </c>
      <c r="D2004">
        <v>11</v>
      </c>
      <c r="E2004" s="4">
        <v>0</v>
      </c>
      <c r="F2004" s="9">
        <v>3.9E-2</v>
      </c>
      <c r="G2004" s="6">
        <v>5140</v>
      </c>
      <c r="H2004" s="9">
        <f t="shared" si="31"/>
        <v>3.9E-2</v>
      </c>
      <c r="I2004" s="6">
        <v>12500</v>
      </c>
      <c r="J2004" s="6">
        <f>VLOOKUP(Table1[[#This Row],[Province]],[1]Sheet1!$A$3:$F$37,6,FALSE)</f>
        <v>4246500</v>
      </c>
      <c r="K2004">
        <v>0</v>
      </c>
      <c r="L2004" s="4">
        <v>8.4095180000000003</v>
      </c>
      <c r="M2004" s="4">
        <v>115.18891600000001</v>
      </c>
      <c r="N2004" s="13">
        <v>5.6</v>
      </c>
      <c r="P2004"/>
      <c r="Q2004" s="12"/>
      <c r="R2004" s="12"/>
    </row>
    <row r="2005" spans="1:18" x14ac:dyDescent="0.2">
      <c r="A2005">
        <v>17</v>
      </c>
      <c r="B2005" t="s">
        <v>2</v>
      </c>
      <c r="C2005">
        <v>2019</v>
      </c>
      <c r="D2005">
        <v>12</v>
      </c>
      <c r="E2005" s="4">
        <v>0</v>
      </c>
      <c r="F2005" s="9">
        <v>4.0000000000000001E-3</v>
      </c>
      <c r="G2005" s="6">
        <v>3129</v>
      </c>
      <c r="H2005" s="9">
        <f t="shared" si="31"/>
        <v>4.0000000000000001E-3</v>
      </c>
      <c r="I2005" s="6">
        <v>12748</v>
      </c>
      <c r="J2005" s="6">
        <f>VLOOKUP(Table1[[#This Row],[Province]],[1]Sheet1!$A$3:$F$37,6,FALSE)</f>
        <v>4246500</v>
      </c>
      <c r="K2005">
        <v>1</v>
      </c>
      <c r="L2005" s="4">
        <v>8.4095180000000003</v>
      </c>
      <c r="M2005" s="4">
        <v>115.18891600000001</v>
      </c>
      <c r="N2005" s="13">
        <v>5.6</v>
      </c>
      <c r="P2005"/>
      <c r="Q2005" s="12"/>
      <c r="R2005" s="12"/>
    </row>
    <row r="2006" spans="1:18" x14ac:dyDescent="0.2">
      <c r="A2006">
        <v>17</v>
      </c>
      <c r="B2006" t="s">
        <v>2</v>
      </c>
      <c r="C2006">
        <v>2020</v>
      </c>
      <c r="D2006">
        <v>1</v>
      </c>
      <c r="E2006" s="4">
        <v>0</v>
      </c>
      <c r="F2006" s="9">
        <v>1E-3</v>
      </c>
      <c r="G2006" s="6">
        <v>3089</v>
      </c>
      <c r="H2006" s="9">
        <f t="shared" si="31"/>
        <v>1E-3</v>
      </c>
      <c r="I2006" s="6">
        <v>13592</v>
      </c>
      <c r="J2006" s="6">
        <f>VLOOKUP(Table1[[#This Row],[Province]],[1]Sheet1!$A$3:$F$37,6,FALSE)</f>
        <v>4246500</v>
      </c>
      <c r="K2006">
        <v>0</v>
      </c>
      <c r="L2006" s="4">
        <v>8.4095180000000003</v>
      </c>
      <c r="M2006" s="4">
        <v>115.18891600000001</v>
      </c>
      <c r="N2006" s="13">
        <v>-9.34</v>
      </c>
      <c r="P2006"/>
      <c r="Q2006" s="12"/>
      <c r="R2006" s="12"/>
    </row>
    <row r="2007" spans="1:18" x14ac:dyDescent="0.2">
      <c r="A2007">
        <v>17</v>
      </c>
      <c r="B2007" t="s">
        <v>2</v>
      </c>
      <c r="C2007">
        <v>2020</v>
      </c>
      <c r="D2007">
        <v>2</v>
      </c>
      <c r="E2007" s="4">
        <v>0</v>
      </c>
      <c r="F2007" s="9">
        <v>0</v>
      </c>
      <c r="G2007" s="6">
        <v>2352</v>
      </c>
      <c r="H2007" s="9">
        <f t="shared" si="31"/>
        <v>0</v>
      </c>
      <c r="I2007" s="6">
        <v>13732</v>
      </c>
      <c r="J2007" s="6">
        <f>VLOOKUP(Table1[[#This Row],[Province]],[1]Sheet1!$A$3:$F$37,6,FALSE)</f>
        <v>4246500</v>
      </c>
      <c r="K2007">
        <v>0</v>
      </c>
      <c r="L2007" s="4">
        <v>8.4095180000000003</v>
      </c>
      <c r="M2007" s="4">
        <v>115.18891600000001</v>
      </c>
      <c r="N2007" s="13">
        <v>-9.34</v>
      </c>
      <c r="P2007"/>
      <c r="Q2007" s="12"/>
      <c r="R2007" s="12"/>
    </row>
    <row r="2008" spans="1:18" x14ac:dyDescent="0.2">
      <c r="A2008">
        <v>17</v>
      </c>
      <c r="B2008" t="s">
        <v>2</v>
      </c>
      <c r="C2008">
        <v>2020</v>
      </c>
      <c r="D2008">
        <v>3</v>
      </c>
      <c r="E2008" s="4">
        <v>0</v>
      </c>
      <c r="F2008" s="9">
        <v>0</v>
      </c>
      <c r="G2008" s="6">
        <v>3715</v>
      </c>
      <c r="H2008" s="9">
        <f t="shared" si="31"/>
        <v>0</v>
      </c>
      <c r="I2008" s="6">
        <v>16500</v>
      </c>
      <c r="J2008" s="6">
        <f>VLOOKUP(Table1[[#This Row],[Province]],[1]Sheet1!$A$3:$F$37,6,FALSE)</f>
        <v>4246500</v>
      </c>
      <c r="K2008">
        <v>0</v>
      </c>
      <c r="L2008" s="4">
        <v>8.4095180000000003</v>
      </c>
      <c r="M2008" s="4">
        <v>115.18891600000001</v>
      </c>
      <c r="N2008" s="13">
        <v>-9.34</v>
      </c>
      <c r="P2008"/>
      <c r="Q2008" s="12"/>
      <c r="R2008" s="12"/>
    </row>
    <row r="2009" spans="1:18" x14ac:dyDescent="0.2">
      <c r="A2009">
        <v>17</v>
      </c>
      <c r="B2009" t="s">
        <v>2</v>
      </c>
      <c r="C2009">
        <v>2020</v>
      </c>
      <c r="D2009">
        <v>4</v>
      </c>
      <c r="E2009" s="4">
        <v>0</v>
      </c>
      <c r="F2009" s="9">
        <v>0</v>
      </c>
      <c r="G2009" s="6">
        <v>2103</v>
      </c>
      <c r="H2009" s="9">
        <f t="shared" si="31"/>
        <v>0</v>
      </c>
      <c r="I2009" s="6">
        <v>19028</v>
      </c>
      <c r="J2009" s="6">
        <f>VLOOKUP(Table1[[#This Row],[Province]],[1]Sheet1!$A$3:$F$37,6,FALSE)</f>
        <v>4246500</v>
      </c>
      <c r="K2009">
        <v>1</v>
      </c>
      <c r="L2009" s="4">
        <v>8.4095180000000003</v>
      </c>
      <c r="M2009" s="4">
        <v>115.18891600000001</v>
      </c>
      <c r="N2009" s="13">
        <v>-9.34</v>
      </c>
      <c r="P2009"/>
      <c r="Q2009" s="12"/>
      <c r="R2009" s="12"/>
    </row>
    <row r="2010" spans="1:18" x14ac:dyDescent="0.2">
      <c r="A2010">
        <v>17</v>
      </c>
      <c r="B2010" t="s">
        <v>2</v>
      </c>
      <c r="C2010">
        <v>2020</v>
      </c>
      <c r="D2010">
        <v>5</v>
      </c>
      <c r="E2010" s="4">
        <v>0</v>
      </c>
      <c r="F2010" s="9">
        <v>0</v>
      </c>
      <c r="G2010" s="6">
        <v>2570</v>
      </c>
      <c r="H2010" s="9">
        <f t="shared" si="31"/>
        <v>0</v>
      </c>
      <c r="I2010" s="6">
        <v>15190</v>
      </c>
      <c r="J2010" s="6">
        <f>VLOOKUP(Table1[[#This Row],[Province]],[1]Sheet1!$A$3:$F$37,6,FALSE)</f>
        <v>4246500</v>
      </c>
      <c r="K2010">
        <v>0</v>
      </c>
      <c r="L2010" s="4">
        <v>8.4095180000000003</v>
      </c>
      <c r="M2010" s="4">
        <v>115.18891600000001</v>
      </c>
      <c r="N2010" s="13">
        <v>-9.34</v>
      </c>
      <c r="P2010"/>
      <c r="Q2010" s="12"/>
      <c r="R2010" s="12"/>
    </row>
    <row r="2011" spans="1:18" x14ac:dyDescent="0.2">
      <c r="A2011">
        <v>17</v>
      </c>
      <c r="B2011" t="s">
        <v>2</v>
      </c>
      <c r="C2011">
        <v>2020</v>
      </c>
      <c r="D2011">
        <v>6</v>
      </c>
      <c r="E2011" s="4">
        <v>0</v>
      </c>
      <c r="F2011" s="9">
        <v>0</v>
      </c>
      <c r="G2011" s="6">
        <v>4199</v>
      </c>
      <c r="H2011" s="9">
        <f t="shared" si="31"/>
        <v>0</v>
      </c>
      <c r="I2011" s="6">
        <v>13572</v>
      </c>
      <c r="J2011" s="6">
        <f>VLOOKUP(Table1[[#This Row],[Province]],[1]Sheet1!$A$3:$F$37,6,FALSE)</f>
        <v>4246500</v>
      </c>
      <c r="K2011">
        <v>0</v>
      </c>
      <c r="L2011" s="4">
        <v>8.4095180000000003</v>
      </c>
      <c r="M2011" s="4">
        <v>115.18891600000001</v>
      </c>
      <c r="N2011" s="13">
        <v>-9.34</v>
      </c>
      <c r="P2011"/>
      <c r="Q2011" s="12"/>
      <c r="R2011" s="12"/>
    </row>
    <row r="2012" spans="1:18" x14ac:dyDescent="0.2">
      <c r="A2012">
        <v>17</v>
      </c>
      <c r="B2012" t="s">
        <v>2</v>
      </c>
      <c r="C2012">
        <v>2020</v>
      </c>
      <c r="D2012">
        <v>7</v>
      </c>
      <c r="E2012" s="4">
        <v>0</v>
      </c>
      <c r="F2012" s="9">
        <v>0</v>
      </c>
      <c r="G2012" s="6">
        <v>2348</v>
      </c>
      <c r="H2012" s="9">
        <f t="shared" si="31"/>
        <v>0</v>
      </c>
      <c r="I2012" s="6">
        <v>12517</v>
      </c>
      <c r="J2012" s="6">
        <f>VLOOKUP(Table1[[#This Row],[Province]],[1]Sheet1!$A$3:$F$37,6,FALSE)</f>
        <v>4246500</v>
      </c>
      <c r="K2012">
        <v>0</v>
      </c>
      <c r="L2012" s="4">
        <v>8.4095180000000003</v>
      </c>
      <c r="M2012" s="4">
        <v>115.18891600000001</v>
      </c>
      <c r="N2012" s="13">
        <v>-9.34</v>
      </c>
      <c r="P2012"/>
      <c r="Q2012" s="12"/>
      <c r="R2012" s="12"/>
    </row>
    <row r="2013" spans="1:18" x14ac:dyDescent="0.2">
      <c r="A2013">
        <v>17</v>
      </c>
      <c r="B2013" t="s">
        <v>2</v>
      </c>
      <c r="C2013">
        <v>2020</v>
      </c>
      <c r="D2013">
        <v>8</v>
      </c>
      <c r="E2013" s="4">
        <v>0</v>
      </c>
      <c r="F2013" s="9">
        <v>0</v>
      </c>
      <c r="G2013" s="6">
        <v>2939</v>
      </c>
      <c r="H2013" s="9">
        <f t="shared" si="31"/>
        <v>0</v>
      </c>
      <c r="I2013" s="6">
        <v>12083</v>
      </c>
      <c r="J2013" s="6">
        <f>VLOOKUP(Table1[[#This Row],[Province]],[1]Sheet1!$A$3:$F$37,6,FALSE)</f>
        <v>4246500</v>
      </c>
      <c r="K2013">
        <v>0</v>
      </c>
      <c r="L2013" s="4">
        <v>8.4095180000000003</v>
      </c>
      <c r="M2013" s="4">
        <v>115.18891600000001</v>
      </c>
      <c r="N2013" s="13">
        <v>-9.34</v>
      </c>
      <c r="P2013"/>
      <c r="Q2013" s="12"/>
      <c r="R2013" s="12"/>
    </row>
    <row r="2014" spans="1:18" x14ac:dyDescent="0.2">
      <c r="A2014">
        <v>17</v>
      </c>
      <c r="B2014" t="s">
        <v>2</v>
      </c>
      <c r="C2014">
        <v>2020</v>
      </c>
      <c r="D2014">
        <v>9</v>
      </c>
      <c r="E2014" s="4">
        <v>0</v>
      </c>
      <c r="F2014" s="9">
        <v>0</v>
      </c>
      <c r="G2014" s="6">
        <v>3861</v>
      </c>
      <c r="H2014" s="9">
        <f t="shared" si="31"/>
        <v>0</v>
      </c>
      <c r="I2014" s="6">
        <v>12000</v>
      </c>
      <c r="J2014" s="6">
        <f>VLOOKUP(Table1[[#This Row],[Province]],[1]Sheet1!$A$3:$K$37,7,FALSE)</f>
        <v>4292200</v>
      </c>
      <c r="K2014">
        <v>0</v>
      </c>
      <c r="L2014" s="4">
        <v>8.4095180000000003</v>
      </c>
      <c r="M2014" s="4">
        <v>115.18891600000001</v>
      </c>
      <c r="N2014" s="13">
        <v>-9.34</v>
      </c>
      <c r="P2014"/>
      <c r="Q2014" s="12"/>
      <c r="R2014" s="12"/>
    </row>
    <row r="2015" spans="1:18" x14ac:dyDescent="0.2">
      <c r="A2015">
        <v>17</v>
      </c>
      <c r="B2015" t="s">
        <v>2</v>
      </c>
      <c r="C2015">
        <v>2020</v>
      </c>
      <c r="D2015">
        <v>10</v>
      </c>
      <c r="E2015" s="4">
        <v>0</v>
      </c>
      <c r="F2015" s="9">
        <v>0</v>
      </c>
      <c r="G2015" s="6">
        <v>2524</v>
      </c>
      <c r="H2015" s="9">
        <f t="shared" si="31"/>
        <v>0</v>
      </c>
      <c r="I2015" s="6">
        <v>12154</v>
      </c>
      <c r="J2015" s="6">
        <f>VLOOKUP(Table1[[#This Row],[Province]],[1]Sheet1!$A$3:$K$37,7,FALSE)</f>
        <v>4292200</v>
      </c>
      <c r="K2015">
        <v>0</v>
      </c>
      <c r="L2015" s="4">
        <v>8.4095180000000003</v>
      </c>
      <c r="M2015" s="4">
        <v>115.18891600000001</v>
      </c>
      <c r="N2015" s="13">
        <v>-9.34</v>
      </c>
      <c r="P2015"/>
      <c r="Q2015" s="12"/>
      <c r="R2015" s="12"/>
    </row>
    <row r="2016" spans="1:18" x14ac:dyDescent="0.2">
      <c r="A2016">
        <v>17</v>
      </c>
      <c r="B2016" t="s">
        <v>2</v>
      </c>
      <c r="C2016">
        <v>2020</v>
      </c>
      <c r="D2016">
        <v>11</v>
      </c>
      <c r="E2016" s="4">
        <v>0</v>
      </c>
      <c r="F2016" s="9">
        <v>0</v>
      </c>
      <c r="G2016" s="6">
        <v>6401</v>
      </c>
      <c r="H2016" s="9">
        <f t="shared" si="31"/>
        <v>0</v>
      </c>
      <c r="I2016" s="6">
        <v>12500</v>
      </c>
      <c r="J2016" s="6">
        <f>VLOOKUP(Table1[[#This Row],[Province]],[1]Sheet1!$A$3:$K$37,7,FALSE)</f>
        <v>4292200</v>
      </c>
      <c r="K2016">
        <v>0</v>
      </c>
      <c r="L2016" s="4">
        <v>8.4095180000000003</v>
      </c>
      <c r="M2016" s="4">
        <v>115.18891600000001</v>
      </c>
      <c r="N2016" s="13">
        <v>-9.34</v>
      </c>
      <c r="P2016"/>
      <c r="Q2016" s="12"/>
      <c r="R2016" s="12"/>
    </row>
    <row r="2017" spans="1:18" x14ac:dyDescent="0.2">
      <c r="A2017">
        <v>17</v>
      </c>
      <c r="B2017" t="s">
        <v>2</v>
      </c>
      <c r="C2017">
        <v>2020</v>
      </c>
      <c r="D2017">
        <v>12</v>
      </c>
      <c r="E2017" s="4">
        <v>0</v>
      </c>
      <c r="F2017" s="9">
        <v>0</v>
      </c>
      <c r="G2017" s="6">
        <v>2460</v>
      </c>
      <c r="H2017" s="9">
        <f t="shared" si="31"/>
        <v>0</v>
      </c>
      <c r="I2017" s="6">
        <v>12500</v>
      </c>
      <c r="J2017" s="6">
        <f>VLOOKUP(Table1[[#This Row],[Province]],[1]Sheet1!$A$3:$K$37,7,FALSE)</f>
        <v>4292200</v>
      </c>
      <c r="K2017">
        <v>1</v>
      </c>
      <c r="L2017" s="4">
        <v>8.4095180000000003</v>
      </c>
      <c r="M2017" s="4">
        <v>115.18891600000001</v>
      </c>
      <c r="N2017" s="13">
        <v>-9.34</v>
      </c>
      <c r="P2017"/>
      <c r="Q2017" s="12"/>
      <c r="R2017" s="12"/>
    </row>
    <row r="2018" spans="1:18" x14ac:dyDescent="0.2">
      <c r="A2018">
        <v>17</v>
      </c>
      <c r="B2018" t="s">
        <v>2</v>
      </c>
      <c r="C2018">
        <v>2021</v>
      </c>
      <c r="D2018">
        <v>1</v>
      </c>
      <c r="E2018" s="4">
        <v>0</v>
      </c>
      <c r="F2018" s="9">
        <v>0</v>
      </c>
      <c r="G2018" s="6">
        <v>5308</v>
      </c>
      <c r="H2018" s="9">
        <f t="shared" si="31"/>
        <v>0</v>
      </c>
      <c r="I2018" s="6">
        <v>12500</v>
      </c>
      <c r="J2018" s="6">
        <f>VLOOKUP(Table1[[#This Row],[Province]],[1]Sheet1!$A$3:$K$37,7,FALSE)</f>
        <v>4292200</v>
      </c>
      <c r="K2018">
        <v>0</v>
      </c>
      <c r="L2018" s="4">
        <v>8.4095180000000003</v>
      </c>
      <c r="M2018" s="4">
        <v>115.18891600000001</v>
      </c>
      <c r="N2018" s="13">
        <v>-2.46</v>
      </c>
      <c r="P2018"/>
      <c r="Q2018" s="12"/>
      <c r="R2018" s="12"/>
    </row>
    <row r="2019" spans="1:18" x14ac:dyDescent="0.2">
      <c r="A2019">
        <v>17</v>
      </c>
      <c r="B2019" t="s">
        <v>2</v>
      </c>
      <c r="C2019">
        <v>2021</v>
      </c>
      <c r="D2019">
        <v>2</v>
      </c>
      <c r="E2019" s="4">
        <v>0</v>
      </c>
      <c r="F2019" s="9">
        <v>0</v>
      </c>
      <c r="G2019" s="6">
        <v>2538</v>
      </c>
      <c r="H2019" s="9">
        <f t="shared" si="31"/>
        <v>0</v>
      </c>
      <c r="I2019" s="6">
        <v>12500</v>
      </c>
      <c r="J2019" s="6">
        <f>VLOOKUP(Table1[[#This Row],[Province]],[1]Sheet1!$A$3:$K$37,7,FALSE)</f>
        <v>4292200</v>
      </c>
      <c r="K2019">
        <v>0</v>
      </c>
      <c r="L2019" s="4">
        <v>8.4095180000000003</v>
      </c>
      <c r="M2019" s="4">
        <v>115.18891600000001</v>
      </c>
      <c r="N2019" s="13">
        <v>-2.46</v>
      </c>
      <c r="P2019"/>
      <c r="Q2019" s="12"/>
      <c r="R2019" s="12"/>
    </row>
    <row r="2020" spans="1:18" x14ac:dyDescent="0.2">
      <c r="A2020">
        <v>17</v>
      </c>
      <c r="B2020" t="s">
        <v>2</v>
      </c>
      <c r="C2020">
        <v>2021</v>
      </c>
      <c r="D2020">
        <v>3</v>
      </c>
      <c r="E2020" s="4">
        <v>0</v>
      </c>
      <c r="F2020" s="9">
        <v>0</v>
      </c>
      <c r="G2020" s="6">
        <v>4808</v>
      </c>
      <c r="H2020" s="9">
        <f t="shared" si="31"/>
        <v>0</v>
      </c>
      <c r="I2020" s="6">
        <v>12450</v>
      </c>
      <c r="J2020" s="6">
        <f>VLOOKUP(Table1[[#This Row],[Province]],[1]Sheet1!$A$3:$K$37,7,FALSE)</f>
        <v>4292200</v>
      </c>
      <c r="K2020">
        <v>0</v>
      </c>
      <c r="L2020" s="4">
        <v>8.4095180000000003</v>
      </c>
      <c r="M2020" s="4">
        <v>115.18891600000001</v>
      </c>
      <c r="N2020" s="13">
        <v>-2.46</v>
      </c>
      <c r="P2020"/>
      <c r="Q2020" s="12"/>
      <c r="R2020" s="12"/>
    </row>
    <row r="2021" spans="1:18" x14ac:dyDescent="0.2">
      <c r="A2021">
        <v>17</v>
      </c>
      <c r="B2021" t="s">
        <v>2</v>
      </c>
      <c r="C2021">
        <v>2021</v>
      </c>
      <c r="D2021">
        <v>4</v>
      </c>
      <c r="E2021" s="4">
        <v>0</v>
      </c>
      <c r="F2021" s="9">
        <v>0</v>
      </c>
      <c r="G2021" s="6">
        <v>3470</v>
      </c>
      <c r="H2021" s="9">
        <f t="shared" si="31"/>
        <v>0</v>
      </c>
      <c r="I2021" s="6">
        <v>13000</v>
      </c>
      <c r="J2021" s="6">
        <f>VLOOKUP(Table1[[#This Row],[Province]],[1]Sheet1!$A$3:$K$37,7,FALSE)</f>
        <v>4292200</v>
      </c>
      <c r="K2021">
        <v>1</v>
      </c>
      <c r="L2021" s="4">
        <v>8.4095180000000003</v>
      </c>
      <c r="M2021" s="4">
        <v>115.18891600000001</v>
      </c>
      <c r="N2021" s="13">
        <v>-2.46</v>
      </c>
      <c r="P2021"/>
      <c r="Q2021" s="12"/>
      <c r="R2021" s="12"/>
    </row>
    <row r="2022" spans="1:18" x14ac:dyDescent="0.2">
      <c r="A2022">
        <v>17</v>
      </c>
      <c r="B2022" t="s">
        <v>2</v>
      </c>
      <c r="C2022">
        <v>2021</v>
      </c>
      <c r="D2022">
        <v>5</v>
      </c>
      <c r="E2022" s="4">
        <v>0</v>
      </c>
      <c r="F2022" s="9">
        <v>0</v>
      </c>
      <c r="G2022" s="6">
        <v>2054</v>
      </c>
      <c r="H2022" s="9">
        <f t="shared" si="31"/>
        <v>0</v>
      </c>
      <c r="I2022" s="6">
        <v>13000</v>
      </c>
      <c r="J2022" s="6">
        <f>VLOOKUP(Table1[[#This Row],[Province]],[1]Sheet1!$A$3:$K$37,7,FALSE)</f>
        <v>4292200</v>
      </c>
      <c r="K2022">
        <v>0</v>
      </c>
      <c r="L2022" s="4">
        <v>8.4095180000000003</v>
      </c>
      <c r="M2022" s="4">
        <v>115.18891600000001</v>
      </c>
      <c r="N2022" s="13">
        <v>-2.46</v>
      </c>
      <c r="P2022"/>
      <c r="Q2022" s="12"/>
      <c r="R2022" s="12"/>
    </row>
    <row r="2023" spans="1:18" x14ac:dyDescent="0.2">
      <c r="A2023">
        <v>17</v>
      </c>
      <c r="B2023" t="s">
        <v>2</v>
      </c>
      <c r="C2023">
        <v>2021</v>
      </c>
      <c r="D2023">
        <v>6</v>
      </c>
      <c r="E2023" s="4">
        <v>0</v>
      </c>
      <c r="F2023" s="9">
        <v>0</v>
      </c>
      <c r="G2023" s="6">
        <v>1791</v>
      </c>
      <c r="H2023" s="9">
        <f t="shared" si="31"/>
        <v>0</v>
      </c>
      <c r="I2023" s="6">
        <v>12950</v>
      </c>
      <c r="J2023" s="6">
        <f>VLOOKUP(Table1[[#This Row],[Province]],[1]Sheet1!$A$3:$K$37,7,FALSE)</f>
        <v>4292200</v>
      </c>
      <c r="K2023">
        <v>0</v>
      </c>
      <c r="L2023" s="4">
        <v>8.4095180000000003</v>
      </c>
      <c r="M2023" s="4">
        <v>115.18891600000001</v>
      </c>
      <c r="N2023" s="13">
        <v>-2.46</v>
      </c>
      <c r="P2023"/>
      <c r="Q2023" s="12"/>
      <c r="R2023" s="12"/>
    </row>
    <row r="2024" spans="1:18" x14ac:dyDescent="0.2">
      <c r="A2024">
        <v>17</v>
      </c>
      <c r="B2024" t="s">
        <v>2</v>
      </c>
      <c r="C2024">
        <v>2021</v>
      </c>
      <c r="D2024">
        <v>7</v>
      </c>
      <c r="E2024" s="4">
        <v>0</v>
      </c>
      <c r="F2024" s="9">
        <v>0</v>
      </c>
      <c r="G2024" s="6">
        <v>1134</v>
      </c>
      <c r="H2024" s="9">
        <f t="shared" si="31"/>
        <v>0</v>
      </c>
      <c r="I2024" s="6">
        <v>12888</v>
      </c>
      <c r="J2024" s="6">
        <f>VLOOKUP(Table1[[#This Row],[Province]],[1]Sheet1!$A$3:$K$37,7,FALSE)</f>
        <v>4292200</v>
      </c>
      <c r="K2024">
        <v>0</v>
      </c>
      <c r="L2024" s="4">
        <v>8.4095180000000003</v>
      </c>
      <c r="M2024" s="4">
        <v>115.18891600000001</v>
      </c>
      <c r="N2024" s="13">
        <v>-2.46</v>
      </c>
      <c r="P2024"/>
      <c r="Q2024" s="12"/>
      <c r="R2024" s="12"/>
    </row>
    <row r="2025" spans="1:18" x14ac:dyDescent="0.2">
      <c r="A2025">
        <v>17</v>
      </c>
      <c r="B2025" t="s">
        <v>2</v>
      </c>
      <c r="C2025">
        <v>2021</v>
      </c>
      <c r="D2025">
        <v>8</v>
      </c>
      <c r="E2025" s="4">
        <v>0</v>
      </c>
      <c r="F2025" s="9">
        <v>0</v>
      </c>
      <c r="G2025" s="6">
        <v>352</v>
      </c>
      <c r="H2025" s="9">
        <f t="shared" si="31"/>
        <v>0</v>
      </c>
      <c r="I2025" s="6">
        <v>12920</v>
      </c>
      <c r="J2025" s="6">
        <f>VLOOKUP(Table1[[#This Row],[Province]],[1]Sheet1!$A$3:$K$37,7,FALSE)</f>
        <v>4292200</v>
      </c>
      <c r="K2025">
        <v>0</v>
      </c>
      <c r="L2025" s="4">
        <v>8.4095180000000003</v>
      </c>
      <c r="M2025" s="4">
        <v>115.18891600000001</v>
      </c>
      <c r="N2025" s="13">
        <v>-2.46</v>
      </c>
      <c r="P2025"/>
      <c r="Q2025" s="12"/>
      <c r="R2025" s="12"/>
    </row>
    <row r="2026" spans="1:18" x14ac:dyDescent="0.2">
      <c r="A2026">
        <v>17</v>
      </c>
      <c r="B2026" t="s">
        <v>2</v>
      </c>
      <c r="C2026">
        <v>2021</v>
      </c>
      <c r="D2026">
        <v>9</v>
      </c>
      <c r="E2026" s="4">
        <v>0</v>
      </c>
      <c r="F2026" s="9">
        <v>0</v>
      </c>
      <c r="G2026" s="6">
        <v>2367</v>
      </c>
      <c r="H2026" s="9">
        <f t="shared" si="31"/>
        <v>0</v>
      </c>
      <c r="I2026" s="6">
        <v>13000</v>
      </c>
      <c r="J2026" s="6">
        <f>VLOOKUP(Table1[[#This Row],[Province]],[1]Sheet1!$A$3:$K$37,7,FALSE)</f>
        <v>4292200</v>
      </c>
      <c r="K2026">
        <v>0</v>
      </c>
      <c r="L2026" s="4">
        <v>8.4095180000000003</v>
      </c>
      <c r="M2026" s="4">
        <v>115.18891600000001</v>
      </c>
      <c r="N2026" s="13">
        <v>-2.46</v>
      </c>
      <c r="P2026"/>
      <c r="Q2026" s="12"/>
      <c r="R2026" s="12"/>
    </row>
    <row r="2027" spans="1:18" x14ac:dyDescent="0.2">
      <c r="A2027">
        <v>17</v>
      </c>
      <c r="B2027" t="s">
        <v>2</v>
      </c>
      <c r="C2027">
        <v>2021</v>
      </c>
      <c r="D2027">
        <v>10</v>
      </c>
      <c r="E2027" s="4">
        <v>0</v>
      </c>
      <c r="F2027" s="9">
        <v>0</v>
      </c>
      <c r="G2027" s="6">
        <v>524</v>
      </c>
      <c r="H2027" s="9">
        <f t="shared" si="31"/>
        <v>0</v>
      </c>
      <c r="I2027" s="6">
        <v>13005</v>
      </c>
      <c r="J2027" s="6">
        <f>VLOOKUP(Table1[[#This Row],[Province]],[1]Sheet1!$A$3:$K$37,7,FALSE)</f>
        <v>4292200</v>
      </c>
      <c r="K2027">
        <v>0</v>
      </c>
      <c r="L2027" s="4">
        <v>8.4095180000000003</v>
      </c>
      <c r="M2027" s="4">
        <v>115.18891600000001</v>
      </c>
      <c r="N2027" s="13">
        <v>-2.46</v>
      </c>
      <c r="P2027"/>
      <c r="Q2027" s="12"/>
      <c r="R2027" s="12"/>
    </row>
    <row r="2028" spans="1:18" x14ac:dyDescent="0.2">
      <c r="A2028">
        <v>17</v>
      </c>
      <c r="B2028" t="s">
        <v>2</v>
      </c>
      <c r="C2028">
        <v>2021</v>
      </c>
      <c r="D2028">
        <v>11</v>
      </c>
      <c r="E2028" s="4">
        <v>0</v>
      </c>
      <c r="F2028" s="9">
        <v>0</v>
      </c>
      <c r="G2028" s="6">
        <v>1047</v>
      </c>
      <c r="H2028" s="9">
        <f t="shared" si="31"/>
        <v>0</v>
      </c>
      <c r="I2028" s="6">
        <v>12900</v>
      </c>
      <c r="J2028" s="6">
        <f>VLOOKUP(Table1[[#This Row],[Province]],[1]Sheet1!$A$3:$K$37,7,FALSE)</f>
        <v>4292200</v>
      </c>
      <c r="K2028">
        <v>0</v>
      </c>
      <c r="L2028" s="4">
        <v>8.4095180000000003</v>
      </c>
      <c r="M2028" s="4">
        <v>115.18891600000001</v>
      </c>
      <c r="N2028" s="13">
        <v>-2.46</v>
      </c>
      <c r="P2028"/>
      <c r="Q2028" s="12"/>
      <c r="R2028" s="12"/>
    </row>
    <row r="2029" spans="1:18" x14ac:dyDescent="0.2">
      <c r="A2029">
        <v>17</v>
      </c>
      <c r="B2029" t="s">
        <v>2</v>
      </c>
      <c r="C2029">
        <v>2021</v>
      </c>
      <c r="D2029">
        <v>12</v>
      </c>
      <c r="E2029" s="4">
        <v>0</v>
      </c>
      <c r="F2029" s="9">
        <v>0</v>
      </c>
      <c r="G2029" s="6">
        <v>3238</v>
      </c>
      <c r="H2029" s="9">
        <f t="shared" si="31"/>
        <v>0</v>
      </c>
      <c r="I2029" s="6">
        <v>12900</v>
      </c>
      <c r="J2029" s="6">
        <f>VLOOKUP(Table1[[#This Row],[Province]],[1]Sheet1!$A$3:$K$37,7,FALSE)</f>
        <v>4292200</v>
      </c>
      <c r="K2029">
        <v>1</v>
      </c>
      <c r="L2029" s="4">
        <v>8.4095180000000003</v>
      </c>
      <c r="M2029" s="4">
        <v>115.18891600000001</v>
      </c>
      <c r="N2029" s="13">
        <v>-2.46</v>
      </c>
      <c r="P2029"/>
      <c r="Q2029" s="12"/>
      <c r="R2029" s="12"/>
    </row>
    <row r="2030" spans="1:18" x14ac:dyDescent="0.2">
      <c r="A2030">
        <v>17</v>
      </c>
      <c r="B2030" t="s">
        <v>2</v>
      </c>
      <c r="C2030">
        <v>2022</v>
      </c>
      <c r="D2030">
        <v>1</v>
      </c>
      <c r="E2030" s="6">
        <v>0</v>
      </c>
      <c r="F2030" s="9">
        <v>0</v>
      </c>
      <c r="G2030" s="6">
        <v>1700</v>
      </c>
      <c r="H2030" s="9">
        <f t="shared" si="31"/>
        <v>0</v>
      </c>
      <c r="I2030" s="6">
        <v>13400</v>
      </c>
      <c r="J2030" s="6">
        <f>VLOOKUP(Table1[[#This Row],[Province]],[1]Sheet1!$A$3:$K$37,7,FALSE)</f>
        <v>4292200</v>
      </c>
      <c r="K2030">
        <v>0</v>
      </c>
      <c r="L2030" s="4">
        <v>8.4095180000000003</v>
      </c>
      <c r="M2030" s="4">
        <v>115.18891600000001</v>
      </c>
      <c r="N2030" s="13">
        <v>4.84</v>
      </c>
      <c r="P2030"/>
      <c r="Q2030" s="12"/>
      <c r="R2030" s="12"/>
    </row>
    <row r="2031" spans="1:18" x14ac:dyDescent="0.2">
      <c r="A2031">
        <v>17</v>
      </c>
      <c r="B2031" t="s">
        <v>2</v>
      </c>
      <c r="C2031">
        <v>2022</v>
      </c>
      <c r="D2031">
        <v>2</v>
      </c>
      <c r="E2031" s="6">
        <v>0</v>
      </c>
      <c r="F2031" s="9">
        <v>0</v>
      </c>
      <c r="G2031" s="6">
        <v>5648</v>
      </c>
      <c r="H2031" s="9">
        <f t="shared" si="31"/>
        <v>0</v>
      </c>
      <c r="I2031" s="6">
        <v>13650</v>
      </c>
      <c r="J2031" s="6">
        <f>VLOOKUP(Table1[[#This Row],[Province]],[1]Sheet1!$A$3:$K$37,7,FALSE)</f>
        <v>4292200</v>
      </c>
      <c r="K2031">
        <v>0</v>
      </c>
      <c r="L2031" s="4">
        <v>8.4095180000000003</v>
      </c>
      <c r="M2031" s="4">
        <v>115.18891600000001</v>
      </c>
      <c r="N2031" s="13">
        <v>4.84</v>
      </c>
      <c r="P2031"/>
      <c r="Q2031" s="12"/>
      <c r="R2031" s="12"/>
    </row>
    <row r="2032" spans="1:18" x14ac:dyDescent="0.2">
      <c r="A2032">
        <v>17</v>
      </c>
      <c r="B2032" t="s">
        <v>2</v>
      </c>
      <c r="C2032">
        <v>2022</v>
      </c>
      <c r="D2032">
        <v>3</v>
      </c>
      <c r="E2032" s="6">
        <v>0</v>
      </c>
      <c r="F2032" s="9">
        <v>0.01</v>
      </c>
      <c r="G2032" s="6">
        <v>3141</v>
      </c>
      <c r="H2032" s="9">
        <f t="shared" si="31"/>
        <v>0.01</v>
      </c>
      <c r="I2032" s="6">
        <v>13664</v>
      </c>
      <c r="J2032" s="6">
        <f>VLOOKUP(Table1[[#This Row],[Province]],[1]Sheet1!$A$3:$K$37,7,FALSE)</f>
        <v>4292200</v>
      </c>
      <c r="K2032">
        <v>0</v>
      </c>
      <c r="L2032" s="4">
        <v>8.4095180000000003</v>
      </c>
      <c r="M2032" s="4">
        <v>115.18891600000001</v>
      </c>
      <c r="N2032" s="13">
        <v>4.84</v>
      </c>
      <c r="P2032"/>
      <c r="Q2032" s="12"/>
      <c r="R2032" s="12"/>
    </row>
    <row r="2033" spans="1:18" x14ac:dyDescent="0.2">
      <c r="A2033">
        <v>17</v>
      </c>
      <c r="B2033" t="s">
        <v>2</v>
      </c>
      <c r="C2033">
        <v>2022</v>
      </c>
      <c r="D2033">
        <v>4</v>
      </c>
      <c r="E2033" s="6">
        <v>0</v>
      </c>
      <c r="F2033" s="9">
        <v>0.03</v>
      </c>
      <c r="G2033" s="6">
        <v>4347</v>
      </c>
      <c r="H2033" s="9">
        <f t="shared" si="31"/>
        <v>0.03</v>
      </c>
      <c r="I2033" s="6">
        <v>13776</v>
      </c>
      <c r="J2033" s="6">
        <f>VLOOKUP(Table1[[#This Row],[Province]],[1]Sheet1!$A$3:$K$37,7,FALSE)</f>
        <v>4292200</v>
      </c>
      <c r="K2033">
        <v>1</v>
      </c>
      <c r="L2033" s="4">
        <v>8.4095180000000003</v>
      </c>
      <c r="M2033" s="4">
        <v>115.18891600000001</v>
      </c>
      <c r="N2033" s="13">
        <v>4.84</v>
      </c>
      <c r="P2033"/>
      <c r="Q2033" s="12"/>
      <c r="R2033" s="12"/>
    </row>
    <row r="2034" spans="1:18" x14ac:dyDescent="0.2">
      <c r="A2034">
        <v>17</v>
      </c>
      <c r="B2034" t="s">
        <v>2</v>
      </c>
      <c r="C2034">
        <v>2022</v>
      </c>
      <c r="D2034">
        <v>5</v>
      </c>
      <c r="E2034" s="6">
        <v>0</v>
      </c>
      <c r="F2034" s="9">
        <v>3.3000000000000002E-2</v>
      </c>
      <c r="G2034" s="6">
        <v>5646</v>
      </c>
      <c r="H2034" s="9">
        <f t="shared" si="31"/>
        <v>3.3000000000000002E-2</v>
      </c>
      <c r="I2034" s="6">
        <v>14020</v>
      </c>
      <c r="J2034" s="6">
        <f>VLOOKUP(Table1[[#This Row],[Province]],[1]Sheet1!$A$3:$K$37,7,FALSE)</f>
        <v>4292200</v>
      </c>
      <c r="K2034">
        <v>0</v>
      </c>
      <c r="L2034" s="4">
        <v>8.4095180000000003</v>
      </c>
      <c r="M2034" s="4">
        <v>115.18891600000001</v>
      </c>
      <c r="N2034" s="13">
        <v>4.84</v>
      </c>
      <c r="P2034"/>
      <c r="Q2034" s="12"/>
      <c r="R2034" s="12"/>
    </row>
    <row r="2035" spans="1:18" x14ac:dyDescent="0.2">
      <c r="A2035">
        <v>17</v>
      </c>
      <c r="B2035" t="s">
        <v>2</v>
      </c>
      <c r="C2035">
        <v>2022</v>
      </c>
      <c r="D2035">
        <v>6</v>
      </c>
      <c r="E2035" s="6">
        <v>0</v>
      </c>
      <c r="F2035" s="9">
        <v>9.1999999999999998E-2</v>
      </c>
      <c r="G2035" s="6">
        <v>4635</v>
      </c>
      <c r="H2035" s="9">
        <f t="shared" si="31"/>
        <v>9.1999999999999998E-2</v>
      </c>
      <c r="I2035" s="6">
        <v>13950</v>
      </c>
      <c r="J2035" s="6">
        <f>VLOOKUP(Table1[[#This Row],[Province]],[1]Sheet1!$A$3:$K$37,7,FALSE)</f>
        <v>4292200</v>
      </c>
      <c r="K2035">
        <v>0</v>
      </c>
      <c r="L2035" s="4">
        <v>8.4095180000000003</v>
      </c>
      <c r="M2035" s="4">
        <v>115.18891600000001</v>
      </c>
      <c r="N2035" s="13">
        <v>4.84</v>
      </c>
      <c r="P2035"/>
      <c r="Q2035" s="12"/>
      <c r="R2035" s="12"/>
    </row>
    <row r="2036" spans="1:18" x14ac:dyDescent="0.2">
      <c r="A2036">
        <v>17</v>
      </c>
      <c r="B2036" t="s">
        <v>2</v>
      </c>
      <c r="C2036">
        <v>2022</v>
      </c>
      <c r="D2036">
        <v>7</v>
      </c>
      <c r="E2036" s="6">
        <v>0</v>
      </c>
      <c r="F2036" s="9">
        <v>1.4999999999999999E-2</v>
      </c>
      <c r="G2036" s="6">
        <v>5113</v>
      </c>
      <c r="H2036" s="9">
        <f t="shared" si="31"/>
        <v>1.4999999999999999E-2</v>
      </c>
      <c r="I2036" s="6">
        <v>13950</v>
      </c>
      <c r="J2036" s="6">
        <f>VLOOKUP(Table1[[#This Row],[Province]],[1]Sheet1!$A$3:$K$37,7,FALSE)</f>
        <v>4292200</v>
      </c>
      <c r="K2036">
        <v>0</v>
      </c>
      <c r="L2036" s="4">
        <v>8.4095180000000003</v>
      </c>
      <c r="M2036" s="4">
        <v>115.18891600000001</v>
      </c>
      <c r="N2036" s="13">
        <v>4.84</v>
      </c>
      <c r="P2036"/>
      <c r="Q2036" s="12"/>
      <c r="R2036" s="12"/>
    </row>
    <row r="2037" spans="1:18" x14ac:dyDescent="0.2">
      <c r="A2037">
        <v>17</v>
      </c>
      <c r="B2037" t="s">
        <v>2</v>
      </c>
      <c r="C2037">
        <v>2022</v>
      </c>
      <c r="D2037">
        <v>8</v>
      </c>
      <c r="E2037" s="6">
        <v>0</v>
      </c>
      <c r="F2037" s="9">
        <v>2E-3</v>
      </c>
      <c r="G2037" s="6">
        <v>4765</v>
      </c>
      <c r="H2037" s="9">
        <f t="shared" si="31"/>
        <v>2E-3</v>
      </c>
      <c r="I2037" s="6">
        <v>13834</v>
      </c>
      <c r="J2037" s="6">
        <f>VLOOKUP(Table1[[#This Row],[Province]],[1]Sheet1!$A$3:$K$37,7,FALSE)</f>
        <v>4292200</v>
      </c>
      <c r="K2037">
        <v>0</v>
      </c>
      <c r="L2037" s="4">
        <v>8.4095180000000003</v>
      </c>
      <c r="M2037" s="4">
        <v>115.18891600000001</v>
      </c>
      <c r="N2037" s="13">
        <v>4.84</v>
      </c>
      <c r="P2037"/>
      <c r="Q2037" s="12"/>
      <c r="R2037" s="12"/>
    </row>
    <row r="2038" spans="1:18" x14ac:dyDescent="0.2">
      <c r="A2038">
        <v>17</v>
      </c>
      <c r="B2038" t="s">
        <v>2</v>
      </c>
      <c r="C2038">
        <v>2022</v>
      </c>
      <c r="D2038">
        <v>9</v>
      </c>
      <c r="E2038" s="6">
        <v>0</v>
      </c>
      <c r="F2038" s="9">
        <v>3.9E-2</v>
      </c>
      <c r="G2038" s="6">
        <v>5272</v>
      </c>
      <c r="H2038" s="9">
        <f t="shared" si="31"/>
        <v>3.9E-2</v>
      </c>
      <c r="I2038" s="6">
        <v>13248</v>
      </c>
      <c r="J2038" s="6">
        <f>VLOOKUP(Table1[[#This Row],[Province]],[1]Sheet1!$A$3:$K$37,7,FALSE)</f>
        <v>4292200</v>
      </c>
      <c r="K2038">
        <v>0</v>
      </c>
      <c r="L2038" s="4">
        <v>8.4095180000000003</v>
      </c>
      <c r="M2038" s="4">
        <v>115.18891600000001</v>
      </c>
      <c r="N2038" s="13">
        <v>4.84</v>
      </c>
      <c r="P2038"/>
      <c r="Q2038" s="12"/>
      <c r="R2038" s="12"/>
    </row>
    <row r="2039" spans="1:18" x14ac:dyDescent="0.2">
      <c r="A2039">
        <v>17</v>
      </c>
      <c r="B2039" t="s">
        <v>2</v>
      </c>
      <c r="C2039">
        <v>2022</v>
      </c>
      <c r="D2039">
        <v>10</v>
      </c>
      <c r="E2039" s="6">
        <v>0</v>
      </c>
      <c r="F2039" s="9">
        <v>2.4E-2</v>
      </c>
      <c r="G2039" s="6">
        <v>3435</v>
      </c>
      <c r="H2039" s="9">
        <f t="shared" si="31"/>
        <v>2.4E-2</v>
      </c>
      <c r="I2039" s="6">
        <v>13180</v>
      </c>
      <c r="J2039" s="6">
        <f>VLOOKUP(Table1[[#This Row],[Province]],[1]Sheet1!$A$3:$K$37,7,FALSE)</f>
        <v>4292200</v>
      </c>
      <c r="K2039">
        <v>0</v>
      </c>
      <c r="L2039" s="4">
        <v>8.4095180000000003</v>
      </c>
      <c r="M2039" s="4">
        <v>115.18891600000001</v>
      </c>
      <c r="N2039" s="13">
        <v>4.84</v>
      </c>
      <c r="P2039"/>
      <c r="Q2039" s="12"/>
      <c r="R2039" s="12"/>
    </row>
    <row r="2040" spans="1:18" x14ac:dyDescent="0.2">
      <c r="A2040">
        <v>17</v>
      </c>
      <c r="B2040" t="s">
        <v>2</v>
      </c>
      <c r="C2040">
        <v>2022</v>
      </c>
      <c r="D2040">
        <v>11</v>
      </c>
      <c r="E2040" s="6">
        <v>0</v>
      </c>
      <c r="F2040" s="9">
        <v>2.5000000000000001E-2</v>
      </c>
      <c r="G2040" s="6">
        <v>4776</v>
      </c>
      <c r="H2040" s="9">
        <f t="shared" si="31"/>
        <v>2.5000000000000001E-2</v>
      </c>
      <c r="I2040" s="6">
        <v>13668</v>
      </c>
      <c r="J2040" s="6">
        <f>VLOOKUP(Table1[[#This Row],[Province]],[1]Sheet1!$A$3:$K$37,7,FALSE)</f>
        <v>4292200</v>
      </c>
      <c r="K2040">
        <v>0</v>
      </c>
      <c r="L2040" s="4">
        <v>8.4095180000000003</v>
      </c>
      <c r="M2040" s="4">
        <v>115.18891600000001</v>
      </c>
      <c r="N2040" s="13">
        <v>4.84</v>
      </c>
      <c r="P2040"/>
      <c r="Q2040" s="12"/>
      <c r="R2040" s="12"/>
    </row>
    <row r="2041" spans="1:18" x14ac:dyDescent="0.2">
      <c r="A2041">
        <v>17</v>
      </c>
      <c r="B2041" t="s">
        <v>2</v>
      </c>
      <c r="C2041">
        <v>2022</v>
      </c>
      <c r="D2041">
        <v>12</v>
      </c>
      <c r="E2041" s="6">
        <v>0</v>
      </c>
      <c r="F2041" s="9">
        <v>6.6000000000000003E-2</v>
      </c>
      <c r="G2041" s="6">
        <v>3838</v>
      </c>
      <c r="H2041" s="9">
        <f t="shared" si="31"/>
        <v>6.6000000000000003E-2</v>
      </c>
      <c r="I2041" s="6">
        <v>13541</v>
      </c>
      <c r="J2041" s="6">
        <f>VLOOKUP(Table1[[#This Row],[Province]],[1]Sheet1!$A$3:$K$37,7,FALSE)</f>
        <v>4292200</v>
      </c>
      <c r="K2041">
        <v>1</v>
      </c>
      <c r="L2041" s="4">
        <v>8.4095180000000003</v>
      </c>
      <c r="M2041" s="4">
        <v>115.18891600000001</v>
      </c>
      <c r="N2041" s="13">
        <v>4.84</v>
      </c>
      <c r="P2041"/>
      <c r="Q2041" s="12"/>
      <c r="R2041" s="12"/>
    </row>
    <row r="2042" spans="1:18" x14ac:dyDescent="0.2">
      <c r="A2042">
        <v>18</v>
      </c>
      <c r="B2042" t="s">
        <v>21</v>
      </c>
      <c r="C2042">
        <v>2013</v>
      </c>
      <c r="D2042">
        <v>1</v>
      </c>
      <c r="E2042" s="4">
        <v>0</v>
      </c>
      <c r="F2042" s="9">
        <v>0</v>
      </c>
      <c r="G2042" s="6">
        <v>3194</v>
      </c>
      <c r="H2042" s="9">
        <f t="shared" si="31"/>
        <v>0</v>
      </c>
      <c r="I2042" s="6">
        <v>11829</v>
      </c>
      <c r="J2042" s="6">
        <f>VLOOKUP(Table1[[#This Row],[Province]],[1]Sheet1!$A$3:$K$37,7,FALSE)</f>
        <v>5013700</v>
      </c>
      <c r="K2042">
        <v>0</v>
      </c>
      <c r="L2042" s="4">
        <v>8.6529330000000009</v>
      </c>
      <c r="M2042" s="4">
        <v>117.361648</v>
      </c>
      <c r="N2042" s="6"/>
      <c r="P2042"/>
      <c r="Q2042" s="12"/>
      <c r="R2042" s="12"/>
    </row>
    <row r="2043" spans="1:18" x14ac:dyDescent="0.2">
      <c r="A2043">
        <v>18</v>
      </c>
      <c r="B2043" t="s">
        <v>21</v>
      </c>
      <c r="C2043">
        <v>2013</v>
      </c>
      <c r="D2043">
        <v>2</v>
      </c>
      <c r="E2043" s="4">
        <v>0</v>
      </c>
      <c r="F2043" s="9">
        <v>0</v>
      </c>
      <c r="G2043" s="6">
        <v>3062</v>
      </c>
      <c r="H2043" s="9">
        <f t="shared" si="31"/>
        <v>0</v>
      </c>
      <c r="I2043" s="6">
        <v>12000</v>
      </c>
      <c r="J2043" s="6">
        <f>VLOOKUP(Table1[[#This Row],[Province]],[1]Sheet1!$A$3:$K$37,7,FALSE)</f>
        <v>5013700</v>
      </c>
      <c r="K2043">
        <v>0</v>
      </c>
      <c r="L2043" s="4">
        <v>8.6529330000000009</v>
      </c>
      <c r="M2043" s="4">
        <v>117.361648</v>
      </c>
      <c r="N2043" s="6"/>
      <c r="P2043"/>
      <c r="Q2043" s="12"/>
      <c r="R2043" s="12"/>
    </row>
    <row r="2044" spans="1:18" x14ac:dyDescent="0.2">
      <c r="A2044">
        <v>18</v>
      </c>
      <c r="B2044" t="s">
        <v>21</v>
      </c>
      <c r="C2044">
        <v>2013</v>
      </c>
      <c r="D2044">
        <v>3</v>
      </c>
      <c r="E2044" s="4">
        <v>0</v>
      </c>
      <c r="F2044" s="9">
        <v>0</v>
      </c>
      <c r="G2044" s="6">
        <v>3156</v>
      </c>
      <c r="H2044" s="9">
        <f t="shared" si="31"/>
        <v>0</v>
      </c>
      <c r="I2044" s="6">
        <v>12000</v>
      </c>
      <c r="J2044" s="6">
        <f>VLOOKUP(Table1[[#This Row],[Province]],[1]Sheet1!$A$3:$K$37,7,FALSE)</f>
        <v>5013700</v>
      </c>
      <c r="K2044">
        <v>0</v>
      </c>
      <c r="L2044" s="4">
        <v>8.6529330000000009</v>
      </c>
      <c r="M2044" s="4">
        <v>117.361648</v>
      </c>
      <c r="N2044" s="6"/>
      <c r="P2044"/>
      <c r="Q2044" s="12"/>
      <c r="R2044" s="12"/>
    </row>
    <row r="2045" spans="1:18" x14ac:dyDescent="0.2">
      <c r="A2045">
        <v>18</v>
      </c>
      <c r="B2045" t="s">
        <v>21</v>
      </c>
      <c r="C2045">
        <v>2013</v>
      </c>
      <c r="D2045">
        <v>4</v>
      </c>
      <c r="E2045" s="4">
        <v>0</v>
      </c>
      <c r="F2045" s="9">
        <v>0</v>
      </c>
      <c r="G2045" s="6">
        <v>4101</v>
      </c>
      <c r="H2045" s="9">
        <f t="shared" si="31"/>
        <v>0</v>
      </c>
      <c r="I2045" s="6">
        <v>12000</v>
      </c>
      <c r="J2045" s="6">
        <f>VLOOKUP(Table1[[#This Row],[Province]],[1]Sheet1!$A$3:$K$37,7,FALSE)</f>
        <v>5013700</v>
      </c>
      <c r="K2045">
        <v>0</v>
      </c>
      <c r="L2045" s="4">
        <v>8.6529330000000009</v>
      </c>
      <c r="M2045" s="4">
        <v>117.361648</v>
      </c>
      <c r="N2045" s="6"/>
      <c r="P2045"/>
      <c r="Q2045" s="12"/>
      <c r="R2045" s="12"/>
    </row>
    <row r="2046" spans="1:18" x14ac:dyDescent="0.2">
      <c r="A2046">
        <v>18</v>
      </c>
      <c r="B2046" t="s">
        <v>21</v>
      </c>
      <c r="C2046">
        <v>2013</v>
      </c>
      <c r="D2046">
        <v>5</v>
      </c>
      <c r="E2046" s="4">
        <v>0</v>
      </c>
      <c r="F2046" s="9">
        <v>0</v>
      </c>
      <c r="G2046" s="6">
        <v>4971</v>
      </c>
      <c r="H2046" s="9">
        <f t="shared" si="31"/>
        <v>0</v>
      </c>
      <c r="I2046" s="6">
        <v>12000</v>
      </c>
      <c r="J2046" s="6">
        <f>VLOOKUP(Table1[[#This Row],[Province]],[1]Sheet1!$A$3:$K$37,7,FALSE)</f>
        <v>5013700</v>
      </c>
      <c r="K2046">
        <v>0</v>
      </c>
      <c r="L2046" s="4">
        <v>8.6529330000000009</v>
      </c>
      <c r="M2046" s="4">
        <v>117.361648</v>
      </c>
      <c r="N2046" s="6"/>
      <c r="P2046"/>
      <c r="Q2046" s="12"/>
      <c r="R2046" s="12"/>
    </row>
    <row r="2047" spans="1:18" x14ac:dyDescent="0.2">
      <c r="A2047">
        <v>18</v>
      </c>
      <c r="B2047" t="s">
        <v>21</v>
      </c>
      <c r="C2047">
        <v>2013</v>
      </c>
      <c r="D2047">
        <v>6</v>
      </c>
      <c r="E2047" s="4">
        <v>0</v>
      </c>
      <c r="F2047" s="9">
        <v>0</v>
      </c>
      <c r="G2047" s="6">
        <v>4139</v>
      </c>
      <c r="H2047" s="9">
        <f t="shared" si="31"/>
        <v>0</v>
      </c>
      <c r="I2047" s="6">
        <v>12053</v>
      </c>
      <c r="J2047" s="6">
        <f>VLOOKUP(Table1[[#This Row],[Province]],[1]Sheet1!$A$3:$K$37,7,FALSE)</f>
        <v>5013700</v>
      </c>
      <c r="K2047">
        <v>0</v>
      </c>
      <c r="L2047" s="4">
        <v>8.6529330000000009</v>
      </c>
      <c r="M2047" s="4">
        <v>117.361648</v>
      </c>
      <c r="N2047" s="6"/>
      <c r="P2047"/>
      <c r="Q2047" s="12"/>
      <c r="R2047" s="12"/>
    </row>
    <row r="2048" spans="1:18" x14ac:dyDescent="0.2">
      <c r="A2048">
        <v>18</v>
      </c>
      <c r="B2048" t="s">
        <v>21</v>
      </c>
      <c r="C2048">
        <v>2013</v>
      </c>
      <c r="D2048">
        <v>7</v>
      </c>
      <c r="E2048" s="4">
        <v>0</v>
      </c>
      <c r="F2048" s="9">
        <v>0</v>
      </c>
      <c r="G2048" s="6">
        <v>7182</v>
      </c>
      <c r="H2048" s="9">
        <f t="shared" si="31"/>
        <v>0</v>
      </c>
      <c r="I2048" s="6">
        <v>13354</v>
      </c>
      <c r="J2048" s="6">
        <f>VLOOKUP(Table1[[#This Row],[Province]],[1]Sheet1!$A$3:$K$37,7,FALSE)</f>
        <v>5013700</v>
      </c>
      <c r="K2048">
        <v>1</v>
      </c>
      <c r="L2048" s="4">
        <v>8.6529330000000009</v>
      </c>
      <c r="M2048" s="4">
        <v>117.361648</v>
      </c>
      <c r="N2048" s="6"/>
      <c r="P2048"/>
      <c r="Q2048" s="12"/>
      <c r="R2048" s="12"/>
    </row>
    <row r="2049" spans="1:18" x14ac:dyDescent="0.2">
      <c r="A2049">
        <v>18</v>
      </c>
      <c r="B2049" t="s">
        <v>21</v>
      </c>
      <c r="C2049">
        <v>2013</v>
      </c>
      <c r="D2049">
        <v>8</v>
      </c>
      <c r="E2049" s="4">
        <v>0</v>
      </c>
      <c r="F2049" s="9">
        <v>0</v>
      </c>
      <c r="G2049" s="6">
        <v>2627</v>
      </c>
      <c r="H2049" s="9">
        <f t="shared" si="31"/>
        <v>0</v>
      </c>
      <c r="I2049" s="6">
        <v>12000</v>
      </c>
      <c r="J2049" s="6">
        <f>VLOOKUP(Table1[[#This Row],[Province]],[1]Sheet1!$A$3:$K$37,7,FALSE)</f>
        <v>5013700</v>
      </c>
      <c r="K2049">
        <v>0</v>
      </c>
      <c r="L2049" s="4">
        <v>8.6529330000000009</v>
      </c>
      <c r="M2049" s="4">
        <v>117.361648</v>
      </c>
      <c r="N2049" s="6"/>
      <c r="P2049"/>
      <c r="Q2049" s="12"/>
      <c r="R2049" s="12"/>
    </row>
    <row r="2050" spans="1:18" x14ac:dyDescent="0.2">
      <c r="A2050">
        <v>18</v>
      </c>
      <c r="B2050" t="s">
        <v>21</v>
      </c>
      <c r="C2050">
        <v>2013</v>
      </c>
      <c r="D2050">
        <v>9</v>
      </c>
      <c r="E2050" s="4">
        <v>0</v>
      </c>
      <c r="F2050" s="9">
        <v>0</v>
      </c>
      <c r="G2050" s="6">
        <v>5613</v>
      </c>
      <c r="H2050" s="9">
        <f t="shared" ref="H2050:H2113" si="32">F2050+E2050</f>
        <v>0</v>
      </c>
      <c r="I2050" s="6">
        <v>11977</v>
      </c>
      <c r="J2050" s="6">
        <f>VLOOKUP(Table1[[#This Row],[Province]],[1]Sheet1!$A$3:$K$37,7,FALSE)</f>
        <v>5013700</v>
      </c>
      <c r="K2050">
        <v>0</v>
      </c>
      <c r="L2050" s="4">
        <v>8.6529330000000009</v>
      </c>
      <c r="M2050" s="4">
        <v>117.361648</v>
      </c>
      <c r="N2050" s="6"/>
      <c r="P2050"/>
      <c r="Q2050" s="12"/>
      <c r="R2050" s="12"/>
    </row>
    <row r="2051" spans="1:18" x14ac:dyDescent="0.2">
      <c r="A2051">
        <v>18</v>
      </c>
      <c r="B2051" t="s">
        <v>21</v>
      </c>
      <c r="C2051">
        <v>2013</v>
      </c>
      <c r="D2051">
        <v>10</v>
      </c>
      <c r="E2051" s="4">
        <v>0</v>
      </c>
      <c r="F2051" s="9">
        <v>0</v>
      </c>
      <c r="G2051" s="6">
        <v>4593</v>
      </c>
      <c r="H2051" s="9">
        <f t="shared" si="32"/>
        <v>0</v>
      </c>
      <c r="I2051" s="6">
        <v>11837</v>
      </c>
      <c r="J2051" s="6">
        <f>VLOOKUP(Table1[[#This Row],[Province]],[1]Sheet1!$A$3:$K$37,7,FALSE)</f>
        <v>5013700</v>
      </c>
      <c r="K2051">
        <v>0</v>
      </c>
      <c r="L2051" s="4">
        <v>8.6529330000000009</v>
      </c>
      <c r="M2051" s="4">
        <v>117.361648</v>
      </c>
      <c r="N2051" s="6"/>
      <c r="P2051"/>
      <c r="Q2051" s="12"/>
      <c r="R2051" s="12"/>
    </row>
    <row r="2052" spans="1:18" x14ac:dyDescent="0.2">
      <c r="A2052">
        <v>18</v>
      </c>
      <c r="B2052" t="s">
        <v>21</v>
      </c>
      <c r="C2052">
        <v>2013</v>
      </c>
      <c r="D2052">
        <v>11</v>
      </c>
      <c r="E2052" s="4">
        <v>0</v>
      </c>
      <c r="F2052" s="9">
        <v>0</v>
      </c>
      <c r="G2052" s="6">
        <v>3383</v>
      </c>
      <c r="H2052" s="9">
        <f t="shared" si="32"/>
        <v>0</v>
      </c>
      <c r="I2052" s="6">
        <v>11792</v>
      </c>
      <c r="J2052" s="6">
        <f>VLOOKUP(Table1[[#This Row],[Province]],[1]Sheet1!$A$3:$K$37,7,FALSE)</f>
        <v>5013700</v>
      </c>
      <c r="K2052">
        <v>0</v>
      </c>
      <c r="L2052" s="4">
        <v>8.6529330000000009</v>
      </c>
      <c r="M2052" s="4">
        <v>117.361648</v>
      </c>
      <c r="N2052" s="6"/>
      <c r="P2052"/>
      <c r="Q2052" s="12"/>
      <c r="R2052" s="12"/>
    </row>
    <row r="2053" spans="1:18" x14ac:dyDescent="0.2">
      <c r="A2053">
        <v>18</v>
      </c>
      <c r="B2053" t="s">
        <v>21</v>
      </c>
      <c r="C2053">
        <v>2013</v>
      </c>
      <c r="D2053">
        <v>12</v>
      </c>
      <c r="E2053" s="4">
        <v>0</v>
      </c>
      <c r="F2053" s="9">
        <v>0</v>
      </c>
      <c r="G2053" s="6">
        <v>4706</v>
      </c>
      <c r="H2053" s="9">
        <f t="shared" si="32"/>
        <v>0</v>
      </c>
      <c r="I2053" s="6">
        <v>12000</v>
      </c>
      <c r="J2053" s="6">
        <f>VLOOKUP(Table1[[#This Row],[Province]],[1]Sheet1!$A$3:$K$37,7,FALSE)</f>
        <v>5013700</v>
      </c>
      <c r="K2053">
        <v>1</v>
      </c>
      <c r="L2053" s="4">
        <v>8.6529330000000009</v>
      </c>
      <c r="M2053" s="4">
        <v>117.361648</v>
      </c>
      <c r="N2053" s="6"/>
      <c r="P2053"/>
      <c r="Q2053" s="12"/>
      <c r="R2053" s="12"/>
    </row>
    <row r="2054" spans="1:18" x14ac:dyDescent="0.2">
      <c r="A2054">
        <v>18</v>
      </c>
      <c r="B2054" t="s">
        <v>21</v>
      </c>
      <c r="C2054">
        <v>2014</v>
      </c>
      <c r="D2054">
        <v>1</v>
      </c>
      <c r="E2054" s="4">
        <v>0</v>
      </c>
      <c r="F2054" s="9">
        <v>0</v>
      </c>
      <c r="G2054" s="6">
        <v>3294</v>
      </c>
      <c r="H2054" s="9">
        <f t="shared" si="32"/>
        <v>0</v>
      </c>
      <c r="I2054" s="6">
        <v>12000</v>
      </c>
      <c r="J2054" s="6">
        <f>VLOOKUP(Table1[[#This Row],[Province]],[1]Sheet1!$A$3:$K$37,7,FALSE)</f>
        <v>5013700</v>
      </c>
      <c r="K2054">
        <v>0</v>
      </c>
      <c r="L2054" s="4">
        <v>8.6529330000000009</v>
      </c>
      <c r="M2054" s="4">
        <v>117.361648</v>
      </c>
      <c r="N2054" s="6"/>
      <c r="P2054"/>
      <c r="Q2054" s="12"/>
      <c r="R2054" s="12"/>
    </row>
    <row r="2055" spans="1:18" x14ac:dyDescent="0.2">
      <c r="A2055">
        <v>18</v>
      </c>
      <c r="B2055" t="s">
        <v>21</v>
      </c>
      <c r="C2055">
        <v>2014</v>
      </c>
      <c r="D2055">
        <v>2</v>
      </c>
      <c r="E2055" s="4">
        <v>0</v>
      </c>
      <c r="F2055" s="9">
        <v>0</v>
      </c>
      <c r="G2055" s="6">
        <v>2939</v>
      </c>
      <c r="H2055" s="9">
        <f t="shared" si="32"/>
        <v>0</v>
      </c>
      <c r="I2055" s="6">
        <v>12000</v>
      </c>
      <c r="J2055" s="6">
        <f>VLOOKUP(Table1[[#This Row],[Province]],[1]Sheet1!$A$3:$K$37,7,FALSE)</f>
        <v>5013700</v>
      </c>
      <c r="K2055">
        <v>0</v>
      </c>
      <c r="L2055" s="4">
        <v>8.6529330000000009</v>
      </c>
      <c r="M2055" s="4">
        <v>117.361648</v>
      </c>
      <c r="N2055" s="6"/>
      <c r="P2055"/>
      <c r="Q2055" s="12"/>
      <c r="R2055" s="12"/>
    </row>
    <row r="2056" spans="1:18" x14ac:dyDescent="0.2">
      <c r="A2056">
        <v>18</v>
      </c>
      <c r="B2056" t="s">
        <v>21</v>
      </c>
      <c r="C2056">
        <v>2014</v>
      </c>
      <c r="D2056">
        <v>3</v>
      </c>
      <c r="E2056" s="4">
        <v>0</v>
      </c>
      <c r="F2056" s="9">
        <v>0</v>
      </c>
      <c r="G2056" s="6">
        <v>3300</v>
      </c>
      <c r="H2056" s="9">
        <f t="shared" si="32"/>
        <v>0</v>
      </c>
      <c r="I2056" s="6">
        <v>11900</v>
      </c>
      <c r="J2056" s="6">
        <f>VLOOKUP(Table1[[#This Row],[Province]],[1]Sheet1!$A$3:$K$37,7,FALSE)</f>
        <v>5013700</v>
      </c>
      <c r="K2056">
        <v>0</v>
      </c>
      <c r="L2056" s="4">
        <v>8.6529330000000009</v>
      </c>
      <c r="M2056" s="4">
        <v>117.361648</v>
      </c>
      <c r="N2056" s="6"/>
      <c r="P2056"/>
      <c r="Q2056" s="12"/>
      <c r="R2056" s="12"/>
    </row>
    <row r="2057" spans="1:18" x14ac:dyDescent="0.2">
      <c r="A2057">
        <v>18</v>
      </c>
      <c r="B2057" t="s">
        <v>21</v>
      </c>
      <c r="C2057">
        <v>2014</v>
      </c>
      <c r="D2057">
        <v>4</v>
      </c>
      <c r="E2057" s="4">
        <v>0</v>
      </c>
      <c r="F2057" s="9">
        <v>0</v>
      </c>
      <c r="G2057" s="6">
        <v>4251</v>
      </c>
      <c r="H2057" s="9">
        <f t="shared" si="32"/>
        <v>0</v>
      </c>
      <c r="I2057" s="6">
        <v>11758</v>
      </c>
      <c r="J2057" s="6">
        <f>VLOOKUP(Table1[[#This Row],[Province]],[1]Sheet1!$A$3:$K$37,7,FALSE)</f>
        <v>5013700</v>
      </c>
      <c r="K2057">
        <v>0</v>
      </c>
      <c r="L2057" s="4">
        <v>8.6529330000000009</v>
      </c>
      <c r="M2057" s="4">
        <v>117.361648</v>
      </c>
      <c r="N2057" s="6"/>
      <c r="P2057"/>
      <c r="Q2057" s="12"/>
      <c r="R2057" s="12"/>
    </row>
    <row r="2058" spans="1:18" x14ac:dyDescent="0.2">
      <c r="A2058">
        <v>18</v>
      </c>
      <c r="B2058" t="s">
        <v>21</v>
      </c>
      <c r="C2058">
        <v>2014</v>
      </c>
      <c r="D2058">
        <v>5</v>
      </c>
      <c r="E2058" s="4">
        <v>0</v>
      </c>
      <c r="F2058" s="9">
        <v>0</v>
      </c>
      <c r="G2058" s="6">
        <v>4761</v>
      </c>
      <c r="H2058" s="9">
        <f t="shared" si="32"/>
        <v>0</v>
      </c>
      <c r="I2058" s="6">
        <v>11917</v>
      </c>
      <c r="J2058" s="6">
        <f>VLOOKUP(Table1[[#This Row],[Province]],[1]Sheet1!$A$3:$K$37,7,FALSE)</f>
        <v>5013700</v>
      </c>
      <c r="K2058">
        <v>0</v>
      </c>
      <c r="L2058" s="4">
        <v>8.6529330000000009</v>
      </c>
      <c r="M2058" s="4">
        <v>117.361648</v>
      </c>
      <c r="N2058" s="6"/>
      <c r="P2058"/>
      <c r="Q2058" s="12"/>
      <c r="R2058" s="12"/>
    </row>
    <row r="2059" spans="1:18" x14ac:dyDescent="0.2">
      <c r="A2059">
        <v>18</v>
      </c>
      <c r="B2059" t="s">
        <v>21</v>
      </c>
      <c r="C2059">
        <v>2014</v>
      </c>
      <c r="D2059">
        <v>6</v>
      </c>
      <c r="E2059" s="4">
        <v>0</v>
      </c>
      <c r="F2059" s="9">
        <v>0</v>
      </c>
      <c r="G2059" s="6">
        <v>6776</v>
      </c>
      <c r="H2059" s="9">
        <f t="shared" si="32"/>
        <v>0</v>
      </c>
      <c r="I2059" s="6">
        <v>11833</v>
      </c>
      <c r="J2059" s="6">
        <f>VLOOKUP(Table1[[#This Row],[Province]],[1]Sheet1!$A$3:$K$37,7,FALSE)</f>
        <v>5013700</v>
      </c>
      <c r="K2059">
        <v>1</v>
      </c>
      <c r="L2059" s="4">
        <v>8.6529330000000009</v>
      </c>
      <c r="M2059" s="4">
        <v>117.361648</v>
      </c>
      <c r="N2059" s="6"/>
      <c r="P2059"/>
      <c r="Q2059" s="12"/>
      <c r="R2059" s="12"/>
    </row>
    <row r="2060" spans="1:18" x14ac:dyDescent="0.2">
      <c r="A2060">
        <v>18</v>
      </c>
      <c r="B2060" t="s">
        <v>21</v>
      </c>
      <c r="C2060">
        <v>2014</v>
      </c>
      <c r="D2060">
        <v>7</v>
      </c>
      <c r="E2060" s="4">
        <v>0</v>
      </c>
      <c r="F2060" s="9">
        <v>0</v>
      </c>
      <c r="G2060" s="6">
        <v>4251</v>
      </c>
      <c r="H2060" s="9">
        <f t="shared" si="32"/>
        <v>0</v>
      </c>
      <c r="I2060" s="6">
        <v>11833</v>
      </c>
      <c r="J2060" s="6">
        <f>VLOOKUP(Table1[[#This Row],[Province]],[1]Sheet1!$A$3:$K$37,7,FALSE)</f>
        <v>5013700</v>
      </c>
      <c r="K2060">
        <v>0</v>
      </c>
      <c r="L2060" s="4">
        <v>8.6529330000000009</v>
      </c>
      <c r="M2060" s="4">
        <v>117.361648</v>
      </c>
      <c r="N2060" s="6"/>
      <c r="P2060"/>
      <c r="Q2060" s="12"/>
      <c r="R2060" s="12"/>
    </row>
    <row r="2061" spans="1:18" x14ac:dyDescent="0.2">
      <c r="A2061">
        <v>18</v>
      </c>
      <c r="B2061" t="s">
        <v>21</v>
      </c>
      <c r="C2061">
        <v>2014</v>
      </c>
      <c r="D2061">
        <v>8</v>
      </c>
      <c r="E2061" s="4">
        <v>0</v>
      </c>
      <c r="F2061" s="9">
        <v>0</v>
      </c>
      <c r="G2061" s="6">
        <v>4098</v>
      </c>
      <c r="H2061" s="9">
        <f t="shared" si="32"/>
        <v>0</v>
      </c>
      <c r="I2061" s="6">
        <v>11833</v>
      </c>
      <c r="J2061" s="6">
        <f>VLOOKUP(Table1[[#This Row],[Province]],[1]Sheet1!$A$3:$K$37,7,FALSE)</f>
        <v>5013700</v>
      </c>
      <c r="K2061">
        <v>0</v>
      </c>
      <c r="L2061" s="4">
        <v>8.6529330000000009</v>
      </c>
      <c r="M2061" s="4">
        <v>117.361648</v>
      </c>
      <c r="N2061" s="6"/>
      <c r="P2061"/>
      <c r="Q2061" s="12"/>
      <c r="R2061" s="12"/>
    </row>
    <row r="2062" spans="1:18" x14ac:dyDescent="0.2">
      <c r="A2062">
        <v>18</v>
      </c>
      <c r="B2062" t="s">
        <v>21</v>
      </c>
      <c r="C2062">
        <v>2014</v>
      </c>
      <c r="D2062">
        <v>9</v>
      </c>
      <c r="E2062" s="4">
        <v>0</v>
      </c>
      <c r="F2062" s="9">
        <v>0</v>
      </c>
      <c r="G2062" s="6">
        <v>4124</v>
      </c>
      <c r="H2062" s="9">
        <f t="shared" si="32"/>
        <v>0</v>
      </c>
      <c r="I2062" s="6">
        <v>11833</v>
      </c>
      <c r="J2062" s="6">
        <f>VLOOKUP(Table1[[#This Row],[Province]],[1]Sheet1!$A$3:$K$37,7,FALSE)</f>
        <v>5013700</v>
      </c>
      <c r="K2062">
        <v>0</v>
      </c>
      <c r="L2062" s="4">
        <v>8.6529330000000009</v>
      </c>
      <c r="M2062" s="4">
        <v>117.361648</v>
      </c>
      <c r="N2062" s="6"/>
      <c r="P2062"/>
      <c r="Q2062" s="12"/>
      <c r="R2062" s="12"/>
    </row>
    <row r="2063" spans="1:18" x14ac:dyDescent="0.2">
      <c r="A2063">
        <v>18</v>
      </c>
      <c r="B2063" t="s">
        <v>21</v>
      </c>
      <c r="C2063">
        <v>2014</v>
      </c>
      <c r="D2063">
        <v>10</v>
      </c>
      <c r="E2063" s="4">
        <v>0</v>
      </c>
      <c r="F2063" s="9">
        <v>0</v>
      </c>
      <c r="G2063" s="6">
        <v>6118</v>
      </c>
      <c r="H2063" s="9">
        <f t="shared" si="32"/>
        <v>0</v>
      </c>
      <c r="I2063" s="6">
        <v>11833</v>
      </c>
      <c r="J2063" s="6">
        <f>VLOOKUP(Table1[[#This Row],[Province]],[1]Sheet1!$A$3:$K$37,7,FALSE)</f>
        <v>5013700</v>
      </c>
      <c r="K2063">
        <v>0</v>
      </c>
      <c r="L2063" s="4">
        <v>8.6529330000000009</v>
      </c>
      <c r="M2063" s="4">
        <v>117.361648</v>
      </c>
      <c r="N2063" s="6"/>
      <c r="P2063"/>
      <c r="Q2063" s="12"/>
      <c r="R2063" s="12"/>
    </row>
    <row r="2064" spans="1:18" x14ac:dyDescent="0.2">
      <c r="A2064">
        <v>18</v>
      </c>
      <c r="B2064" t="s">
        <v>21</v>
      </c>
      <c r="C2064">
        <v>2014</v>
      </c>
      <c r="D2064">
        <v>11</v>
      </c>
      <c r="E2064" s="4">
        <v>0</v>
      </c>
      <c r="F2064" s="9">
        <v>0</v>
      </c>
      <c r="G2064" s="6">
        <v>4882</v>
      </c>
      <c r="H2064" s="9">
        <f t="shared" si="32"/>
        <v>0</v>
      </c>
      <c r="I2064" s="6">
        <v>11866</v>
      </c>
      <c r="J2064" s="6">
        <f>VLOOKUP(Table1[[#This Row],[Province]],[1]Sheet1!$A$3:$K$37,7,FALSE)</f>
        <v>5013700</v>
      </c>
      <c r="K2064">
        <v>0</v>
      </c>
      <c r="L2064" s="4">
        <v>8.6529330000000009</v>
      </c>
      <c r="M2064" s="4">
        <v>117.361648</v>
      </c>
      <c r="N2064" s="6"/>
      <c r="P2064"/>
      <c r="Q2064" s="12"/>
      <c r="R2064" s="12"/>
    </row>
    <row r="2065" spans="1:18" x14ac:dyDescent="0.2">
      <c r="A2065">
        <v>18</v>
      </c>
      <c r="B2065" t="s">
        <v>21</v>
      </c>
      <c r="C2065">
        <v>2014</v>
      </c>
      <c r="D2065">
        <v>12</v>
      </c>
      <c r="E2065" s="4">
        <v>0</v>
      </c>
      <c r="F2065" s="9">
        <v>0</v>
      </c>
      <c r="G2065" s="6">
        <v>5693</v>
      </c>
      <c r="H2065" s="9">
        <f t="shared" si="32"/>
        <v>0</v>
      </c>
      <c r="I2065" s="6">
        <v>12000</v>
      </c>
      <c r="J2065" s="6">
        <f>VLOOKUP(Table1[[#This Row],[Province]],[1]Sheet1!$A$3:$K$37,7,FALSE)</f>
        <v>5013700</v>
      </c>
      <c r="K2065">
        <v>1</v>
      </c>
      <c r="L2065" s="4">
        <v>8.6529330000000009</v>
      </c>
      <c r="M2065" s="4">
        <v>117.361648</v>
      </c>
      <c r="N2065" s="6"/>
      <c r="P2065"/>
      <c r="Q2065" s="12"/>
      <c r="R2065" s="12"/>
    </row>
    <row r="2066" spans="1:18" x14ac:dyDescent="0.2">
      <c r="A2066">
        <v>18</v>
      </c>
      <c r="B2066" t="s">
        <v>21</v>
      </c>
      <c r="C2066">
        <v>2015</v>
      </c>
      <c r="D2066">
        <v>1</v>
      </c>
      <c r="E2066" s="4">
        <v>0</v>
      </c>
      <c r="F2066" s="9">
        <v>0</v>
      </c>
      <c r="G2066" s="6">
        <v>2798</v>
      </c>
      <c r="H2066" s="9">
        <f t="shared" si="32"/>
        <v>0</v>
      </c>
      <c r="I2066" s="6">
        <v>12000</v>
      </c>
      <c r="J2066" s="6">
        <f>VLOOKUP(Table1[[#This Row],[Province]],[1]Sheet1!$A$3:$K$37,7,FALSE)</f>
        <v>5013700</v>
      </c>
      <c r="K2066">
        <v>0</v>
      </c>
      <c r="L2066" s="4">
        <v>8.6529330000000009</v>
      </c>
      <c r="M2066" s="4">
        <v>117.361648</v>
      </c>
      <c r="N2066" s="6"/>
      <c r="P2066"/>
      <c r="Q2066" s="12"/>
      <c r="R2066" s="12"/>
    </row>
    <row r="2067" spans="1:18" x14ac:dyDescent="0.2">
      <c r="A2067">
        <v>18</v>
      </c>
      <c r="B2067" t="s">
        <v>21</v>
      </c>
      <c r="C2067">
        <v>2015</v>
      </c>
      <c r="D2067">
        <v>2</v>
      </c>
      <c r="E2067" s="4">
        <v>0</v>
      </c>
      <c r="F2067" s="9">
        <v>0</v>
      </c>
      <c r="G2067" s="6">
        <v>7057</v>
      </c>
      <c r="H2067" s="9">
        <f t="shared" si="32"/>
        <v>0</v>
      </c>
      <c r="I2067" s="6">
        <v>12000</v>
      </c>
      <c r="J2067" s="6">
        <f>VLOOKUP(Table1[[#This Row],[Province]],[1]Sheet1!$A$3:$K$37,7,FALSE)</f>
        <v>5013700</v>
      </c>
      <c r="K2067">
        <v>0</v>
      </c>
      <c r="L2067" s="4">
        <v>8.6529330000000009</v>
      </c>
      <c r="M2067" s="4">
        <v>117.361648</v>
      </c>
      <c r="N2067" s="6"/>
      <c r="P2067"/>
      <c r="Q2067" s="12"/>
      <c r="R2067" s="12"/>
    </row>
    <row r="2068" spans="1:18" x14ac:dyDescent="0.2">
      <c r="A2068">
        <v>18</v>
      </c>
      <c r="B2068" t="s">
        <v>21</v>
      </c>
      <c r="C2068">
        <v>2015</v>
      </c>
      <c r="D2068">
        <v>3</v>
      </c>
      <c r="E2068" s="4">
        <v>0</v>
      </c>
      <c r="F2068" s="9">
        <v>0</v>
      </c>
      <c r="G2068" s="6">
        <v>3202</v>
      </c>
      <c r="H2068" s="9">
        <f t="shared" si="32"/>
        <v>0</v>
      </c>
      <c r="I2068" s="6">
        <v>11864</v>
      </c>
      <c r="J2068" s="6">
        <f>VLOOKUP(Table1[[#This Row],[Province]],[1]Sheet1!$A$3:$K$37,7,FALSE)</f>
        <v>5013700</v>
      </c>
      <c r="K2068">
        <v>0</v>
      </c>
      <c r="L2068" s="4">
        <v>8.6529330000000009</v>
      </c>
      <c r="M2068" s="4">
        <v>117.361648</v>
      </c>
      <c r="N2068" s="6"/>
      <c r="P2068"/>
      <c r="Q2068" s="12"/>
      <c r="R2068" s="12"/>
    </row>
    <row r="2069" spans="1:18" x14ac:dyDescent="0.2">
      <c r="A2069">
        <v>18</v>
      </c>
      <c r="B2069" t="s">
        <v>21</v>
      </c>
      <c r="C2069">
        <v>2015</v>
      </c>
      <c r="D2069">
        <v>4</v>
      </c>
      <c r="E2069" s="4">
        <v>0</v>
      </c>
      <c r="F2069" s="9">
        <v>0</v>
      </c>
      <c r="G2069" s="6">
        <v>5305</v>
      </c>
      <c r="H2069" s="9">
        <f t="shared" si="32"/>
        <v>0</v>
      </c>
      <c r="I2069" s="6">
        <v>11667</v>
      </c>
      <c r="J2069" s="6">
        <f>VLOOKUP(Table1[[#This Row],[Province]],[1]Sheet1!$A$3:$K$37,7,FALSE)</f>
        <v>5013700</v>
      </c>
      <c r="K2069">
        <v>0</v>
      </c>
      <c r="L2069" s="4">
        <v>8.6529330000000009</v>
      </c>
      <c r="M2069" s="4">
        <v>117.361648</v>
      </c>
      <c r="N2069" s="6"/>
      <c r="P2069"/>
      <c r="Q2069" s="12"/>
      <c r="R2069" s="12"/>
    </row>
    <row r="2070" spans="1:18" x14ac:dyDescent="0.2">
      <c r="A2070">
        <v>18</v>
      </c>
      <c r="B2070" t="s">
        <v>21</v>
      </c>
      <c r="C2070">
        <v>2015</v>
      </c>
      <c r="D2070">
        <v>5</v>
      </c>
      <c r="E2070" s="4">
        <v>0</v>
      </c>
      <c r="F2070" s="9">
        <v>0</v>
      </c>
      <c r="G2070" s="6">
        <v>5083</v>
      </c>
      <c r="H2070" s="9">
        <f t="shared" si="32"/>
        <v>0</v>
      </c>
      <c r="I2070" s="6">
        <v>11676</v>
      </c>
      <c r="J2070" s="6">
        <f>VLOOKUP(Table1[[#This Row],[Province]],[1]Sheet1!$A$3:$K$37,7,FALSE)</f>
        <v>5013700</v>
      </c>
      <c r="K2070">
        <v>0</v>
      </c>
      <c r="L2070" s="4">
        <v>8.6529330000000009</v>
      </c>
      <c r="M2070" s="4">
        <v>117.361648</v>
      </c>
      <c r="N2070" s="6"/>
      <c r="P2070"/>
      <c r="Q2070" s="12"/>
      <c r="R2070" s="12"/>
    </row>
    <row r="2071" spans="1:18" x14ac:dyDescent="0.2">
      <c r="A2071">
        <v>18</v>
      </c>
      <c r="B2071" t="s">
        <v>21</v>
      </c>
      <c r="C2071">
        <v>2015</v>
      </c>
      <c r="D2071">
        <v>6</v>
      </c>
      <c r="E2071" s="4">
        <v>0</v>
      </c>
      <c r="F2071" s="9">
        <v>0</v>
      </c>
      <c r="G2071" s="6">
        <v>5776</v>
      </c>
      <c r="H2071" s="9">
        <f t="shared" si="32"/>
        <v>0</v>
      </c>
      <c r="I2071" s="6">
        <v>12048</v>
      </c>
      <c r="J2071" s="6">
        <f>VLOOKUP(Table1[[#This Row],[Province]],[1]Sheet1!$A$3:$K$37,7,FALSE)</f>
        <v>5013700</v>
      </c>
      <c r="K2071">
        <v>1</v>
      </c>
      <c r="L2071" s="4">
        <v>8.6529330000000009</v>
      </c>
      <c r="M2071" s="4">
        <v>117.361648</v>
      </c>
      <c r="N2071" s="6"/>
      <c r="P2071"/>
      <c r="Q2071" s="12"/>
      <c r="R2071" s="12"/>
    </row>
    <row r="2072" spans="1:18" x14ac:dyDescent="0.2">
      <c r="A2072">
        <v>18</v>
      </c>
      <c r="B2072" t="s">
        <v>21</v>
      </c>
      <c r="C2072">
        <v>2015</v>
      </c>
      <c r="D2072">
        <v>7</v>
      </c>
      <c r="E2072" s="4">
        <v>0</v>
      </c>
      <c r="F2072" s="9">
        <v>0</v>
      </c>
      <c r="G2072" s="6">
        <v>3943</v>
      </c>
      <c r="H2072" s="9">
        <f t="shared" si="32"/>
        <v>0</v>
      </c>
      <c r="I2072" s="6">
        <v>12368</v>
      </c>
      <c r="J2072" s="6">
        <f>VLOOKUP(Table1[[#This Row],[Province]],[1]Sheet1!$A$3:$K$37,7,FALSE)</f>
        <v>5013700</v>
      </c>
      <c r="K2072">
        <v>0</v>
      </c>
      <c r="L2072" s="4">
        <v>8.6529330000000009</v>
      </c>
      <c r="M2072" s="4">
        <v>117.361648</v>
      </c>
      <c r="N2072" s="6"/>
      <c r="P2072"/>
      <c r="Q2072" s="12"/>
      <c r="R2072" s="12"/>
    </row>
    <row r="2073" spans="1:18" x14ac:dyDescent="0.2">
      <c r="A2073">
        <v>18</v>
      </c>
      <c r="B2073" t="s">
        <v>21</v>
      </c>
      <c r="C2073">
        <v>2015</v>
      </c>
      <c r="D2073">
        <v>8</v>
      </c>
      <c r="E2073" s="4">
        <v>0</v>
      </c>
      <c r="F2073" s="9">
        <v>0</v>
      </c>
      <c r="G2073" s="6">
        <v>3902</v>
      </c>
      <c r="H2073" s="9">
        <f t="shared" si="32"/>
        <v>0</v>
      </c>
      <c r="I2073" s="6">
        <v>12267</v>
      </c>
      <c r="J2073" s="6">
        <f>VLOOKUP(Table1[[#This Row],[Province]],[1]Sheet1!$A$3:$K$37,7,FALSE)</f>
        <v>5013700</v>
      </c>
      <c r="K2073">
        <v>0</v>
      </c>
      <c r="L2073" s="4">
        <v>8.6529330000000009</v>
      </c>
      <c r="M2073" s="4">
        <v>117.361648</v>
      </c>
      <c r="N2073" s="6"/>
      <c r="P2073"/>
      <c r="Q2073" s="12"/>
      <c r="R2073" s="12"/>
    </row>
    <row r="2074" spans="1:18" x14ac:dyDescent="0.2">
      <c r="A2074">
        <v>18</v>
      </c>
      <c r="B2074" t="s">
        <v>21</v>
      </c>
      <c r="C2074">
        <v>2015</v>
      </c>
      <c r="D2074">
        <v>9</v>
      </c>
      <c r="E2074" s="4">
        <v>0</v>
      </c>
      <c r="F2074" s="9">
        <v>0</v>
      </c>
      <c r="G2074" s="6">
        <v>5237</v>
      </c>
      <c r="H2074" s="9">
        <f t="shared" si="32"/>
        <v>0</v>
      </c>
      <c r="I2074" s="6">
        <v>12099</v>
      </c>
      <c r="J2074" s="6">
        <f>VLOOKUP(Table1[[#This Row],[Province]],[1]Sheet1!$A$3:$K$37,7,FALSE)</f>
        <v>5013700</v>
      </c>
      <c r="K2074">
        <v>0</v>
      </c>
      <c r="L2074" s="4">
        <v>8.6529330000000009</v>
      </c>
      <c r="M2074" s="4">
        <v>117.361648</v>
      </c>
      <c r="N2074" s="6"/>
      <c r="P2074"/>
      <c r="Q2074" s="12"/>
      <c r="R2074" s="12"/>
    </row>
    <row r="2075" spans="1:18" x14ac:dyDescent="0.2">
      <c r="A2075">
        <v>18</v>
      </c>
      <c r="B2075" t="s">
        <v>21</v>
      </c>
      <c r="C2075">
        <v>2015</v>
      </c>
      <c r="D2075">
        <v>10</v>
      </c>
      <c r="E2075" s="4">
        <v>0</v>
      </c>
      <c r="F2075" s="9">
        <v>0</v>
      </c>
      <c r="G2075" s="6">
        <v>3491</v>
      </c>
      <c r="H2075" s="9">
        <f t="shared" si="32"/>
        <v>0</v>
      </c>
      <c r="I2075" s="6">
        <v>12095</v>
      </c>
      <c r="J2075" s="6">
        <f>VLOOKUP(Table1[[#This Row],[Province]],[1]Sheet1!$A$3:$K$37,7,FALSE)</f>
        <v>5013700</v>
      </c>
      <c r="K2075">
        <v>0</v>
      </c>
      <c r="L2075" s="4">
        <v>8.6529330000000009</v>
      </c>
      <c r="M2075" s="4">
        <v>117.361648</v>
      </c>
      <c r="N2075" s="6"/>
      <c r="P2075"/>
      <c r="Q2075" s="12"/>
      <c r="R2075" s="12"/>
    </row>
    <row r="2076" spans="1:18" x14ac:dyDescent="0.2">
      <c r="A2076">
        <v>18</v>
      </c>
      <c r="B2076" t="s">
        <v>21</v>
      </c>
      <c r="C2076">
        <v>2015</v>
      </c>
      <c r="D2076">
        <v>11</v>
      </c>
      <c r="E2076" s="4">
        <v>0</v>
      </c>
      <c r="F2076" s="9">
        <v>0</v>
      </c>
      <c r="G2076" s="6">
        <v>4603</v>
      </c>
      <c r="H2076" s="9">
        <f t="shared" si="32"/>
        <v>0</v>
      </c>
      <c r="I2076" s="6">
        <v>12167</v>
      </c>
      <c r="J2076" s="6">
        <f>VLOOKUP(Table1[[#This Row],[Province]],[1]Sheet1!$A$3:$K$37,7,FALSE)</f>
        <v>5013700</v>
      </c>
      <c r="K2076">
        <v>0</v>
      </c>
      <c r="L2076" s="4">
        <v>8.6529330000000009</v>
      </c>
      <c r="M2076" s="4">
        <v>117.361648</v>
      </c>
      <c r="N2076" s="6"/>
      <c r="P2076"/>
      <c r="Q2076" s="12"/>
      <c r="R2076" s="12"/>
    </row>
    <row r="2077" spans="1:18" x14ac:dyDescent="0.2">
      <c r="A2077">
        <v>18</v>
      </c>
      <c r="B2077" t="s">
        <v>21</v>
      </c>
      <c r="C2077">
        <v>2015</v>
      </c>
      <c r="D2077">
        <v>12</v>
      </c>
      <c r="E2077" s="4">
        <v>0</v>
      </c>
      <c r="F2077" s="9">
        <v>0</v>
      </c>
      <c r="G2077" s="6">
        <v>4934</v>
      </c>
      <c r="H2077" s="9">
        <f t="shared" si="32"/>
        <v>0</v>
      </c>
      <c r="I2077" s="6">
        <v>12225</v>
      </c>
      <c r="J2077" s="6">
        <f>VLOOKUP(Table1[[#This Row],[Province]],[1]Sheet1!$A$3:$K$37,7,FALSE)</f>
        <v>5013700</v>
      </c>
      <c r="K2077">
        <v>1</v>
      </c>
      <c r="L2077" s="4">
        <v>8.6529330000000009</v>
      </c>
      <c r="M2077" s="4">
        <v>117.361648</v>
      </c>
      <c r="N2077" s="6"/>
      <c r="P2077"/>
      <c r="Q2077" s="12"/>
      <c r="R2077" s="12"/>
    </row>
    <row r="2078" spans="1:18" x14ac:dyDescent="0.2">
      <c r="A2078">
        <v>18</v>
      </c>
      <c r="B2078" t="s">
        <v>21</v>
      </c>
      <c r="C2078">
        <v>2016</v>
      </c>
      <c r="D2078">
        <v>1</v>
      </c>
      <c r="E2078" s="4">
        <v>0</v>
      </c>
      <c r="F2078" s="9">
        <v>0</v>
      </c>
      <c r="G2078" s="6">
        <v>4058</v>
      </c>
      <c r="H2078" s="9">
        <f t="shared" si="32"/>
        <v>0</v>
      </c>
      <c r="I2078" s="6">
        <v>12583</v>
      </c>
      <c r="J2078" s="6">
        <f>VLOOKUP(Table1[[#This Row],[Province]],[1]Sheet1!$A$3:$K$37,7,FALSE)</f>
        <v>5013700</v>
      </c>
      <c r="K2078">
        <v>0</v>
      </c>
      <c r="L2078" s="4">
        <v>8.6529330000000009</v>
      </c>
      <c r="M2078" s="4">
        <v>117.361648</v>
      </c>
      <c r="N2078" s="13">
        <v>5.81</v>
      </c>
      <c r="P2078"/>
      <c r="Q2078" s="12"/>
      <c r="R2078" s="12"/>
    </row>
    <row r="2079" spans="1:18" x14ac:dyDescent="0.2">
      <c r="A2079">
        <v>18</v>
      </c>
      <c r="B2079" t="s">
        <v>21</v>
      </c>
      <c r="C2079">
        <v>2016</v>
      </c>
      <c r="D2079">
        <v>2</v>
      </c>
      <c r="E2079" s="4">
        <v>0</v>
      </c>
      <c r="F2079" s="9">
        <v>0</v>
      </c>
      <c r="G2079" s="6">
        <v>4388</v>
      </c>
      <c r="H2079" s="9">
        <f t="shared" si="32"/>
        <v>0</v>
      </c>
      <c r="I2079" s="6">
        <v>12383</v>
      </c>
      <c r="J2079" s="6">
        <f>VLOOKUP(Table1[[#This Row],[Province]],[1]Sheet1!$A$3:$K$37,7,FALSE)</f>
        <v>5013700</v>
      </c>
      <c r="K2079">
        <v>0</v>
      </c>
      <c r="L2079" s="4">
        <v>8.6529330000000009</v>
      </c>
      <c r="M2079" s="4">
        <v>117.361648</v>
      </c>
      <c r="N2079" s="13">
        <v>5.81</v>
      </c>
      <c r="P2079"/>
      <c r="Q2079" s="12"/>
      <c r="R2079" s="12"/>
    </row>
    <row r="2080" spans="1:18" x14ac:dyDescent="0.2">
      <c r="A2080">
        <v>18</v>
      </c>
      <c r="B2080" t="s">
        <v>21</v>
      </c>
      <c r="C2080">
        <v>2016</v>
      </c>
      <c r="D2080">
        <v>3</v>
      </c>
      <c r="E2080" s="4">
        <v>0</v>
      </c>
      <c r="F2080" s="9">
        <v>0</v>
      </c>
      <c r="G2080" s="6">
        <v>5321</v>
      </c>
      <c r="H2080" s="9">
        <f t="shared" si="32"/>
        <v>0</v>
      </c>
      <c r="I2080" s="6">
        <v>12381</v>
      </c>
      <c r="J2080" s="6">
        <f>VLOOKUP(Table1[[#This Row],[Province]],[1]Sheet1!$A$3:$K$37,7,FALSE)</f>
        <v>5013700</v>
      </c>
      <c r="K2080">
        <v>0</v>
      </c>
      <c r="L2080" s="4">
        <v>8.6529330000000009</v>
      </c>
      <c r="M2080" s="4">
        <v>117.361648</v>
      </c>
      <c r="N2080" s="13">
        <v>5.81</v>
      </c>
      <c r="P2080"/>
      <c r="Q2080" s="12"/>
      <c r="R2080" s="12"/>
    </row>
    <row r="2081" spans="1:18" x14ac:dyDescent="0.2">
      <c r="A2081">
        <v>18</v>
      </c>
      <c r="B2081" t="s">
        <v>21</v>
      </c>
      <c r="C2081">
        <v>2016</v>
      </c>
      <c r="D2081">
        <v>4</v>
      </c>
      <c r="E2081" s="4">
        <v>0</v>
      </c>
      <c r="F2081" s="9">
        <v>0</v>
      </c>
      <c r="G2081" s="6">
        <v>4960</v>
      </c>
      <c r="H2081" s="9">
        <f t="shared" si="32"/>
        <v>0</v>
      </c>
      <c r="I2081" s="6">
        <v>12571</v>
      </c>
      <c r="J2081" s="6">
        <f>VLOOKUP(Table1[[#This Row],[Province]],[1]Sheet1!$A$3:$K$37,7,FALSE)</f>
        <v>5013700</v>
      </c>
      <c r="K2081">
        <v>0</v>
      </c>
      <c r="L2081" s="4">
        <v>8.6529330000000009</v>
      </c>
      <c r="M2081" s="4">
        <v>117.361648</v>
      </c>
      <c r="N2081" s="13">
        <v>5.81</v>
      </c>
      <c r="P2081"/>
      <c r="Q2081" s="12"/>
      <c r="R2081" s="12"/>
    </row>
    <row r="2082" spans="1:18" x14ac:dyDescent="0.2">
      <c r="A2082">
        <v>18</v>
      </c>
      <c r="B2082" t="s">
        <v>21</v>
      </c>
      <c r="C2082">
        <v>2016</v>
      </c>
      <c r="D2082">
        <v>5</v>
      </c>
      <c r="E2082" s="4">
        <v>0</v>
      </c>
      <c r="F2082" s="9">
        <v>0</v>
      </c>
      <c r="G2082" s="6">
        <v>5114</v>
      </c>
      <c r="H2082" s="9">
        <f t="shared" si="32"/>
        <v>0</v>
      </c>
      <c r="I2082" s="6">
        <v>15433</v>
      </c>
      <c r="J2082" s="6">
        <f>VLOOKUP(Table1[[#This Row],[Province]],[1]Sheet1!$A$3:$K$37,7,FALSE)</f>
        <v>5013700</v>
      </c>
      <c r="K2082">
        <v>0</v>
      </c>
      <c r="L2082" s="4">
        <v>8.6529330000000009</v>
      </c>
      <c r="M2082" s="4">
        <v>117.361648</v>
      </c>
      <c r="N2082" s="13">
        <v>5.81</v>
      </c>
      <c r="P2082"/>
      <c r="Q2082" s="12"/>
      <c r="R2082" s="12"/>
    </row>
    <row r="2083" spans="1:18" x14ac:dyDescent="0.2">
      <c r="A2083">
        <v>18</v>
      </c>
      <c r="B2083" t="s">
        <v>21</v>
      </c>
      <c r="C2083">
        <v>2016</v>
      </c>
      <c r="D2083">
        <v>6</v>
      </c>
      <c r="E2083" s="4">
        <v>0</v>
      </c>
      <c r="F2083" s="9">
        <v>0</v>
      </c>
      <c r="G2083" s="6">
        <v>5025</v>
      </c>
      <c r="H2083" s="9">
        <f t="shared" si="32"/>
        <v>0</v>
      </c>
      <c r="I2083" s="6">
        <v>16750</v>
      </c>
      <c r="J2083" s="6">
        <f>VLOOKUP(Table1[[#This Row],[Province]],[1]Sheet1!$A$3:$K$37,7,FALSE)</f>
        <v>5013700</v>
      </c>
      <c r="K2083">
        <v>1</v>
      </c>
      <c r="L2083" s="4">
        <v>8.6529330000000009</v>
      </c>
      <c r="M2083" s="4">
        <v>117.361648</v>
      </c>
      <c r="N2083" s="13">
        <v>5.81</v>
      </c>
      <c r="P2083"/>
      <c r="Q2083" s="12"/>
      <c r="R2083" s="12"/>
    </row>
    <row r="2084" spans="1:18" x14ac:dyDescent="0.2">
      <c r="A2084">
        <v>18</v>
      </c>
      <c r="B2084" t="s">
        <v>21</v>
      </c>
      <c r="C2084">
        <v>2016</v>
      </c>
      <c r="D2084">
        <v>7</v>
      </c>
      <c r="E2084" s="4">
        <v>794</v>
      </c>
      <c r="F2084" s="9">
        <v>0</v>
      </c>
      <c r="G2084" s="6">
        <v>4794</v>
      </c>
      <c r="H2084" s="9">
        <f t="shared" si="32"/>
        <v>794</v>
      </c>
      <c r="I2084" s="6">
        <v>16854</v>
      </c>
      <c r="J2084" s="6">
        <f>VLOOKUP(Table1[[#This Row],[Province]],[1]Sheet1!$A$3:$K$37,7,FALSE)</f>
        <v>5013700</v>
      </c>
      <c r="K2084">
        <v>0</v>
      </c>
      <c r="L2084" s="4">
        <v>8.6529330000000009</v>
      </c>
      <c r="M2084" s="4">
        <v>117.361648</v>
      </c>
      <c r="N2084" s="13">
        <v>5.81</v>
      </c>
      <c r="P2084"/>
      <c r="Q2084" s="12"/>
      <c r="R2084" s="12"/>
    </row>
    <row r="2085" spans="1:18" x14ac:dyDescent="0.2">
      <c r="A2085">
        <v>18</v>
      </c>
      <c r="B2085" t="s">
        <v>21</v>
      </c>
      <c r="C2085">
        <v>2016</v>
      </c>
      <c r="D2085">
        <v>8</v>
      </c>
      <c r="E2085" s="4">
        <v>818</v>
      </c>
      <c r="F2085" s="9">
        <v>0</v>
      </c>
      <c r="G2085" s="6">
        <v>4737</v>
      </c>
      <c r="H2085" s="9">
        <f t="shared" si="32"/>
        <v>818</v>
      </c>
      <c r="I2085" s="6">
        <v>15697</v>
      </c>
      <c r="J2085" s="6">
        <f>VLOOKUP(Table1[[#This Row],[Province]],[1]Sheet1!$A$3:$K$37,7,FALSE)</f>
        <v>5013700</v>
      </c>
      <c r="K2085">
        <v>0</v>
      </c>
      <c r="L2085" s="4">
        <v>8.6529330000000009</v>
      </c>
      <c r="M2085" s="4">
        <v>117.361648</v>
      </c>
      <c r="N2085" s="13">
        <v>5.81</v>
      </c>
      <c r="P2085"/>
      <c r="Q2085" s="12"/>
      <c r="R2085" s="12"/>
    </row>
    <row r="2086" spans="1:18" x14ac:dyDescent="0.2">
      <c r="A2086">
        <v>18</v>
      </c>
      <c r="B2086" t="s">
        <v>21</v>
      </c>
      <c r="C2086">
        <v>2016</v>
      </c>
      <c r="D2086">
        <v>9</v>
      </c>
      <c r="E2086" s="4">
        <v>864</v>
      </c>
      <c r="F2086" s="9">
        <v>0</v>
      </c>
      <c r="G2086" s="6">
        <v>1831</v>
      </c>
      <c r="H2086" s="9">
        <f t="shared" si="32"/>
        <v>864</v>
      </c>
      <c r="I2086" s="6">
        <v>14048</v>
      </c>
      <c r="J2086" s="6">
        <f>VLOOKUP(Table1[[#This Row],[Province]],[1]Sheet1!$A$3:$K$37,7,FALSE)</f>
        <v>5013700</v>
      </c>
      <c r="K2086">
        <v>0</v>
      </c>
      <c r="L2086" s="4">
        <v>8.6529330000000009</v>
      </c>
      <c r="M2086" s="4">
        <v>117.361648</v>
      </c>
      <c r="N2086" s="13">
        <v>5.81</v>
      </c>
      <c r="P2086"/>
      <c r="Q2086" s="12"/>
      <c r="R2086" s="12"/>
    </row>
    <row r="2087" spans="1:18" x14ac:dyDescent="0.2">
      <c r="A2087">
        <v>18</v>
      </c>
      <c r="B2087" t="s">
        <v>21</v>
      </c>
      <c r="C2087">
        <v>2016</v>
      </c>
      <c r="D2087">
        <v>10</v>
      </c>
      <c r="E2087" s="4">
        <v>1379</v>
      </c>
      <c r="F2087" s="9">
        <v>0</v>
      </c>
      <c r="G2087" s="6">
        <v>7998</v>
      </c>
      <c r="H2087" s="9">
        <f t="shared" si="32"/>
        <v>1379</v>
      </c>
      <c r="I2087" s="6">
        <v>13547</v>
      </c>
      <c r="J2087" s="6">
        <f>VLOOKUP(Table1[[#This Row],[Province]],[1]Sheet1!$A$3:$K$37,7,FALSE)</f>
        <v>5013700</v>
      </c>
      <c r="K2087">
        <v>0</v>
      </c>
      <c r="L2087" s="4">
        <v>8.6529330000000009</v>
      </c>
      <c r="M2087" s="4">
        <v>117.361648</v>
      </c>
      <c r="N2087" s="13">
        <v>5.81</v>
      </c>
      <c r="P2087"/>
      <c r="Q2087" s="12"/>
      <c r="R2087" s="12"/>
    </row>
    <row r="2088" spans="1:18" x14ac:dyDescent="0.2">
      <c r="A2088">
        <v>18</v>
      </c>
      <c r="B2088" t="s">
        <v>21</v>
      </c>
      <c r="C2088">
        <v>2016</v>
      </c>
      <c r="D2088">
        <v>11</v>
      </c>
      <c r="E2088" s="4">
        <v>1742</v>
      </c>
      <c r="F2088" s="9">
        <v>0</v>
      </c>
      <c r="G2088" s="6">
        <v>2265</v>
      </c>
      <c r="H2088" s="9">
        <f t="shared" si="32"/>
        <v>1742</v>
      </c>
      <c r="I2088" s="6">
        <v>13136</v>
      </c>
      <c r="J2088" s="6">
        <f>VLOOKUP(Table1[[#This Row],[Province]],[1]Sheet1!$A$3:$K$37,7,FALSE)</f>
        <v>5013700</v>
      </c>
      <c r="K2088">
        <v>0</v>
      </c>
      <c r="L2088" s="4">
        <v>8.6529330000000009</v>
      </c>
      <c r="M2088" s="4">
        <v>117.361648</v>
      </c>
      <c r="N2088" s="13">
        <v>5.81</v>
      </c>
      <c r="P2088"/>
      <c r="Q2088" s="12"/>
      <c r="R2088" s="12"/>
    </row>
    <row r="2089" spans="1:18" x14ac:dyDescent="0.2">
      <c r="A2089">
        <v>18</v>
      </c>
      <c r="B2089" t="s">
        <v>21</v>
      </c>
      <c r="C2089">
        <v>2016</v>
      </c>
      <c r="D2089">
        <v>12</v>
      </c>
      <c r="E2089" s="4">
        <v>1742</v>
      </c>
      <c r="F2089" s="9">
        <v>0</v>
      </c>
      <c r="G2089" s="6">
        <v>2266</v>
      </c>
      <c r="H2089" s="9">
        <f t="shared" si="32"/>
        <v>1742</v>
      </c>
      <c r="I2089" s="6">
        <v>13267</v>
      </c>
      <c r="J2089" s="6">
        <f>VLOOKUP(Table1[[#This Row],[Province]],[1]Sheet1!$A$3:$K$37,7,FALSE)</f>
        <v>5013700</v>
      </c>
      <c r="K2089">
        <v>1</v>
      </c>
      <c r="L2089" s="4">
        <v>8.6529330000000009</v>
      </c>
      <c r="M2089" s="4">
        <v>117.361648</v>
      </c>
      <c r="N2089" s="13">
        <v>5.81</v>
      </c>
      <c r="P2089"/>
      <c r="Q2089" s="12"/>
      <c r="R2089" s="12"/>
    </row>
    <row r="2090" spans="1:18" x14ac:dyDescent="0.2">
      <c r="A2090">
        <v>18</v>
      </c>
      <c r="B2090" t="s">
        <v>21</v>
      </c>
      <c r="C2090">
        <v>2017</v>
      </c>
      <c r="D2090">
        <v>1</v>
      </c>
      <c r="E2090" s="4">
        <v>0</v>
      </c>
      <c r="F2090" s="9">
        <v>0</v>
      </c>
      <c r="G2090" s="6">
        <v>4492</v>
      </c>
      <c r="H2090" s="9">
        <f t="shared" si="32"/>
        <v>0</v>
      </c>
      <c r="I2090" s="6">
        <v>13206</v>
      </c>
      <c r="J2090" s="6">
        <f>VLOOKUP(Table1[[#This Row],[Province]],[1]Sheet1!$A$3:$K$37,7,FALSE)</f>
        <v>5013700</v>
      </c>
      <c r="K2090">
        <v>0</v>
      </c>
      <c r="L2090" s="4">
        <v>8.6529330000000009</v>
      </c>
      <c r="M2090" s="4">
        <v>117.361648</v>
      </c>
      <c r="N2090" s="13">
        <v>0.09</v>
      </c>
      <c r="P2090"/>
      <c r="Q2090" s="12"/>
      <c r="R2090" s="12"/>
    </row>
    <row r="2091" spans="1:18" x14ac:dyDescent="0.2">
      <c r="A2091">
        <v>18</v>
      </c>
      <c r="B2091" t="s">
        <v>21</v>
      </c>
      <c r="C2091">
        <v>2017</v>
      </c>
      <c r="D2091">
        <v>2</v>
      </c>
      <c r="E2091" s="4">
        <v>0</v>
      </c>
      <c r="F2091" s="9">
        <v>0</v>
      </c>
      <c r="G2091" s="6">
        <v>2580</v>
      </c>
      <c r="H2091" s="9">
        <f t="shared" si="32"/>
        <v>0</v>
      </c>
      <c r="I2091" s="6">
        <v>12991</v>
      </c>
      <c r="J2091" s="6">
        <f>VLOOKUP(Table1[[#This Row],[Province]],[1]Sheet1!$A$3:$K$37,7,FALSE)</f>
        <v>5013700</v>
      </c>
      <c r="K2091">
        <v>0</v>
      </c>
      <c r="L2091" s="4">
        <v>8.6529330000000009</v>
      </c>
      <c r="M2091" s="4">
        <v>117.361648</v>
      </c>
      <c r="N2091" s="13">
        <v>0.09</v>
      </c>
      <c r="P2091"/>
      <c r="Q2091" s="12"/>
      <c r="R2091" s="12"/>
    </row>
    <row r="2092" spans="1:18" x14ac:dyDescent="0.2">
      <c r="A2092">
        <v>18</v>
      </c>
      <c r="B2092" t="s">
        <v>21</v>
      </c>
      <c r="C2092">
        <v>2017</v>
      </c>
      <c r="D2092">
        <v>3</v>
      </c>
      <c r="E2092" s="4">
        <v>0</v>
      </c>
      <c r="F2092" s="9">
        <v>0</v>
      </c>
      <c r="G2092" s="6">
        <v>2016</v>
      </c>
      <c r="H2092" s="9">
        <f t="shared" si="32"/>
        <v>0</v>
      </c>
      <c r="I2092" s="6">
        <v>12871</v>
      </c>
      <c r="J2092" s="6">
        <f>VLOOKUP(Table1[[#This Row],[Province]],[1]Sheet1!$A$3:$K$37,7,FALSE)</f>
        <v>5013700</v>
      </c>
      <c r="K2092">
        <v>0</v>
      </c>
      <c r="L2092" s="4">
        <v>8.6529330000000009</v>
      </c>
      <c r="M2092" s="4">
        <v>117.361648</v>
      </c>
      <c r="N2092" s="13">
        <v>0.09</v>
      </c>
      <c r="P2092"/>
      <c r="Q2092" s="12"/>
      <c r="R2092" s="12"/>
    </row>
    <row r="2093" spans="1:18" x14ac:dyDescent="0.2">
      <c r="A2093">
        <v>18</v>
      </c>
      <c r="B2093" t="s">
        <v>21</v>
      </c>
      <c r="C2093">
        <v>2017</v>
      </c>
      <c r="D2093">
        <v>4</v>
      </c>
      <c r="E2093" s="4">
        <v>866</v>
      </c>
      <c r="F2093" s="9">
        <v>0</v>
      </c>
      <c r="G2093" s="6">
        <v>1440</v>
      </c>
      <c r="H2093" s="9">
        <f t="shared" si="32"/>
        <v>866</v>
      </c>
      <c r="I2093" s="6">
        <v>12824</v>
      </c>
      <c r="J2093" s="6">
        <f>VLOOKUP(Table1[[#This Row],[Province]],[1]Sheet1!$A$3:$K$37,7,FALSE)</f>
        <v>5013700</v>
      </c>
      <c r="K2093">
        <v>0</v>
      </c>
      <c r="L2093" s="4">
        <v>8.6529330000000009</v>
      </c>
      <c r="M2093" s="4">
        <v>117.361648</v>
      </c>
      <c r="N2093" s="13">
        <v>0.09</v>
      </c>
      <c r="P2093"/>
      <c r="Q2093" s="12"/>
      <c r="R2093" s="12"/>
    </row>
    <row r="2094" spans="1:18" x14ac:dyDescent="0.2">
      <c r="A2094">
        <v>18</v>
      </c>
      <c r="B2094" t="s">
        <v>21</v>
      </c>
      <c r="C2094">
        <v>2017</v>
      </c>
      <c r="D2094">
        <v>5</v>
      </c>
      <c r="E2094" s="4">
        <v>877</v>
      </c>
      <c r="F2094" s="9">
        <v>0</v>
      </c>
      <c r="G2094" s="6">
        <v>1387</v>
      </c>
      <c r="H2094" s="9">
        <f t="shared" si="32"/>
        <v>877</v>
      </c>
      <c r="I2094" s="6">
        <v>12767</v>
      </c>
      <c r="J2094" s="6">
        <f>VLOOKUP(Table1[[#This Row],[Province]],[1]Sheet1!$A$3:$K$37,7,FALSE)</f>
        <v>5013700</v>
      </c>
      <c r="K2094">
        <v>1</v>
      </c>
      <c r="L2094" s="4">
        <v>8.6529330000000009</v>
      </c>
      <c r="M2094" s="4">
        <v>117.361648</v>
      </c>
      <c r="N2094" s="13">
        <v>0.09</v>
      </c>
      <c r="P2094"/>
      <c r="Q2094" s="12"/>
      <c r="R2094" s="12"/>
    </row>
    <row r="2095" spans="1:18" x14ac:dyDescent="0.2">
      <c r="A2095">
        <v>18</v>
      </c>
      <c r="B2095" t="s">
        <v>21</v>
      </c>
      <c r="C2095">
        <v>2017</v>
      </c>
      <c r="D2095">
        <v>6</v>
      </c>
      <c r="E2095" s="4">
        <v>908</v>
      </c>
      <c r="F2095" s="9">
        <v>0</v>
      </c>
      <c r="G2095" s="6">
        <v>2566</v>
      </c>
      <c r="H2095" s="9">
        <f t="shared" si="32"/>
        <v>908</v>
      </c>
      <c r="I2095" s="6">
        <v>12756</v>
      </c>
      <c r="J2095" s="6">
        <f>VLOOKUP(Table1[[#This Row],[Province]],[1]Sheet1!$A$3:$K$37,7,FALSE)</f>
        <v>5013700</v>
      </c>
      <c r="K2095">
        <v>0</v>
      </c>
      <c r="L2095" s="4">
        <v>8.6529330000000009</v>
      </c>
      <c r="M2095" s="4">
        <v>117.361648</v>
      </c>
      <c r="N2095" s="13">
        <v>0.09</v>
      </c>
      <c r="P2095"/>
      <c r="Q2095" s="12"/>
      <c r="R2095" s="12"/>
    </row>
    <row r="2096" spans="1:18" x14ac:dyDescent="0.2">
      <c r="A2096">
        <v>18</v>
      </c>
      <c r="B2096" t="s">
        <v>21</v>
      </c>
      <c r="C2096">
        <v>2017</v>
      </c>
      <c r="D2096">
        <v>7</v>
      </c>
      <c r="E2096" s="4">
        <v>1910</v>
      </c>
      <c r="F2096" s="9">
        <v>0</v>
      </c>
      <c r="G2096" s="6">
        <v>2857</v>
      </c>
      <c r="H2096" s="9">
        <f t="shared" si="32"/>
        <v>1910</v>
      </c>
      <c r="I2096" s="6">
        <v>12587</v>
      </c>
      <c r="J2096" s="6">
        <f>VLOOKUP(Table1[[#This Row],[Province]],[1]Sheet1!$A$3:$K$37,7,FALSE)</f>
        <v>5013700</v>
      </c>
      <c r="K2096">
        <v>0</v>
      </c>
      <c r="L2096" s="4">
        <v>8.6529330000000009</v>
      </c>
      <c r="M2096" s="4">
        <v>117.361648</v>
      </c>
      <c r="N2096" s="13">
        <v>0.09</v>
      </c>
      <c r="P2096"/>
      <c r="Q2096" s="12"/>
      <c r="R2096" s="12"/>
    </row>
    <row r="2097" spans="1:18" x14ac:dyDescent="0.2">
      <c r="A2097">
        <v>18</v>
      </c>
      <c r="B2097" t="s">
        <v>21</v>
      </c>
      <c r="C2097">
        <v>2017</v>
      </c>
      <c r="D2097">
        <v>8</v>
      </c>
      <c r="E2097" s="4">
        <v>1762</v>
      </c>
      <c r="F2097" s="9">
        <v>0</v>
      </c>
      <c r="G2097" s="6">
        <v>5476</v>
      </c>
      <c r="H2097" s="9">
        <f t="shared" si="32"/>
        <v>1762</v>
      </c>
      <c r="I2097" s="6">
        <v>12659</v>
      </c>
      <c r="J2097" s="6">
        <f>VLOOKUP(Table1[[#This Row],[Province]],[1]Sheet1!$A$3:$K$37,7,FALSE)</f>
        <v>5013700</v>
      </c>
      <c r="K2097">
        <v>0</v>
      </c>
      <c r="L2097" s="4">
        <v>8.6529330000000009</v>
      </c>
      <c r="M2097" s="4">
        <v>117.361648</v>
      </c>
      <c r="N2097" s="13">
        <v>0.09</v>
      </c>
      <c r="P2097"/>
      <c r="Q2097" s="12"/>
      <c r="R2097" s="12"/>
    </row>
    <row r="2098" spans="1:18" x14ac:dyDescent="0.2">
      <c r="A2098">
        <v>18</v>
      </c>
      <c r="B2098" t="s">
        <v>21</v>
      </c>
      <c r="C2098">
        <v>2017</v>
      </c>
      <c r="D2098">
        <v>9</v>
      </c>
      <c r="E2098" s="4">
        <v>2367</v>
      </c>
      <c r="F2098" s="9">
        <v>0</v>
      </c>
      <c r="G2098" s="6">
        <v>5307</v>
      </c>
      <c r="H2098" s="9">
        <f t="shared" si="32"/>
        <v>2367</v>
      </c>
      <c r="I2098" s="6">
        <v>12667</v>
      </c>
      <c r="J2098" s="6">
        <f>VLOOKUP(Table1[[#This Row],[Province]],[1]Sheet1!$A$3:$K$37,7,FALSE)</f>
        <v>5013700</v>
      </c>
      <c r="K2098">
        <v>0</v>
      </c>
      <c r="L2098" s="4">
        <v>8.6529330000000009</v>
      </c>
      <c r="M2098" s="4">
        <v>117.361648</v>
      </c>
      <c r="N2098" s="13">
        <v>0.09</v>
      </c>
      <c r="P2098"/>
      <c r="Q2098" s="12"/>
      <c r="R2098" s="12"/>
    </row>
    <row r="2099" spans="1:18" x14ac:dyDescent="0.2">
      <c r="A2099">
        <v>18</v>
      </c>
      <c r="B2099" t="s">
        <v>21</v>
      </c>
      <c r="C2099">
        <v>2017</v>
      </c>
      <c r="D2099">
        <v>10</v>
      </c>
      <c r="E2099" s="4">
        <v>2707</v>
      </c>
      <c r="F2099" s="9">
        <v>0</v>
      </c>
      <c r="G2099" s="6">
        <v>6888</v>
      </c>
      <c r="H2099" s="9">
        <f t="shared" si="32"/>
        <v>2707</v>
      </c>
      <c r="I2099" s="6">
        <v>12667</v>
      </c>
      <c r="J2099" s="6">
        <f>VLOOKUP(Table1[[#This Row],[Province]],[1]Sheet1!$A$3:$K$37,7,FALSE)</f>
        <v>5013700</v>
      </c>
      <c r="K2099">
        <v>0</v>
      </c>
      <c r="L2099" s="4">
        <v>8.6529330000000009</v>
      </c>
      <c r="M2099" s="4">
        <v>117.361648</v>
      </c>
      <c r="N2099" s="13">
        <v>0.09</v>
      </c>
      <c r="P2099"/>
      <c r="Q2099" s="12"/>
      <c r="R2099" s="12"/>
    </row>
    <row r="2100" spans="1:18" x14ac:dyDescent="0.2">
      <c r="A2100">
        <v>18</v>
      </c>
      <c r="B2100" t="s">
        <v>21</v>
      </c>
      <c r="C2100">
        <v>2017</v>
      </c>
      <c r="D2100">
        <v>11</v>
      </c>
      <c r="E2100" s="4">
        <v>0</v>
      </c>
      <c r="F2100" s="9">
        <v>0</v>
      </c>
      <c r="G2100" s="6">
        <v>1800</v>
      </c>
      <c r="H2100" s="9">
        <f t="shared" si="32"/>
        <v>0</v>
      </c>
      <c r="I2100" s="6">
        <v>12606</v>
      </c>
      <c r="J2100" s="6">
        <f>VLOOKUP(Table1[[#This Row],[Province]],[1]Sheet1!$A$3:$K$37,7,FALSE)</f>
        <v>5013700</v>
      </c>
      <c r="K2100">
        <v>0</v>
      </c>
      <c r="L2100" s="4">
        <v>8.6529330000000009</v>
      </c>
      <c r="M2100" s="4">
        <v>117.361648</v>
      </c>
      <c r="N2100" s="13">
        <v>0.09</v>
      </c>
      <c r="P2100"/>
      <c r="Q2100" s="12"/>
      <c r="R2100" s="12"/>
    </row>
    <row r="2101" spans="1:18" x14ac:dyDescent="0.2">
      <c r="A2101">
        <v>18</v>
      </c>
      <c r="B2101" t="s">
        <v>21</v>
      </c>
      <c r="C2101">
        <v>2017</v>
      </c>
      <c r="D2101">
        <v>12</v>
      </c>
      <c r="E2101" s="4">
        <v>0</v>
      </c>
      <c r="F2101" s="9">
        <v>0</v>
      </c>
      <c r="G2101" s="6">
        <v>3353</v>
      </c>
      <c r="H2101" s="9">
        <f t="shared" si="32"/>
        <v>0</v>
      </c>
      <c r="I2101" s="6">
        <v>12195</v>
      </c>
      <c r="J2101" s="6">
        <f>VLOOKUP(Table1[[#This Row],[Province]],[1]Sheet1!$A$3:$K$37,7,FALSE)</f>
        <v>5013700</v>
      </c>
      <c r="K2101">
        <v>1</v>
      </c>
      <c r="L2101" s="4">
        <v>8.6529330000000009</v>
      </c>
      <c r="M2101" s="4">
        <v>117.361648</v>
      </c>
      <c r="N2101" s="13">
        <v>0.09</v>
      </c>
      <c r="P2101"/>
      <c r="Q2101" s="12"/>
      <c r="R2101" s="12"/>
    </row>
    <row r="2102" spans="1:18" x14ac:dyDescent="0.2">
      <c r="A2102">
        <v>18</v>
      </c>
      <c r="B2102" t="s">
        <v>21</v>
      </c>
      <c r="C2102">
        <v>2018</v>
      </c>
      <c r="D2102">
        <v>1</v>
      </c>
      <c r="E2102" s="4">
        <v>0</v>
      </c>
      <c r="F2102" s="9">
        <v>0</v>
      </c>
      <c r="G2102" s="6">
        <v>5321</v>
      </c>
      <c r="H2102" s="9">
        <f t="shared" si="32"/>
        <v>0</v>
      </c>
      <c r="I2102" s="6">
        <v>15000</v>
      </c>
      <c r="J2102" s="6">
        <f>VLOOKUP(Table1[[#This Row],[Province]],[1]Sheet1!$A$3:$K$37,7,FALSE)</f>
        <v>5013700</v>
      </c>
      <c r="K2102">
        <v>0</v>
      </c>
      <c r="L2102" s="4">
        <v>8.6529330000000009</v>
      </c>
      <c r="M2102" s="4">
        <v>117.361648</v>
      </c>
      <c r="N2102" s="13">
        <v>-4.5</v>
      </c>
      <c r="P2102"/>
      <c r="Q2102" s="12"/>
      <c r="R2102" s="12"/>
    </row>
    <row r="2103" spans="1:18" x14ac:dyDescent="0.2">
      <c r="A2103">
        <v>18</v>
      </c>
      <c r="B2103" t="s">
        <v>21</v>
      </c>
      <c r="C2103">
        <v>2018</v>
      </c>
      <c r="D2103">
        <v>2</v>
      </c>
      <c r="E2103" s="4">
        <v>0</v>
      </c>
      <c r="F2103" s="9">
        <v>0</v>
      </c>
      <c r="G2103" s="6">
        <v>4331</v>
      </c>
      <c r="H2103" s="9">
        <f t="shared" si="32"/>
        <v>0</v>
      </c>
      <c r="I2103" s="6">
        <v>15000</v>
      </c>
      <c r="J2103" s="6">
        <f>VLOOKUP(Table1[[#This Row],[Province]],[1]Sheet1!$A$3:$K$37,7,FALSE)</f>
        <v>5013700</v>
      </c>
      <c r="K2103">
        <v>0</v>
      </c>
      <c r="L2103" s="4">
        <v>8.6529330000000009</v>
      </c>
      <c r="M2103" s="4">
        <v>117.361648</v>
      </c>
      <c r="N2103" s="13">
        <v>-4.5</v>
      </c>
      <c r="P2103"/>
      <c r="Q2103" s="12"/>
      <c r="R2103" s="12"/>
    </row>
    <row r="2104" spans="1:18" x14ac:dyDescent="0.2">
      <c r="A2104">
        <v>18</v>
      </c>
      <c r="B2104" t="s">
        <v>21</v>
      </c>
      <c r="C2104">
        <v>2018</v>
      </c>
      <c r="D2104">
        <v>3</v>
      </c>
      <c r="E2104" s="4">
        <v>0</v>
      </c>
      <c r="F2104" s="9">
        <v>0</v>
      </c>
      <c r="G2104" s="6">
        <v>4420</v>
      </c>
      <c r="H2104" s="9">
        <f t="shared" si="32"/>
        <v>0</v>
      </c>
      <c r="I2104" s="6">
        <v>13714</v>
      </c>
      <c r="J2104" s="6">
        <f>VLOOKUP(Table1[[#This Row],[Province]],[1]Sheet1!$A$3:$K$37,7,FALSE)</f>
        <v>5013700</v>
      </c>
      <c r="K2104">
        <v>0</v>
      </c>
      <c r="L2104" s="4">
        <v>8.6529330000000009</v>
      </c>
      <c r="M2104" s="4">
        <v>117.361648</v>
      </c>
      <c r="N2104" s="13">
        <v>-4.5</v>
      </c>
      <c r="P2104"/>
      <c r="Q2104" s="12"/>
      <c r="R2104" s="12"/>
    </row>
    <row r="2105" spans="1:18" x14ac:dyDescent="0.2">
      <c r="A2105">
        <v>18</v>
      </c>
      <c r="B2105" t="s">
        <v>21</v>
      </c>
      <c r="C2105">
        <v>2018</v>
      </c>
      <c r="D2105">
        <v>4</v>
      </c>
      <c r="E2105" s="4">
        <v>373</v>
      </c>
      <c r="F2105" s="9">
        <v>0</v>
      </c>
      <c r="G2105" s="6">
        <v>5114</v>
      </c>
      <c r="H2105" s="9">
        <f t="shared" si="32"/>
        <v>373</v>
      </c>
      <c r="I2105" s="6">
        <v>12500</v>
      </c>
      <c r="J2105" s="6">
        <f>VLOOKUP(Table1[[#This Row],[Province]],[1]Sheet1!$A$3:$K$37,7,FALSE)</f>
        <v>5013700</v>
      </c>
      <c r="K2105">
        <v>0</v>
      </c>
      <c r="L2105" s="4">
        <v>8.6529330000000009</v>
      </c>
      <c r="M2105" s="4">
        <v>117.361648</v>
      </c>
      <c r="N2105" s="13">
        <v>-4.5</v>
      </c>
      <c r="P2105"/>
      <c r="Q2105" s="12"/>
      <c r="R2105" s="12"/>
    </row>
    <row r="2106" spans="1:18" x14ac:dyDescent="0.2">
      <c r="A2106">
        <v>18</v>
      </c>
      <c r="B2106" t="s">
        <v>21</v>
      </c>
      <c r="C2106">
        <v>2018</v>
      </c>
      <c r="D2106">
        <v>5</v>
      </c>
      <c r="E2106" s="4">
        <v>431</v>
      </c>
      <c r="F2106" s="9">
        <v>0</v>
      </c>
      <c r="G2106" s="6">
        <v>4854</v>
      </c>
      <c r="H2106" s="9">
        <f t="shared" si="32"/>
        <v>431</v>
      </c>
      <c r="I2106" s="6">
        <v>12040</v>
      </c>
      <c r="J2106" s="6">
        <f>VLOOKUP(Table1[[#This Row],[Province]],[1]Sheet1!$A$3:$K$37,7,FALSE)</f>
        <v>5013700</v>
      </c>
      <c r="K2106">
        <v>1</v>
      </c>
      <c r="L2106" s="4">
        <v>8.6529330000000009</v>
      </c>
      <c r="M2106" s="4">
        <v>117.361648</v>
      </c>
      <c r="N2106" s="13">
        <v>-4.5</v>
      </c>
      <c r="P2106"/>
      <c r="Q2106" s="12"/>
      <c r="R2106" s="12"/>
    </row>
    <row r="2107" spans="1:18" x14ac:dyDescent="0.2">
      <c r="A2107">
        <v>18</v>
      </c>
      <c r="B2107" t="s">
        <v>21</v>
      </c>
      <c r="C2107">
        <v>2018</v>
      </c>
      <c r="D2107">
        <v>6</v>
      </c>
      <c r="E2107" s="4">
        <v>571</v>
      </c>
      <c r="F2107" s="9">
        <v>0</v>
      </c>
      <c r="G2107" s="6">
        <v>7677</v>
      </c>
      <c r="H2107" s="9">
        <f t="shared" si="32"/>
        <v>571</v>
      </c>
      <c r="I2107" s="6">
        <v>12000</v>
      </c>
      <c r="J2107" s="6">
        <f>VLOOKUP(Table1[[#This Row],[Province]],[1]Sheet1!$A$3:$K$37,7,FALSE)</f>
        <v>5013700</v>
      </c>
      <c r="K2107">
        <v>0</v>
      </c>
      <c r="L2107" s="4">
        <v>8.6529330000000009</v>
      </c>
      <c r="M2107" s="4">
        <v>117.361648</v>
      </c>
      <c r="N2107" s="13">
        <v>-4.5</v>
      </c>
      <c r="P2107"/>
      <c r="Q2107" s="12"/>
      <c r="R2107" s="12"/>
    </row>
    <row r="2108" spans="1:18" x14ac:dyDescent="0.2">
      <c r="A2108">
        <v>18</v>
      </c>
      <c r="B2108" t="s">
        <v>21</v>
      </c>
      <c r="C2108">
        <v>2018</v>
      </c>
      <c r="D2108">
        <v>7</v>
      </c>
      <c r="E2108" s="4">
        <v>0</v>
      </c>
      <c r="F2108" s="9">
        <v>0</v>
      </c>
      <c r="G2108" s="6">
        <v>3105</v>
      </c>
      <c r="H2108" s="9">
        <f t="shared" si="32"/>
        <v>0</v>
      </c>
      <c r="I2108" s="6">
        <v>12000</v>
      </c>
      <c r="J2108" s="6">
        <f>VLOOKUP(Table1[[#This Row],[Province]],[1]Sheet1!$A$3:$K$37,7,FALSE)</f>
        <v>5013700</v>
      </c>
      <c r="K2108">
        <v>0</v>
      </c>
      <c r="L2108" s="4">
        <v>8.6529330000000009</v>
      </c>
      <c r="M2108" s="4">
        <v>117.361648</v>
      </c>
      <c r="N2108" s="13">
        <v>-4.5</v>
      </c>
      <c r="P2108"/>
      <c r="Q2108" s="12"/>
      <c r="R2108" s="12"/>
    </row>
    <row r="2109" spans="1:18" x14ac:dyDescent="0.2">
      <c r="A2109">
        <v>18</v>
      </c>
      <c r="B2109" t="s">
        <v>21</v>
      </c>
      <c r="C2109">
        <v>2018</v>
      </c>
      <c r="D2109">
        <v>8</v>
      </c>
      <c r="E2109" s="4">
        <v>0</v>
      </c>
      <c r="F2109" s="9">
        <v>0</v>
      </c>
      <c r="G2109" s="6">
        <v>4649</v>
      </c>
      <c r="H2109" s="9">
        <f t="shared" si="32"/>
        <v>0</v>
      </c>
      <c r="I2109" s="6">
        <v>12000</v>
      </c>
      <c r="J2109" s="6">
        <f>VLOOKUP(Table1[[#This Row],[Province]],[1]Sheet1!$A$3:$K$37,7,FALSE)</f>
        <v>5013700</v>
      </c>
      <c r="K2109">
        <v>0</v>
      </c>
      <c r="L2109" s="4">
        <v>8.6529330000000009</v>
      </c>
      <c r="M2109" s="4">
        <v>117.361648</v>
      </c>
      <c r="N2109" s="13">
        <v>-4.5</v>
      </c>
      <c r="P2109"/>
      <c r="Q2109" s="12"/>
      <c r="R2109" s="12"/>
    </row>
    <row r="2110" spans="1:18" x14ac:dyDescent="0.2">
      <c r="A2110">
        <v>18</v>
      </c>
      <c r="B2110" t="s">
        <v>21</v>
      </c>
      <c r="C2110">
        <v>2018</v>
      </c>
      <c r="D2110">
        <v>9</v>
      </c>
      <c r="E2110" s="4">
        <v>0</v>
      </c>
      <c r="F2110" s="9">
        <v>0</v>
      </c>
      <c r="G2110" s="6">
        <v>5415</v>
      </c>
      <c r="H2110" s="9">
        <f t="shared" si="32"/>
        <v>0</v>
      </c>
      <c r="I2110" s="6">
        <v>12000</v>
      </c>
      <c r="J2110" s="6">
        <f>VLOOKUP(Table1[[#This Row],[Province]],[1]Sheet1!$A$3:$K$37,7,FALSE)</f>
        <v>5013700</v>
      </c>
      <c r="K2110">
        <v>0</v>
      </c>
      <c r="L2110" s="4">
        <v>8.6529330000000009</v>
      </c>
      <c r="M2110" s="4">
        <v>117.361648</v>
      </c>
      <c r="N2110" s="13">
        <v>-4.5</v>
      </c>
      <c r="P2110"/>
      <c r="Q2110" s="12"/>
      <c r="R2110" s="12"/>
    </row>
    <row r="2111" spans="1:18" x14ac:dyDescent="0.2">
      <c r="A2111">
        <v>18</v>
      </c>
      <c r="B2111" t="s">
        <v>21</v>
      </c>
      <c r="C2111">
        <v>2018</v>
      </c>
      <c r="D2111">
        <v>10</v>
      </c>
      <c r="E2111" s="4">
        <v>0</v>
      </c>
      <c r="F2111" s="9">
        <v>0</v>
      </c>
      <c r="G2111" s="6">
        <v>4740</v>
      </c>
      <c r="H2111" s="9">
        <f t="shared" si="32"/>
        <v>0</v>
      </c>
      <c r="I2111" s="6">
        <v>11979</v>
      </c>
      <c r="J2111" s="6">
        <f>VLOOKUP(Table1[[#This Row],[Province]],[1]Sheet1!$A$3:$K$37,7,FALSE)</f>
        <v>5013700</v>
      </c>
      <c r="K2111">
        <v>0</v>
      </c>
      <c r="L2111" s="4">
        <v>8.6529330000000009</v>
      </c>
      <c r="M2111" s="4">
        <v>117.361648</v>
      </c>
      <c r="N2111" s="13">
        <v>-4.5</v>
      </c>
      <c r="P2111"/>
      <c r="Q2111" s="12"/>
      <c r="R2111" s="12"/>
    </row>
    <row r="2112" spans="1:18" x14ac:dyDescent="0.2">
      <c r="A2112">
        <v>18</v>
      </c>
      <c r="B2112" t="s">
        <v>21</v>
      </c>
      <c r="C2112">
        <v>2018</v>
      </c>
      <c r="D2112">
        <v>11</v>
      </c>
      <c r="E2112" s="4">
        <v>0</v>
      </c>
      <c r="F2112" s="9">
        <v>0</v>
      </c>
      <c r="G2112" s="6">
        <v>6158</v>
      </c>
      <c r="H2112" s="9">
        <f t="shared" si="32"/>
        <v>0</v>
      </c>
      <c r="I2112" s="6">
        <v>12000</v>
      </c>
      <c r="J2112" s="6">
        <f>VLOOKUP(Table1[[#This Row],[Province]],[1]Sheet1!$A$3:$K$37,7,FALSE)</f>
        <v>5013700</v>
      </c>
      <c r="K2112">
        <v>0</v>
      </c>
      <c r="L2112" s="4">
        <v>8.6529330000000009</v>
      </c>
      <c r="M2112" s="4">
        <v>117.361648</v>
      </c>
      <c r="N2112" s="13">
        <v>-4.5</v>
      </c>
      <c r="P2112"/>
      <c r="Q2112" s="12"/>
      <c r="R2112" s="12"/>
    </row>
    <row r="2113" spans="1:18" x14ac:dyDescent="0.2">
      <c r="A2113">
        <v>18</v>
      </c>
      <c r="B2113" t="s">
        <v>21</v>
      </c>
      <c r="C2113">
        <v>2018</v>
      </c>
      <c r="D2113">
        <v>12</v>
      </c>
      <c r="E2113" s="4">
        <v>0</v>
      </c>
      <c r="F2113" s="9">
        <v>0</v>
      </c>
      <c r="G2113" s="6">
        <v>6500</v>
      </c>
      <c r="H2113" s="9">
        <f t="shared" si="32"/>
        <v>0</v>
      </c>
      <c r="I2113" s="6">
        <v>11754</v>
      </c>
      <c r="J2113" s="6">
        <f>VLOOKUP(Table1[[#This Row],[Province]],[1]Sheet1!$A$3:$K$37,7,FALSE)</f>
        <v>5013700</v>
      </c>
      <c r="K2113">
        <v>1</v>
      </c>
      <c r="L2113" s="4">
        <v>8.6529330000000009</v>
      </c>
      <c r="M2113" s="4">
        <v>117.361648</v>
      </c>
      <c r="N2113" s="13">
        <v>-4.5</v>
      </c>
      <c r="P2113"/>
      <c r="Q2113" s="12"/>
      <c r="R2113" s="12"/>
    </row>
    <row r="2114" spans="1:18" x14ac:dyDescent="0.2">
      <c r="A2114">
        <v>18</v>
      </c>
      <c r="B2114" t="s">
        <v>21</v>
      </c>
      <c r="C2114">
        <v>2019</v>
      </c>
      <c r="D2114">
        <v>1</v>
      </c>
      <c r="E2114" s="4">
        <v>0</v>
      </c>
      <c r="F2114" s="9">
        <v>0</v>
      </c>
      <c r="G2114" s="6">
        <v>3147</v>
      </c>
      <c r="H2114" s="9">
        <f t="shared" ref="H2114:H2177" si="33">F2114+E2114</f>
        <v>0</v>
      </c>
      <c r="I2114" s="6">
        <v>11411</v>
      </c>
      <c r="J2114" s="6">
        <f>VLOOKUP(Table1[[#This Row],[Province]],[1]Sheet1!$A$3:$K$37,7,FALSE)</f>
        <v>5013700</v>
      </c>
      <c r="K2114">
        <v>0</v>
      </c>
      <c r="L2114" s="4">
        <v>8.6529330000000009</v>
      </c>
      <c r="M2114" s="4">
        <v>117.361648</v>
      </c>
      <c r="N2114" s="13">
        <v>3.9</v>
      </c>
      <c r="P2114"/>
      <c r="Q2114" s="12"/>
      <c r="R2114" s="12"/>
    </row>
    <row r="2115" spans="1:18" x14ac:dyDescent="0.2">
      <c r="A2115">
        <v>18</v>
      </c>
      <c r="B2115" t="s">
        <v>21</v>
      </c>
      <c r="C2115">
        <v>2019</v>
      </c>
      <c r="D2115">
        <v>2</v>
      </c>
      <c r="E2115" s="4">
        <v>0</v>
      </c>
      <c r="F2115" s="9">
        <v>0</v>
      </c>
      <c r="G2115" s="6">
        <v>3701</v>
      </c>
      <c r="H2115" s="9">
        <f t="shared" si="33"/>
        <v>0</v>
      </c>
      <c r="I2115" s="6">
        <v>11472</v>
      </c>
      <c r="J2115" s="6">
        <f>VLOOKUP(Table1[[#This Row],[Province]],[1]Sheet1!$A$3:$K$37,7,FALSE)</f>
        <v>5013700</v>
      </c>
      <c r="K2115">
        <v>0</v>
      </c>
      <c r="L2115" s="4">
        <v>8.6529330000000009</v>
      </c>
      <c r="M2115" s="4">
        <v>117.361648</v>
      </c>
      <c r="N2115" s="13">
        <v>3.9</v>
      </c>
      <c r="P2115"/>
      <c r="Q2115" s="12"/>
      <c r="R2115" s="12"/>
    </row>
    <row r="2116" spans="1:18" x14ac:dyDescent="0.2">
      <c r="A2116">
        <v>18</v>
      </c>
      <c r="B2116" t="s">
        <v>21</v>
      </c>
      <c r="C2116">
        <v>2019</v>
      </c>
      <c r="D2116">
        <v>3</v>
      </c>
      <c r="E2116" s="4">
        <v>0</v>
      </c>
      <c r="F2116" s="9">
        <v>0</v>
      </c>
      <c r="G2116" s="6">
        <v>5175</v>
      </c>
      <c r="H2116" s="9">
        <f t="shared" si="33"/>
        <v>0</v>
      </c>
      <c r="I2116" s="6">
        <v>11468</v>
      </c>
      <c r="J2116" s="6">
        <f>VLOOKUP(Table1[[#This Row],[Province]],[1]Sheet1!$A$3:$K$37,7,FALSE)</f>
        <v>5013700</v>
      </c>
      <c r="K2116">
        <v>0</v>
      </c>
      <c r="L2116" s="4">
        <v>8.6529330000000009</v>
      </c>
      <c r="M2116" s="4">
        <v>117.361648</v>
      </c>
      <c r="N2116" s="13">
        <v>3.9</v>
      </c>
      <c r="P2116"/>
      <c r="Q2116" s="12"/>
      <c r="R2116" s="12"/>
    </row>
    <row r="2117" spans="1:18" x14ac:dyDescent="0.2">
      <c r="A2117">
        <v>18</v>
      </c>
      <c r="B2117" t="s">
        <v>21</v>
      </c>
      <c r="C2117">
        <v>2019</v>
      </c>
      <c r="D2117">
        <v>4</v>
      </c>
      <c r="E2117" s="4">
        <v>0</v>
      </c>
      <c r="F2117" s="9">
        <v>0</v>
      </c>
      <c r="G2117" s="6">
        <v>4576</v>
      </c>
      <c r="H2117" s="9">
        <f t="shared" si="33"/>
        <v>0</v>
      </c>
      <c r="I2117" s="6">
        <v>11910</v>
      </c>
      <c r="J2117" s="6">
        <f>VLOOKUP(Table1[[#This Row],[Province]],[1]Sheet1!$A$3:$K$37,7,FALSE)</f>
        <v>5013700</v>
      </c>
      <c r="K2117">
        <v>0</v>
      </c>
      <c r="L2117" s="4">
        <v>8.6529330000000009</v>
      </c>
      <c r="M2117" s="4">
        <v>117.361648</v>
      </c>
      <c r="N2117" s="13">
        <v>3.9</v>
      </c>
      <c r="P2117"/>
      <c r="Q2117" s="12"/>
      <c r="R2117" s="12"/>
    </row>
    <row r="2118" spans="1:18" x14ac:dyDescent="0.2">
      <c r="A2118">
        <v>18</v>
      </c>
      <c r="B2118" t="s">
        <v>21</v>
      </c>
      <c r="C2118">
        <v>2019</v>
      </c>
      <c r="D2118">
        <v>5</v>
      </c>
      <c r="E2118" s="4">
        <v>0</v>
      </c>
      <c r="F2118" s="9">
        <v>0</v>
      </c>
      <c r="G2118" s="6">
        <v>2857</v>
      </c>
      <c r="H2118" s="9">
        <f t="shared" si="33"/>
        <v>0</v>
      </c>
      <c r="I2118" s="6">
        <v>13122</v>
      </c>
      <c r="J2118" s="6">
        <f>VLOOKUP(Table1[[#This Row],[Province]],[1]Sheet1!$A$3:$K$37,7,FALSE)</f>
        <v>5013700</v>
      </c>
      <c r="K2118">
        <v>1</v>
      </c>
      <c r="L2118" s="4">
        <v>8.6529330000000009</v>
      </c>
      <c r="M2118" s="4">
        <v>117.361648</v>
      </c>
      <c r="N2118" s="13">
        <v>3.9</v>
      </c>
      <c r="P2118"/>
      <c r="Q2118" s="12"/>
      <c r="R2118" s="12"/>
    </row>
    <row r="2119" spans="1:18" x14ac:dyDescent="0.2">
      <c r="A2119">
        <v>18</v>
      </c>
      <c r="B2119" t="s">
        <v>21</v>
      </c>
      <c r="C2119">
        <v>2019</v>
      </c>
      <c r="D2119">
        <v>5</v>
      </c>
      <c r="E2119" s="4">
        <v>0</v>
      </c>
      <c r="F2119" s="9">
        <v>0</v>
      </c>
      <c r="G2119" s="6">
        <v>4192</v>
      </c>
      <c r="H2119" s="9">
        <f t="shared" si="33"/>
        <v>0</v>
      </c>
      <c r="I2119" s="6">
        <v>14788</v>
      </c>
      <c r="J2119" s="6">
        <f>VLOOKUP(Table1[[#This Row],[Province]],[1]Sheet1!$A$3:$K$37,7,FALSE)</f>
        <v>5013700</v>
      </c>
      <c r="K2119">
        <v>1</v>
      </c>
      <c r="L2119" s="4">
        <v>8.6529330000000009</v>
      </c>
      <c r="M2119" s="4">
        <v>117.361648</v>
      </c>
      <c r="N2119" s="13">
        <v>3.9</v>
      </c>
      <c r="P2119"/>
      <c r="Q2119" s="12"/>
      <c r="R2119" s="12"/>
    </row>
    <row r="2120" spans="1:18" x14ac:dyDescent="0.2">
      <c r="A2120">
        <v>18</v>
      </c>
      <c r="B2120" t="s">
        <v>21</v>
      </c>
      <c r="C2120">
        <v>2019</v>
      </c>
      <c r="D2120">
        <v>6</v>
      </c>
      <c r="E2120" s="4">
        <v>1219</v>
      </c>
      <c r="F2120" s="9">
        <v>0</v>
      </c>
      <c r="G2120" s="6">
        <v>3311</v>
      </c>
      <c r="H2120" s="9">
        <f t="shared" si="33"/>
        <v>1219</v>
      </c>
      <c r="I2120" s="6">
        <v>13338</v>
      </c>
      <c r="J2120" s="6">
        <f>VLOOKUP(Table1[[#This Row],[Province]],[1]Sheet1!$A$3:$K$37,7,FALSE)</f>
        <v>5013700</v>
      </c>
      <c r="K2120">
        <v>0</v>
      </c>
      <c r="L2120" s="4">
        <v>8.6529330000000009</v>
      </c>
      <c r="M2120" s="4">
        <v>117.361648</v>
      </c>
      <c r="N2120" s="13">
        <v>3.9</v>
      </c>
      <c r="P2120"/>
      <c r="Q2120" s="12"/>
      <c r="R2120" s="12"/>
    </row>
    <row r="2121" spans="1:18" x14ac:dyDescent="0.2">
      <c r="A2121">
        <v>18</v>
      </c>
      <c r="B2121" t="s">
        <v>21</v>
      </c>
      <c r="C2121">
        <v>2019</v>
      </c>
      <c r="D2121">
        <v>7</v>
      </c>
      <c r="E2121" s="4">
        <v>883</v>
      </c>
      <c r="F2121" s="9">
        <v>0</v>
      </c>
      <c r="G2121" s="6">
        <v>2696</v>
      </c>
      <c r="H2121" s="9">
        <f t="shared" si="33"/>
        <v>883</v>
      </c>
      <c r="I2121" s="6">
        <v>13225</v>
      </c>
      <c r="J2121" s="6">
        <f>VLOOKUP(Table1[[#This Row],[Province]],[1]Sheet1!$A$3:$K$37,7,FALSE)</f>
        <v>5013700</v>
      </c>
      <c r="K2121">
        <v>0</v>
      </c>
      <c r="L2121" s="4">
        <v>8.6529330000000009</v>
      </c>
      <c r="M2121" s="4">
        <v>117.361648</v>
      </c>
      <c r="N2121" s="13">
        <v>3.9</v>
      </c>
      <c r="P2121"/>
      <c r="Q2121" s="12"/>
      <c r="R2121" s="12"/>
    </row>
    <row r="2122" spans="1:18" x14ac:dyDescent="0.2">
      <c r="A2122">
        <v>18</v>
      </c>
      <c r="B2122" t="s">
        <v>21</v>
      </c>
      <c r="C2122">
        <v>2019</v>
      </c>
      <c r="D2122">
        <v>9</v>
      </c>
      <c r="E2122" s="4">
        <v>0</v>
      </c>
      <c r="F2122" s="9">
        <v>0</v>
      </c>
      <c r="G2122" s="6">
        <v>3513</v>
      </c>
      <c r="H2122" s="9">
        <f t="shared" si="33"/>
        <v>0</v>
      </c>
      <c r="I2122" s="6">
        <v>13010</v>
      </c>
      <c r="J2122" s="6">
        <f>VLOOKUP(Table1[[#This Row],[Province]],[1]Sheet1!$A$3:$K$37,7,FALSE)</f>
        <v>5013700</v>
      </c>
      <c r="K2122">
        <v>0</v>
      </c>
      <c r="L2122" s="4">
        <v>8.6529330000000009</v>
      </c>
      <c r="M2122" s="4">
        <v>117.361648</v>
      </c>
      <c r="N2122" s="13">
        <v>3.9</v>
      </c>
      <c r="P2122"/>
      <c r="Q2122" s="12"/>
      <c r="R2122" s="12"/>
    </row>
    <row r="2123" spans="1:18" x14ac:dyDescent="0.2">
      <c r="A2123">
        <v>18</v>
      </c>
      <c r="B2123" t="s">
        <v>21</v>
      </c>
      <c r="C2123">
        <v>2019</v>
      </c>
      <c r="D2123">
        <v>10</v>
      </c>
      <c r="E2123" s="4">
        <v>0</v>
      </c>
      <c r="F2123" s="9">
        <v>0</v>
      </c>
      <c r="G2123" s="6">
        <v>2591</v>
      </c>
      <c r="H2123" s="9">
        <f t="shared" si="33"/>
        <v>0</v>
      </c>
      <c r="I2123" s="6">
        <v>12992</v>
      </c>
      <c r="J2123" s="6">
        <f>VLOOKUP(Table1[[#This Row],[Province]],[1]Sheet1!$A$3:$K$37,7,FALSE)</f>
        <v>5013700</v>
      </c>
      <c r="K2123">
        <v>0</v>
      </c>
      <c r="L2123" s="4">
        <v>8.6529330000000009</v>
      </c>
      <c r="M2123" s="4">
        <v>117.361648</v>
      </c>
      <c r="N2123" s="13">
        <v>3.9</v>
      </c>
      <c r="P2123"/>
      <c r="Q2123" s="12"/>
      <c r="R2123" s="12"/>
    </row>
    <row r="2124" spans="1:18" x14ac:dyDescent="0.2">
      <c r="A2124">
        <v>18</v>
      </c>
      <c r="B2124" t="s">
        <v>21</v>
      </c>
      <c r="C2124">
        <v>2019</v>
      </c>
      <c r="D2124">
        <v>11</v>
      </c>
      <c r="E2124" s="4">
        <v>0</v>
      </c>
      <c r="F2124" s="9">
        <v>0</v>
      </c>
      <c r="G2124" s="6">
        <v>3115</v>
      </c>
      <c r="H2124" s="9">
        <f t="shared" si="33"/>
        <v>0</v>
      </c>
      <c r="I2124" s="6">
        <v>12982</v>
      </c>
      <c r="J2124" s="6">
        <f>VLOOKUP(Table1[[#This Row],[Province]],[1]Sheet1!$A$3:$K$37,7,FALSE)</f>
        <v>5013700</v>
      </c>
      <c r="K2124">
        <v>0</v>
      </c>
      <c r="L2124" s="4">
        <v>8.6529330000000009</v>
      </c>
      <c r="M2124" s="4">
        <v>117.361648</v>
      </c>
      <c r="N2124" s="13">
        <v>3.9</v>
      </c>
      <c r="P2124"/>
      <c r="Q2124" s="12"/>
      <c r="R2124" s="12"/>
    </row>
    <row r="2125" spans="1:18" x14ac:dyDescent="0.2">
      <c r="A2125">
        <v>18</v>
      </c>
      <c r="B2125" t="s">
        <v>21</v>
      </c>
      <c r="C2125">
        <v>2019</v>
      </c>
      <c r="D2125">
        <v>12</v>
      </c>
      <c r="E2125" s="4">
        <v>0</v>
      </c>
      <c r="F2125" s="9">
        <v>0</v>
      </c>
      <c r="G2125" s="6">
        <v>2415</v>
      </c>
      <c r="H2125" s="9">
        <f t="shared" si="33"/>
        <v>0</v>
      </c>
      <c r="I2125" s="6">
        <v>13125</v>
      </c>
      <c r="J2125" s="6">
        <f>VLOOKUP(Table1[[#This Row],[Province]],[1]Sheet1!$A$3:$K$37,7,FALSE)</f>
        <v>5013700</v>
      </c>
      <c r="K2125">
        <v>1</v>
      </c>
      <c r="L2125" s="4">
        <v>8.6529330000000009</v>
      </c>
      <c r="M2125" s="4">
        <v>117.361648</v>
      </c>
      <c r="N2125" s="13">
        <v>3.9</v>
      </c>
      <c r="P2125"/>
      <c r="Q2125" s="12"/>
      <c r="R2125" s="12"/>
    </row>
    <row r="2126" spans="1:18" x14ac:dyDescent="0.2">
      <c r="A2126">
        <v>18</v>
      </c>
      <c r="B2126" t="s">
        <v>21</v>
      </c>
      <c r="C2126">
        <v>2020</v>
      </c>
      <c r="D2126">
        <v>1</v>
      </c>
      <c r="E2126" s="4">
        <v>0</v>
      </c>
      <c r="F2126" s="9">
        <v>0</v>
      </c>
      <c r="G2126" s="6">
        <v>480</v>
      </c>
      <c r="H2126" s="9">
        <f t="shared" si="33"/>
        <v>0</v>
      </c>
      <c r="I2126" s="6">
        <v>13722</v>
      </c>
      <c r="J2126" s="6">
        <f>VLOOKUP(Table1[[#This Row],[Province]],[1]Sheet1!$A$3:$K$37,7,FALSE)</f>
        <v>5013700</v>
      </c>
      <c r="K2126">
        <v>0</v>
      </c>
      <c r="L2126" s="4">
        <v>8.6529330000000009</v>
      </c>
      <c r="M2126" s="4">
        <v>117.361648</v>
      </c>
      <c r="N2126" s="13">
        <v>-0.62</v>
      </c>
      <c r="P2126"/>
      <c r="Q2126" s="12"/>
      <c r="R2126" s="12"/>
    </row>
    <row r="2127" spans="1:18" x14ac:dyDescent="0.2">
      <c r="A2127">
        <v>18</v>
      </c>
      <c r="B2127" t="s">
        <v>21</v>
      </c>
      <c r="C2127">
        <v>2020</v>
      </c>
      <c r="D2127">
        <v>2</v>
      </c>
      <c r="E2127" s="4">
        <v>0</v>
      </c>
      <c r="F2127" s="9">
        <v>0</v>
      </c>
      <c r="G2127" s="6">
        <v>3052</v>
      </c>
      <c r="H2127" s="9">
        <f t="shared" si="33"/>
        <v>0</v>
      </c>
      <c r="I2127" s="6">
        <v>14322</v>
      </c>
      <c r="J2127" s="6">
        <f>VLOOKUP(Table1[[#This Row],[Province]],[1]Sheet1!$A$3:$K$37,7,FALSE)</f>
        <v>5013700</v>
      </c>
      <c r="K2127">
        <v>0</v>
      </c>
      <c r="L2127" s="4">
        <v>8.6529330000000009</v>
      </c>
      <c r="M2127" s="4">
        <v>117.361648</v>
      </c>
      <c r="N2127" s="13">
        <v>-0.62</v>
      </c>
      <c r="P2127"/>
      <c r="Q2127" s="12"/>
      <c r="R2127" s="12"/>
    </row>
    <row r="2128" spans="1:18" x14ac:dyDescent="0.2">
      <c r="A2128">
        <v>18</v>
      </c>
      <c r="B2128" t="s">
        <v>21</v>
      </c>
      <c r="C2128">
        <v>2020</v>
      </c>
      <c r="D2128">
        <v>3</v>
      </c>
      <c r="E2128" s="4">
        <v>0</v>
      </c>
      <c r="F2128" s="9">
        <v>0</v>
      </c>
      <c r="G2128" s="6">
        <v>4275</v>
      </c>
      <c r="H2128" s="9">
        <f t="shared" si="33"/>
        <v>0</v>
      </c>
      <c r="I2128" s="6">
        <v>17607</v>
      </c>
      <c r="J2128" s="6">
        <f>VLOOKUP(Table1[[#This Row],[Province]],[1]Sheet1!$A$3:$K$37,7,FALSE)</f>
        <v>5013700</v>
      </c>
      <c r="K2128">
        <v>0</v>
      </c>
      <c r="L2128" s="4">
        <v>8.6529330000000009</v>
      </c>
      <c r="M2128" s="4">
        <v>117.361648</v>
      </c>
      <c r="N2128" s="13">
        <v>-0.62</v>
      </c>
      <c r="P2128"/>
      <c r="Q2128" s="12"/>
      <c r="R2128" s="12"/>
    </row>
    <row r="2129" spans="1:18" x14ac:dyDescent="0.2">
      <c r="A2129">
        <v>18</v>
      </c>
      <c r="B2129" t="s">
        <v>21</v>
      </c>
      <c r="C2129">
        <v>2020</v>
      </c>
      <c r="D2129">
        <v>4</v>
      </c>
      <c r="E2129" s="4">
        <v>0</v>
      </c>
      <c r="F2129" s="9">
        <v>0</v>
      </c>
      <c r="G2129" s="6">
        <v>6250</v>
      </c>
      <c r="H2129" s="9">
        <f t="shared" si="33"/>
        <v>0</v>
      </c>
      <c r="I2129" s="6">
        <v>19286</v>
      </c>
      <c r="J2129" s="6">
        <f>VLOOKUP(Table1[[#This Row],[Province]],[1]Sheet1!$A$3:$K$37,7,FALSE)</f>
        <v>5013700</v>
      </c>
      <c r="K2129">
        <v>1</v>
      </c>
      <c r="L2129" s="4">
        <v>8.6529330000000009</v>
      </c>
      <c r="M2129" s="4">
        <v>117.361648</v>
      </c>
      <c r="N2129" s="13">
        <v>-0.62</v>
      </c>
      <c r="P2129"/>
      <c r="Q2129" s="12"/>
      <c r="R2129" s="12"/>
    </row>
    <row r="2130" spans="1:18" x14ac:dyDescent="0.2">
      <c r="A2130">
        <v>18</v>
      </c>
      <c r="B2130" t="s">
        <v>21</v>
      </c>
      <c r="C2130">
        <v>2020</v>
      </c>
      <c r="D2130">
        <v>5</v>
      </c>
      <c r="E2130" s="4">
        <v>0</v>
      </c>
      <c r="F2130" s="9">
        <v>0</v>
      </c>
      <c r="G2130" s="6">
        <v>3805</v>
      </c>
      <c r="H2130" s="9">
        <f t="shared" si="33"/>
        <v>0</v>
      </c>
      <c r="I2130" s="6">
        <v>15904</v>
      </c>
      <c r="J2130" s="6">
        <f>VLOOKUP(Table1[[#This Row],[Province]],[1]Sheet1!$A$3:$K$37,7,FALSE)</f>
        <v>5013700</v>
      </c>
      <c r="K2130">
        <v>0</v>
      </c>
      <c r="L2130" s="4">
        <v>8.6529330000000009</v>
      </c>
      <c r="M2130" s="4">
        <v>117.361648</v>
      </c>
      <c r="N2130" s="13">
        <v>-0.62</v>
      </c>
      <c r="P2130"/>
      <c r="Q2130" s="12"/>
      <c r="R2130" s="12"/>
    </row>
    <row r="2131" spans="1:18" x14ac:dyDescent="0.2">
      <c r="A2131">
        <v>18</v>
      </c>
      <c r="B2131" t="s">
        <v>21</v>
      </c>
      <c r="C2131">
        <v>2020</v>
      </c>
      <c r="D2131">
        <v>6</v>
      </c>
      <c r="E2131" s="4">
        <v>0</v>
      </c>
      <c r="F2131" s="9">
        <v>0</v>
      </c>
      <c r="G2131" s="6">
        <v>3803</v>
      </c>
      <c r="H2131" s="9">
        <f t="shared" si="33"/>
        <v>0</v>
      </c>
      <c r="I2131" s="6">
        <v>14500</v>
      </c>
      <c r="J2131" s="6">
        <f>VLOOKUP(Table1[[#This Row],[Province]],[1]Sheet1!$A$3:$K$37,7,FALSE)</f>
        <v>5013700</v>
      </c>
      <c r="K2131">
        <v>0</v>
      </c>
      <c r="L2131" s="4">
        <v>8.6529330000000009</v>
      </c>
      <c r="M2131" s="4">
        <v>117.361648</v>
      </c>
      <c r="N2131" s="13">
        <v>-0.62</v>
      </c>
      <c r="P2131"/>
      <c r="Q2131" s="12"/>
      <c r="R2131" s="12"/>
    </row>
    <row r="2132" spans="1:18" x14ac:dyDescent="0.2">
      <c r="A2132">
        <v>18</v>
      </c>
      <c r="B2132" t="s">
        <v>21</v>
      </c>
      <c r="C2132">
        <v>2020</v>
      </c>
      <c r="D2132">
        <v>7</v>
      </c>
      <c r="E2132" s="4">
        <v>0</v>
      </c>
      <c r="F2132" s="9">
        <v>0</v>
      </c>
      <c r="G2132" s="6">
        <v>2896</v>
      </c>
      <c r="H2132" s="9">
        <f t="shared" si="33"/>
        <v>0</v>
      </c>
      <c r="I2132" s="6">
        <v>12800</v>
      </c>
      <c r="J2132" s="6">
        <f>VLOOKUP(Table1[[#This Row],[Province]],[1]Sheet1!$A$3:$K$37,7,FALSE)</f>
        <v>5013700</v>
      </c>
      <c r="K2132">
        <v>0</v>
      </c>
      <c r="L2132" s="4">
        <v>8.6529330000000009</v>
      </c>
      <c r="M2132" s="4">
        <v>117.361648</v>
      </c>
      <c r="N2132" s="13">
        <v>-0.62</v>
      </c>
      <c r="P2132"/>
      <c r="Q2132" s="12"/>
      <c r="R2132" s="12"/>
    </row>
    <row r="2133" spans="1:18" x14ac:dyDescent="0.2">
      <c r="A2133">
        <v>18</v>
      </c>
      <c r="B2133" t="s">
        <v>21</v>
      </c>
      <c r="C2133">
        <v>2020</v>
      </c>
      <c r="D2133">
        <v>8</v>
      </c>
      <c r="E2133" s="4">
        <v>1557</v>
      </c>
      <c r="F2133" s="9">
        <v>0</v>
      </c>
      <c r="G2133" s="6">
        <v>4574</v>
      </c>
      <c r="H2133" s="9">
        <f t="shared" si="33"/>
        <v>1557</v>
      </c>
      <c r="I2133" s="6">
        <v>12500</v>
      </c>
      <c r="J2133" s="6">
        <f>VLOOKUP(Table1[[#This Row],[Province]],[1]Sheet1!$A$3:$K$37,7,FALSE)</f>
        <v>5013700</v>
      </c>
      <c r="K2133">
        <v>0</v>
      </c>
      <c r="L2133" s="4">
        <v>8.6529330000000009</v>
      </c>
      <c r="M2133" s="4">
        <v>117.361648</v>
      </c>
      <c r="N2133" s="13">
        <v>-0.62</v>
      </c>
      <c r="P2133"/>
      <c r="Q2133" s="12"/>
      <c r="R2133" s="12"/>
    </row>
    <row r="2134" spans="1:18" x14ac:dyDescent="0.2">
      <c r="A2134">
        <v>18</v>
      </c>
      <c r="B2134" t="s">
        <v>21</v>
      </c>
      <c r="C2134">
        <v>2020</v>
      </c>
      <c r="D2134">
        <v>9</v>
      </c>
      <c r="E2134" s="4">
        <v>78</v>
      </c>
      <c r="F2134" s="9">
        <v>0</v>
      </c>
      <c r="G2134" s="6">
        <v>2589</v>
      </c>
      <c r="H2134" s="9">
        <f t="shared" si="33"/>
        <v>78</v>
      </c>
      <c r="I2134" s="6">
        <v>12500</v>
      </c>
      <c r="J2134" s="6">
        <f>VLOOKUP(Table1[[#This Row],[Province]],[1]Sheet1!$A$3:$K$37,7,FALSE)</f>
        <v>5013700</v>
      </c>
      <c r="K2134">
        <v>0</v>
      </c>
      <c r="L2134" s="4">
        <v>8.6529330000000009</v>
      </c>
      <c r="M2134" s="4">
        <v>117.361648</v>
      </c>
      <c r="N2134" s="13">
        <v>-0.62</v>
      </c>
      <c r="P2134"/>
      <c r="Q2134" s="12"/>
      <c r="R2134" s="12"/>
    </row>
    <row r="2135" spans="1:18" x14ac:dyDescent="0.2">
      <c r="A2135">
        <v>18</v>
      </c>
      <c r="B2135" t="s">
        <v>21</v>
      </c>
      <c r="C2135">
        <v>2020</v>
      </c>
      <c r="D2135">
        <v>10</v>
      </c>
      <c r="E2135" s="4">
        <v>0</v>
      </c>
      <c r="F2135" s="9">
        <v>0</v>
      </c>
      <c r="G2135" s="6">
        <v>3165</v>
      </c>
      <c r="H2135" s="9">
        <f t="shared" si="33"/>
        <v>0</v>
      </c>
      <c r="I2135" s="6">
        <v>12179</v>
      </c>
      <c r="J2135" s="6">
        <f>VLOOKUP(Table1[[#This Row],[Province]],[1]Sheet1!$A$3:$K$37,7,FALSE)</f>
        <v>5013700</v>
      </c>
      <c r="K2135">
        <v>0</v>
      </c>
      <c r="L2135" s="4">
        <v>8.6529330000000009</v>
      </c>
      <c r="M2135" s="4">
        <v>117.361648</v>
      </c>
      <c r="N2135" s="13">
        <v>-0.62</v>
      </c>
      <c r="P2135"/>
      <c r="Q2135" s="12"/>
      <c r="R2135" s="12"/>
    </row>
    <row r="2136" spans="1:18" x14ac:dyDescent="0.2">
      <c r="A2136">
        <v>18</v>
      </c>
      <c r="B2136" t="s">
        <v>21</v>
      </c>
      <c r="C2136">
        <v>2020</v>
      </c>
      <c r="D2136">
        <v>11</v>
      </c>
      <c r="E2136" s="4">
        <v>0</v>
      </c>
      <c r="F2136" s="9">
        <v>0</v>
      </c>
      <c r="G2136" s="6">
        <v>5170</v>
      </c>
      <c r="H2136" s="9">
        <f t="shared" si="33"/>
        <v>0</v>
      </c>
      <c r="I2136" s="6">
        <v>12304</v>
      </c>
      <c r="J2136" s="6">
        <f>VLOOKUP(Table1[[#This Row],[Province]],[1]Sheet1!$A$3:$K$37,7,FALSE)</f>
        <v>5013700</v>
      </c>
      <c r="K2136">
        <v>0</v>
      </c>
      <c r="L2136" s="4">
        <v>8.6529330000000009</v>
      </c>
      <c r="M2136" s="4">
        <v>117.361648</v>
      </c>
      <c r="N2136" s="13">
        <v>-0.62</v>
      </c>
      <c r="P2136"/>
      <c r="Q2136" s="12"/>
      <c r="R2136" s="12"/>
    </row>
    <row r="2137" spans="1:18" x14ac:dyDescent="0.2">
      <c r="A2137">
        <v>18</v>
      </c>
      <c r="B2137" t="s">
        <v>21</v>
      </c>
      <c r="C2137">
        <v>2020</v>
      </c>
      <c r="D2137">
        <v>12</v>
      </c>
      <c r="E2137" s="4">
        <v>0</v>
      </c>
      <c r="F2137" s="9">
        <v>0</v>
      </c>
      <c r="G2137" s="6">
        <v>2891</v>
      </c>
      <c r="H2137" s="9">
        <f t="shared" si="33"/>
        <v>0</v>
      </c>
      <c r="I2137" s="6">
        <v>12000</v>
      </c>
      <c r="J2137" s="6">
        <f>VLOOKUP(Table1[[#This Row],[Province]],[1]Sheet1!$A$3:$K$37,7,FALSE)</f>
        <v>5013700</v>
      </c>
      <c r="K2137">
        <v>1</v>
      </c>
      <c r="L2137" s="4">
        <v>8.6529330000000009</v>
      </c>
      <c r="M2137" s="4">
        <v>117.361648</v>
      </c>
      <c r="N2137" s="13">
        <v>-0.62</v>
      </c>
      <c r="P2137"/>
      <c r="Q2137" s="12"/>
      <c r="R2137" s="12"/>
    </row>
    <row r="2138" spans="1:18" x14ac:dyDescent="0.2">
      <c r="A2138">
        <v>18</v>
      </c>
      <c r="B2138" t="s">
        <v>21</v>
      </c>
      <c r="C2138">
        <v>2021</v>
      </c>
      <c r="D2138">
        <v>1</v>
      </c>
      <c r="E2138" s="4">
        <v>0</v>
      </c>
      <c r="F2138" s="9">
        <v>0</v>
      </c>
      <c r="G2138" s="6">
        <v>3637</v>
      </c>
      <c r="H2138" s="9">
        <f t="shared" si="33"/>
        <v>0</v>
      </c>
      <c r="I2138" s="6">
        <v>12304</v>
      </c>
      <c r="J2138" s="6">
        <f>VLOOKUP(Table1[[#This Row],[Province]],[1]Sheet1!$A$3:$K$37,7,FALSE)</f>
        <v>5013700</v>
      </c>
      <c r="K2138">
        <v>0</v>
      </c>
      <c r="L2138" s="4">
        <v>8.6529330000000009</v>
      </c>
      <c r="M2138" s="4">
        <v>117.361648</v>
      </c>
      <c r="N2138" s="13">
        <v>2.2999999999999998</v>
      </c>
      <c r="P2138"/>
      <c r="Q2138" s="12"/>
      <c r="R2138" s="12"/>
    </row>
    <row r="2139" spans="1:18" x14ac:dyDescent="0.2">
      <c r="A2139">
        <v>18</v>
      </c>
      <c r="B2139" t="s">
        <v>21</v>
      </c>
      <c r="C2139">
        <v>2021</v>
      </c>
      <c r="D2139">
        <v>2</v>
      </c>
      <c r="E2139" s="4">
        <v>0</v>
      </c>
      <c r="F2139" s="9">
        <v>0</v>
      </c>
      <c r="G2139" s="6">
        <v>4778</v>
      </c>
      <c r="H2139" s="9">
        <f t="shared" si="33"/>
        <v>0</v>
      </c>
      <c r="I2139" s="6">
        <v>12500</v>
      </c>
      <c r="J2139" s="6">
        <f>VLOOKUP(Table1[[#This Row],[Province]],[1]Sheet1!$A$3:$K$37,7,FALSE)</f>
        <v>5013700</v>
      </c>
      <c r="K2139">
        <v>0</v>
      </c>
      <c r="L2139" s="4">
        <v>8.6529330000000009</v>
      </c>
      <c r="M2139" s="4">
        <v>117.361648</v>
      </c>
      <c r="N2139" s="13">
        <v>2.2999999999999998</v>
      </c>
      <c r="P2139"/>
      <c r="Q2139" s="12"/>
      <c r="R2139" s="12"/>
    </row>
    <row r="2140" spans="1:18" x14ac:dyDescent="0.2">
      <c r="A2140">
        <v>18</v>
      </c>
      <c r="B2140" t="s">
        <v>21</v>
      </c>
      <c r="C2140">
        <v>2021</v>
      </c>
      <c r="D2140">
        <v>3</v>
      </c>
      <c r="E2140" s="4">
        <v>0</v>
      </c>
      <c r="F2140" s="9">
        <v>0</v>
      </c>
      <c r="G2140" s="6">
        <v>3123</v>
      </c>
      <c r="H2140" s="9">
        <f t="shared" si="33"/>
        <v>0</v>
      </c>
      <c r="I2140" s="6">
        <v>12500</v>
      </c>
      <c r="J2140" s="6">
        <f>VLOOKUP(Table1[[#This Row],[Province]],[1]Sheet1!$A$3:$K$37,7,FALSE)</f>
        <v>5013700</v>
      </c>
      <c r="K2140">
        <v>0</v>
      </c>
      <c r="L2140" s="4">
        <v>8.6529330000000009</v>
      </c>
      <c r="M2140" s="4">
        <v>117.361648</v>
      </c>
      <c r="N2140" s="13">
        <v>2.2999999999999998</v>
      </c>
      <c r="P2140"/>
      <c r="Q2140" s="12"/>
      <c r="R2140" s="12"/>
    </row>
    <row r="2141" spans="1:18" x14ac:dyDescent="0.2">
      <c r="A2141">
        <v>18</v>
      </c>
      <c r="B2141" t="s">
        <v>21</v>
      </c>
      <c r="C2141">
        <v>2021</v>
      </c>
      <c r="D2141">
        <v>4</v>
      </c>
      <c r="E2141" s="4">
        <v>0</v>
      </c>
      <c r="F2141" s="9">
        <v>0</v>
      </c>
      <c r="G2141" s="6">
        <v>7922</v>
      </c>
      <c r="H2141" s="9">
        <f t="shared" si="33"/>
        <v>0</v>
      </c>
      <c r="I2141" s="6">
        <v>13263</v>
      </c>
      <c r="J2141" s="6">
        <f>VLOOKUP(Table1[[#This Row],[Province]],[1]Sheet1!$A$3:$K$37,7,FALSE)</f>
        <v>5013700</v>
      </c>
      <c r="K2141">
        <v>1</v>
      </c>
      <c r="L2141" s="4">
        <v>8.6529330000000009</v>
      </c>
      <c r="M2141" s="4">
        <v>117.361648</v>
      </c>
      <c r="N2141" s="13">
        <v>2.2999999999999998</v>
      </c>
      <c r="P2141"/>
      <c r="Q2141" s="12"/>
      <c r="R2141" s="12"/>
    </row>
    <row r="2142" spans="1:18" x14ac:dyDescent="0.2">
      <c r="A2142">
        <v>18</v>
      </c>
      <c r="B2142" t="s">
        <v>21</v>
      </c>
      <c r="C2142">
        <v>2021</v>
      </c>
      <c r="D2142">
        <v>5</v>
      </c>
      <c r="E2142" s="4">
        <v>0</v>
      </c>
      <c r="F2142" s="9">
        <v>0</v>
      </c>
      <c r="G2142" s="6">
        <v>3044</v>
      </c>
      <c r="H2142" s="9">
        <f t="shared" si="33"/>
        <v>0</v>
      </c>
      <c r="I2142" s="6">
        <v>13150</v>
      </c>
      <c r="J2142" s="6">
        <f>VLOOKUP(Table1[[#This Row],[Province]],[1]Sheet1!$A$3:$K$37,7,FALSE)</f>
        <v>5013700</v>
      </c>
      <c r="K2142">
        <v>0</v>
      </c>
      <c r="L2142" s="4">
        <v>8.6529330000000009</v>
      </c>
      <c r="M2142" s="4">
        <v>117.361648</v>
      </c>
      <c r="N2142" s="13">
        <v>2.2999999999999998</v>
      </c>
      <c r="P2142"/>
      <c r="Q2142" s="12"/>
      <c r="R2142" s="12"/>
    </row>
    <row r="2143" spans="1:18" x14ac:dyDescent="0.2">
      <c r="A2143">
        <v>18</v>
      </c>
      <c r="B2143" t="s">
        <v>21</v>
      </c>
      <c r="C2143">
        <v>2021</v>
      </c>
      <c r="D2143">
        <v>6</v>
      </c>
      <c r="E2143" s="4">
        <v>262</v>
      </c>
      <c r="F2143" s="9">
        <v>0</v>
      </c>
      <c r="G2143" s="6">
        <v>6569</v>
      </c>
      <c r="H2143" s="9">
        <f t="shared" si="33"/>
        <v>262</v>
      </c>
      <c r="I2143" s="6">
        <v>13075</v>
      </c>
      <c r="J2143" s="6">
        <f>VLOOKUP(Table1[[#This Row],[Province]],[1]Sheet1!$A$3:$K$37,7,FALSE)</f>
        <v>5013700</v>
      </c>
      <c r="K2143">
        <v>0</v>
      </c>
      <c r="L2143" s="4">
        <v>8.6529330000000009</v>
      </c>
      <c r="M2143" s="4">
        <v>117.361648</v>
      </c>
      <c r="N2143" s="13">
        <v>2.2999999999999998</v>
      </c>
      <c r="P2143"/>
      <c r="Q2143" s="12"/>
      <c r="R2143" s="12"/>
    </row>
    <row r="2144" spans="1:18" x14ac:dyDescent="0.2">
      <c r="A2144">
        <v>18</v>
      </c>
      <c r="B2144" t="s">
        <v>21</v>
      </c>
      <c r="C2144">
        <v>2021</v>
      </c>
      <c r="D2144">
        <v>7</v>
      </c>
      <c r="E2144" s="4">
        <v>2892</v>
      </c>
      <c r="F2144" s="9">
        <v>0</v>
      </c>
      <c r="G2144" s="6">
        <v>3141</v>
      </c>
      <c r="H2144" s="9">
        <f t="shared" si="33"/>
        <v>2892</v>
      </c>
      <c r="I2144" s="6">
        <v>13088</v>
      </c>
      <c r="J2144" s="6">
        <f>VLOOKUP(Table1[[#This Row],[Province]],[1]Sheet1!$A$3:$K$37,7,FALSE)</f>
        <v>5013700</v>
      </c>
      <c r="K2144">
        <v>0</v>
      </c>
      <c r="L2144" s="4">
        <v>8.6529330000000009</v>
      </c>
      <c r="M2144" s="4">
        <v>117.361648</v>
      </c>
      <c r="N2144" s="13">
        <v>2.2999999999999998</v>
      </c>
      <c r="P2144"/>
      <c r="Q2144" s="12"/>
      <c r="R2144" s="12"/>
    </row>
    <row r="2145" spans="1:18" x14ac:dyDescent="0.2">
      <c r="A2145">
        <v>18</v>
      </c>
      <c r="B2145" t="s">
        <v>21</v>
      </c>
      <c r="C2145">
        <v>2021</v>
      </c>
      <c r="D2145">
        <v>8</v>
      </c>
      <c r="E2145" s="4">
        <v>3319</v>
      </c>
      <c r="F2145" s="9">
        <v>0</v>
      </c>
      <c r="G2145" s="6">
        <v>5950</v>
      </c>
      <c r="H2145" s="9">
        <f t="shared" si="33"/>
        <v>3319</v>
      </c>
      <c r="I2145" s="6">
        <v>13030</v>
      </c>
      <c r="J2145" s="6">
        <f>VLOOKUP(Table1[[#This Row],[Province]],[1]Sheet1!$A$3:$K$37,7,FALSE)</f>
        <v>5013700</v>
      </c>
      <c r="K2145">
        <v>0</v>
      </c>
      <c r="L2145" s="4">
        <v>8.6529330000000009</v>
      </c>
      <c r="M2145" s="4">
        <v>117.361648</v>
      </c>
      <c r="N2145" s="13">
        <v>2.2999999999999998</v>
      </c>
      <c r="P2145"/>
      <c r="Q2145" s="12"/>
      <c r="R2145" s="12"/>
    </row>
    <row r="2146" spans="1:18" x14ac:dyDescent="0.2">
      <c r="A2146">
        <v>18</v>
      </c>
      <c r="B2146" t="s">
        <v>21</v>
      </c>
      <c r="C2146">
        <v>2021</v>
      </c>
      <c r="D2146">
        <v>9</v>
      </c>
      <c r="E2146" s="4">
        <v>994</v>
      </c>
      <c r="F2146" s="9">
        <v>0</v>
      </c>
      <c r="G2146" s="6">
        <v>4294</v>
      </c>
      <c r="H2146" s="9">
        <f t="shared" si="33"/>
        <v>994</v>
      </c>
      <c r="I2146" s="6">
        <v>13084</v>
      </c>
      <c r="J2146" s="6">
        <f>VLOOKUP(Table1[[#This Row],[Province]],[1]Sheet1!$A$3:$K$37,7,FALSE)</f>
        <v>5013700</v>
      </c>
      <c r="K2146">
        <v>0</v>
      </c>
      <c r="L2146" s="4">
        <v>8.6529330000000009</v>
      </c>
      <c r="M2146" s="4">
        <v>117.361648</v>
      </c>
      <c r="N2146" s="13">
        <v>2.2999999999999998</v>
      </c>
      <c r="P2146"/>
      <c r="Q2146" s="12"/>
      <c r="R2146" s="12"/>
    </row>
    <row r="2147" spans="1:18" x14ac:dyDescent="0.2">
      <c r="A2147">
        <v>18</v>
      </c>
      <c r="B2147" t="s">
        <v>21</v>
      </c>
      <c r="C2147">
        <v>2021</v>
      </c>
      <c r="D2147">
        <v>10</v>
      </c>
      <c r="E2147" s="4">
        <v>0</v>
      </c>
      <c r="F2147" s="9">
        <v>0</v>
      </c>
      <c r="G2147" s="6">
        <v>2542</v>
      </c>
      <c r="H2147" s="9">
        <f t="shared" si="33"/>
        <v>0</v>
      </c>
      <c r="I2147" s="6">
        <v>13150</v>
      </c>
      <c r="J2147" s="6">
        <f>VLOOKUP(Table1[[#This Row],[Province]],[1]Sheet1!$A$3:$K$37,7,FALSE)</f>
        <v>5013700</v>
      </c>
      <c r="K2147">
        <v>0</v>
      </c>
      <c r="L2147" s="4">
        <v>8.6529330000000009</v>
      </c>
      <c r="M2147" s="4">
        <v>117.361648</v>
      </c>
      <c r="N2147" s="13">
        <v>2.2999999999999998</v>
      </c>
      <c r="P2147"/>
      <c r="Q2147" s="12"/>
      <c r="R2147" s="12"/>
    </row>
    <row r="2148" spans="1:18" x14ac:dyDescent="0.2">
      <c r="A2148">
        <v>18</v>
      </c>
      <c r="B2148" t="s">
        <v>21</v>
      </c>
      <c r="C2148">
        <v>2021</v>
      </c>
      <c r="D2148">
        <v>11</v>
      </c>
      <c r="E2148" s="4">
        <v>0</v>
      </c>
      <c r="F2148" s="9">
        <v>0</v>
      </c>
      <c r="G2148" s="6">
        <v>2217</v>
      </c>
      <c r="H2148" s="9">
        <f t="shared" si="33"/>
        <v>0</v>
      </c>
      <c r="I2148" s="6">
        <v>13190</v>
      </c>
      <c r="J2148" s="6">
        <f>VLOOKUP(Table1[[#This Row],[Province]],[1]Sheet1!$A$3:$K$37,7,FALSE)</f>
        <v>5013700</v>
      </c>
      <c r="K2148">
        <v>0</v>
      </c>
      <c r="L2148" s="4">
        <v>8.6529330000000009</v>
      </c>
      <c r="M2148" s="4">
        <v>117.361648</v>
      </c>
      <c r="N2148" s="13">
        <v>2.2999999999999998</v>
      </c>
      <c r="P2148"/>
      <c r="Q2148" s="12"/>
      <c r="R2148" s="12"/>
    </row>
    <row r="2149" spans="1:18" x14ac:dyDescent="0.2">
      <c r="A2149">
        <v>18</v>
      </c>
      <c r="B2149" t="s">
        <v>21</v>
      </c>
      <c r="C2149">
        <v>2021</v>
      </c>
      <c r="D2149">
        <v>12</v>
      </c>
      <c r="E2149" s="4">
        <v>0</v>
      </c>
      <c r="F2149" s="9">
        <v>0</v>
      </c>
      <c r="G2149" s="6">
        <v>1404</v>
      </c>
      <c r="H2149" s="9">
        <f t="shared" si="33"/>
        <v>0</v>
      </c>
      <c r="I2149" s="6">
        <v>13225</v>
      </c>
      <c r="J2149" s="6">
        <f>VLOOKUP(Table1[[#This Row],[Province]],[1]Sheet1!$A$3:$K$37,7,FALSE)</f>
        <v>5013700</v>
      </c>
      <c r="K2149">
        <v>1</v>
      </c>
      <c r="L2149" s="4">
        <v>8.6529330000000009</v>
      </c>
      <c r="M2149" s="4">
        <v>117.361648</v>
      </c>
      <c r="N2149" s="13">
        <v>2.2999999999999998</v>
      </c>
      <c r="P2149"/>
      <c r="Q2149" s="12"/>
      <c r="R2149" s="12"/>
    </row>
    <row r="2150" spans="1:18" x14ac:dyDescent="0.2">
      <c r="A2150">
        <v>18</v>
      </c>
      <c r="B2150" t="s">
        <v>21</v>
      </c>
      <c r="C2150">
        <v>2022</v>
      </c>
      <c r="D2150">
        <v>1</v>
      </c>
      <c r="E2150" s="6">
        <v>0</v>
      </c>
      <c r="F2150" s="9">
        <v>0</v>
      </c>
      <c r="G2150" s="6">
        <v>436</v>
      </c>
      <c r="H2150" s="9">
        <f t="shared" si="33"/>
        <v>0</v>
      </c>
      <c r="I2150" s="6">
        <v>13830</v>
      </c>
      <c r="J2150" s="6">
        <f>VLOOKUP(Table1[[#This Row],[Province]],[1]Sheet1!$A$3:$K$37,7,FALSE)</f>
        <v>5013700</v>
      </c>
      <c r="K2150">
        <v>0</v>
      </c>
      <c r="L2150" s="4">
        <v>8.6529330000000009</v>
      </c>
      <c r="M2150" s="4">
        <v>117.361648</v>
      </c>
      <c r="N2150" s="13">
        <v>6.95</v>
      </c>
      <c r="P2150"/>
      <c r="Q2150" s="12"/>
      <c r="R2150" s="12"/>
    </row>
    <row r="2151" spans="1:18" x14ac:dyDescent="0.2">
      <c r="A2151">
        <v>18</v>
      </c>
      <c r="B2151" t="s">
        <v>21</v>
      </c>
      <c r="C2151">
        <v>2022</v>
      </c>
      <c r="D2151">
        <v>2</v>
      </c>
      <c r="E2151" s="6">
        <v>0</v>
      </c>
      <c r="F2151" s="9">
        <v>0</v>
      </c>
      <c r="G2151" s="6">
        <v>2929</v>
      </c>
      <c r="H2151" s="9">
        <f t="shared" si="33"/>
        <v>0</v>
      </c>
      <c r="I2151" s="6">
        <v>14425</v>
      </c>
      <c r="J2151" s="6">
        <f>VLOOKUP(Table1[[#This Row],[Province]],[1]Sheet1!$A$3:$K$37,7,FALSE)</f>
        <v>5013700</v>
      </c>
      <c r="K2151">
        <v>0</v>
      </c>
      <c r="L2151" s="4">
        <v>8.6529330000000009</v>
      </c>
      <c r="M2151" s="4">
        <v>117.361648</v>
      </c>
      <c r="N2151" s="13">
        <v>6.95</v>
      </c>
      <c r="P2151"/>
      <c r="Q2151" s="12"/>
      <c r="R2151" s="12"/>
    </row>
    <row r="2152" spans="1:18" x14ac:dyDescent="0.2">
      <c r="A2152">
        <v>18</v>
      </c>
      <c r="B2152" t="s">
        <v>21</v>
      </c>
      <c r="C2152">
        <v>2022</v>
      </c>
      <c r="D2152">
        <v>3</v>
      </c>
      <c r="E2152" s="6">
        <v>0</v>
      </c>
      <c r="F2152" s="9">
        <v>0</v>
      </c>
      <c r="G2152" s="6">
        <v>649</v>
      </c>
      <c r="H2152" s="9">
        <f t="shared" si="33"/>
        <v>0</v>
      </c>
      <c r="I2152" s="6">
        <v>14480</v>
      </c>
      <c r="J2152" s="6">
        <f>VLOOKUP(Table1[[#This Row],[Province]],[1]Sheet1!$A$3:$K$37,7,FALSE)</f>
        <v>5013700</v>
      </c>
      <c r="K2152">
        <v>0</v>
      </c>
      <c r="L2152" s="4">
        <v>8.6529330000000009</v>
      </c>
      <c r="M2152" s="4">
        <v>117.361648</v>
      </c>
      <c r="N2152" s="13">
        <v>6.95</v>
      </c>
      <c r="P2152"/>
      <c r="Q2152" s="12"/>
      <c r="R2152" s="12"/>
    </row>
    <row r="2153" spans="1:18" x14ac:dyDescent="0.2">
      <c r="A2153">
        <v>18</v>
      </c>
      <c r="B2153" t="s">
        <v>21</v>
      </c>
      <c r="C2153">
        <v>2022</v>
      </c>
      <c r="D2153">
        <v>4</v>
      </c>
      <c r="E2153" s="6">
        <v>0</v>
      </c>
      <c r="F2153" s="9">
        <v>0</v>
      </c>
      <c r="G2153" s="6">
        <v>1295</v>
      </c>
      <c r="H2153" s="9">
        <f t="shared" si="33"/>
        <v>0</v>
      </c>
      <c r="I2153" s="6">
        <v>14800</v>
      </c>
      <c r="J2153" s="6">
        <f>VLOOKUP(Table1[[#This Row],[Province]],[1]Sheet1!$A$3:$K$37,7,FALSE)</f>
        <v>5013700</v>
      </c>
      <c r="K2153">
        <v>1</v>
      </c>
      <c r="L2153" s="4">
        <v>8.6529330000000009</v>
      </c>
      <c r="M2153" s="4">
        <v>117.361648</v>
      </c>
      <c r="N2153" s="13">
        <v>6.95</v>
      </c>
      <c r="P2153"/>
      <c r="Q2153" s="12"/>
      <c r="R2153" s="12"/>
    </row>
    <row r="2154" spans="1:18" x14ac:dyDescent="0.2">
      <c r="A2154">
        <v>18</v>
      </c>
      <c r="B2154" t="s">
        <v>21</v>
      </c>
      <c r="C2154">
        <v>2022</v>
      </c>
      <c r="D2154">
        <v>5</v>
      </c>
      <c r="E2154" s="6">
        <v>0</v>
      </c>
      <c r="F2154" s="9">
        <v>0</v>
      </c>
      <c r="G2154" s="6">
        <v>4007</v>
      </c>
      <c r="H2154" s="9">
        <f t="shared" si="33"/>
        <v>0</v>
      </c>
      <c r="I2154" s="6">
        <v>15050</v>
      </c>
      <c r="J2154" s="6">
        <f>VLOOKUP(Table1[[#This Row],[Province]],[1]Sheet1!$A$3:$K$37,7,FALSE)</f>
        <v>5013700</v>
      </c>
      <c r="K2154">
        <v>0</v>
      </c>
      <c r="L2154" s="4">
        <v>8.6529330000000009</v>
      </c>
      <c r="M2154" s="4">
        <v>117.361648</v>
      </c>
      <c r="N2154" s="13">
        <v>6.95</v>
      </c>
      <c r="P2154"/>
      <c r="Q2154" s="12"/>
      <c r="R2154" s="12"/>
    </row>
    <row r="2155" spans="1:18" x14ac:dyDescent="0.2">
      <c r="A2155">
        <v>18</v>
      </c>
      <c r="B2155" t="s">
        <v>21</v>
      </c>
      <c r="C2155">
        <v>2022</v>
      </c>
      <c r="D2155">
        <v>6</v>
      </c>
      <c r="E2155" s="6">
        <v>0</v>
      </c>
      <c r="F2155" s="9">
        <v>0</v>
      </c>
      <c r="G2155" s="6">
        <v>2104</v>
      </c>
      <c r="H2155" s="9">
        <f t="shared" si="33"/>
        <v>0</v>
      </c>
      <c r="I2155" s="6">
        <v>14907</v>
      </c>
      <c r="J2155" s="6">
        <f>VLOOKUP(Table1[[#This Row],[Province]],[1]Sheet1!$A$3:$K$37,7,FALSE)</f>
        <v>5013700</v>
      </c>
      <c r="K2155">
        <v>0</v>
      </c>
      <c r="L2155" s="4">
        <v>8.6529330000000009</v>
      </c>
      <c r="M2155" s="4">
        <v>117.361648</v>
      </c>
      <c r="N2155" s="13">
        <v>6.95</v>
      </c>
      <c r="P2155"/>
      <c r="Q2155" s="12"/>
      <c r="R2155" s="12"/>
    </row>
    <row r="2156" spans="1:18" x14ac:dyDescent="0.2">
      <c r="A2156">
        <v>18</v>
      </c>
      <c r="B2156" t="s">
        <v>21</v>
      </c>
      <c r="C2156">
        <v>2022</v>
      </c>
      <c r="D2156">
        <v>7</v>
      </c>
      <c r="E2156" s="6">
        <v>1672</v>
      </c>
      <c r="F2156" s="9">
        <v>0</v>
      </c>
      <c r="G2156" s="6">
        <v>6989</v>
      </c>
      <c r="H2156" s="9">
        <f t="shared" si="33"/>
        <v>1672</v>
      </c>
      <c r="I2156" s="6">
        <v>14338</v>
      </c>
      <c r="J2156" s="6">
        <f>VLOOKUP(Table1[[#This Row],[Province]],[1]Sheet1!$A$3:$K$37,7,FALSE)</f>
        <v>5013700</v>
      </c>
      <c r="K2156">
        <v>0</v>
      </c>
      <c r="L2156" s="4">
        <v>8.6529330000000009</v>
      </c>
      <c r="M2156" s="4">
        <v>117.361648</v>
      </c>
      <c r="N2156" s="13">
        <v>6.95</v>
      </c>
      <c r="P2156"/>
      <c r="Q2156" s="12"/>
      <c r="R2156" s="12"/>
    </row>
    <row r="2157" spans="1:18" x14ac:dyDescent="0.2">
      <c r="A2157">
        <v>18</v>
      </c>
      <c r="B2157" t="s">
        <v>21</v>
      </c>
      <c r="C2157">
        <v>2022</v>
      </c>
      <c r="D2157">
        <v>8</v>
      </c>
      <c r="E2157" s="6">
        <v>1306</v>
      </c>
      <c r="F2157" s="9">
        <v>0</v>
      </c>
      <c r="G2157" s="6">
        <v>3887</v>
      </c>
      <c r="H2157" s="9">
        <f t="shared" si="33"/>
        <v>1306</v>
      </c>
      <c r="I2157" s="6">
        <v>14241</v>
      </c>
      <c r="J2157" s="6">
        <f>VLOOKUP(Table1[[#This Row],[Province]],[1]Sheet1!$A$3:$K$37,7,FALSE)</f>
        <v>5013700</v>
      </c>
      <c r="K2157">
        <v>0</v>
      </c>
      <c r="L2157" s="4">
        <v>8.6529330000000009</v>
      </c>
      <c r="M2157" s="4">
        <v>117.361648</v>
      </c>
      <c r="N2157" s="13">
        <v>6.95</v>
      </c>
      <c r="P2157"/>
      <c r="Q2157" s="12"/>
      <c r="R2157" s="12"/>
    </row>
    <row r="2158" spans="1:18" x14ac:dyDescent="0.2">
      <c r="A2158">
        <v>18</v>
      </c>
      <c r="B2158" t="s">
        <v>21</v>
      </c>
      <c r="C2158">
        <v>2022</v>
      </c>
      <c r="D2158">
        <v>9</v>
      </c>
      <c r="E2158" s="6">
        <v>4204</v>
      </c>
      <c r="F2158" s="9">
        <v>0</v>
      </c>
      <c r="G2158" s="6">
        <v>5380</v>
      </c>
      <c r="H2158" s="9">
        <f t="shared" si="33"/>
        <v>4204</v>
      </c>
      <c r="I2158" s="6">
        <v>13528</v>
      </c>
      <c r="J2158" s="6">
        <f>VLOOKUP(Table1[[#This Row],[Province]],[1]Sheet1!$A$3:$K$37,7,FALSE)</f>
        <v>5013700</v>
      </c>
      <c r="K2158">
        <v>0</v>
      </c>
      <c r="L2158" s="4">
        <v>8.6529330000000009</v>
      </c>
      <c r="M2158" s="4">
        <v>117.361648</v>
      </c>
      <c r="N2158" s="13">
        <v>6.95</v>
      </c>
      <c r="P2158"/>
      <c r="Q2158" s="12"/>
      <c r="R2158" s="12"/>
    </row>
    <row r="2159" spans="1:18" x14ac:dyDescent="0.2">
      <c r="A2159">
        <v>18</v>
      </c>
      <c r="B2159" t="s">
        <v>21</v>
      </c>
      <c r="C2159">
        <v>2022</v>
      </c>
      <c r="D2159">
        <v>10</v>
      </c>
      <c r="E2159" s="6">
        <v>2996</v>
      </c>
      <c r="F2159" s="9">
        <v>0</v>
      </c>
      <c r="G2159" s="6">
        <v>6987</v>
      </c>
      <c r="H2159" s="9">
        <f t="shared" si="33"/>
        <v>2996</v>
      </c>
      <c r="I2159" s="6">
        <v>13507</v>
      </c>
      <c r="J2159" s="6">
        <f>VLOOKUP(Table1[[#This Row],[Province]],[1]Sheet1!$A$3:$K$37,7,FALSE)</f>
        <v>5013700</v>
      </c>
      <c r="K2159">
        <v>0</v>
      </c>
      <c r="L2159" s="4">
        <v>8.6529330000000009</v>
      </c>
      <c r="M2159" s="4">
        <v>117.361648</v>
      </c>
      <c r="N2159" s="13">
        <v>6.95</v>
      </c>
      <c r="P2159"/>
      <c r="Q2159" s="12"/>
      <c r="R2159" s="12"/>
    </row>
    <row r="2160" spans="1:18" x14ac:dyDescent="0.2">
      <c r="A2160">
        <v>18</v>
      </c>
      <c r="B2160" t="s">
        <v>21</v>
      </c>
      <c r="C2160">
        <v>2022</v>
      </c>
      <c r="D2160">
        <v>11</v>
      </c>
      <c r="E2160" s="6">
        <v>1285</v>
      </c>
      <c r="F2160" s="9">
        <v>0</v>
      </c>
      <c r="G2160" s="6">
        <v>5736</v>
      </c>
      <c r="H2160" s="9">
        <f t="shared" si="33"/>
        <v>1285</v>
      </c>
      <c r="I2160" s="6">
        <v>14150</v>
      </c>
      <c r="J2160" s="6">
        <f>VLOOKUP(Table1[[#This Row],[Province]],[1]Sheet1!$A$3:$K$37,7,FALSE)</f>
        <v>5013700</v>
      </c>
      <c r="K2160">
        <v>0</v>
      </c>
      <c r="L2160" s="4">
        <v>8.6529330000000009</v>
      </c>
      <c r="M2160" s="4">
        <v>117.361648</v>
      </c>
      <c r="N2160" s="13">
        <v>6.95</v>
      </c>
      <c r="P2160"/>
      <c r="Q2160" s="12"/>
      <c r="R2160" s="12"/>
    </row>
    <row r="2161" spans="1:18" x14ac:dyDescent="0.2">
      <c r="A2161">
        <v>18</v>
      </c>
      <c r="B2161" t="s">
        <v>21</v>
      </c>
      <c r="C2161">
        <v>2022</v>
      </c>
      <c r="D2161">
        <v>12</v>
      </c>
      <c r="E2161" s="6">
        <v>275</v>
      </c>
      <c r="F2161" s="9">
        <v>0</v>
      </c>
      <c r="G2161" s="6">
        <v>6327</v>
      </c>
      <c r="H2161" s="9">
        <f t="shared" si="33"/>
        <v>275</v>
      </c>
      <c r="I2161" s="6">
        <v>14116</v>
      </c>
      <c r="J2161" s="6">
        <f>VLOOKUP(Table1[[#This Row],[Province]],[1]Sheet1!$A$3:$K$37,7,FALSE)</f>
        <v>5013700</v>
      </c>
      <c r="K2161">
        <v>1</v>
      </c>
      <c r="L2161" s="4">
        <v>8.6529330000000009</v>
      </c>
      <c r="M2161" s="4">
        <v>117.361648</v>
      </c>
      <c r="N2161" s="13">
        <v>6.95</v>
      </c>
      <c r="P2161"/>
      <c r="Q2161" s="12"/>
      <c r="R2161" s="12"/>
    </row>
    <row r="2162" spans="1:18" x14ac:dyDescent="0.2">
      <c r="A2162">
        <v>19</v>
      </c>
      <c r="B2162" t="s">
        <v>22</v>
      </c>
      <c r="C2162">
        <v>2013</v>
      </c>
      <c r="D2162">
        <v>1</v>
      </c>
      <c r="E2162" s="4">
        <v>0</v>
      </c>
      <c r="F2162" s="9">
        <v>0</v>
      </c>
      <c r="G2162" s="6">
        <v>3363</v>
      </c>
      <c r="H2162" s="9">
        <f t="shared" si="33"/>
        <v>0</v>
      </c>
      <c r="I2162" s="6">
        <v>14000</v>
      </c>
      <c r="J2162" s="6">
        <f>VLOOKUP(Table1[[#This Row],[Province]],[1]Sheet1!$A$3:$K$37,7,FALSE)</f>
        <v>5371500</v>
      </c>
      <c r="K2162">
        <v>0</v>
      </c>
      <c r="L2162" s="4">
        <v>8.6573820000000001</v>
      </c>
      <c r="M2162" s="4">
        <v>121.07937</v>
      </c>
      <c r="N2162" s="6"/>
      <c r="P2162"/>
      <c r="Q2162" s="12"/>
      <c r="R2162" s="12"/>
    </row>
    <row r="2163" spans="1:18" x14ac:dyDescent="0.2">
      <c r="A2163">
        <v>19</v>
      </c>
      <c r="B2163" t="s">
        <v>22</v>
      </c>
      <c r="C2163">
        <v>2013</v>
      </c>
      <c r="D2163">
        <v>2</v>
      </c>
      <c r="E2163" s="4">
        <v>0</v>
      </c>
      <c r="F2163" s="9">
        <v>0</v>
      </c>
      <c r="G2163" s="6">
        <v>3224</v>
      </c>
      <c r="H2163" s="9">
        <f t="shared" si="33"/>
        <v>0</v>
      </c>
      <c r="I2163" s="6">
        <v>14000</v>
      </c>
      <c r="J2163" s="6">
        <f>VLOOKUP(Table1[[#This Row],[Province]],[1]Sheet1!$A$3:$K$37,7,FALSE)</f>
        <v>5371500</v>
      </c>
      <c r="K2163">
        <v>0</v>
      </c>
      <c r="L2163" s="4">
        <v>8.6573820000000001</v>
      </c>
      <c r="M2163" s="4">
        <v>121.07937</v>
      </c>
      <c r="N2163" s="6"/>
      <c r="P2163"/>
      <c r="Q2163" s="12"/>
      <c r="R2163" s="12"/>
    </row>
    <row r="2164" spans="1:18" x14ac:dyDescent="0.2">
      <c r="A2164">
        <v>19</v>
      </c>
      <c r="B2164" t="s">
        <v>22</v>
      </c>
      <c r="C2164">
        <v>2013</v>
      </c>
      <c r="D2164">
        <v>3</v>
      </c>
      <c r="E2164" s="4">
        <v>0</v>
      </c>
      <c r="F2164" s="9">
        <v>0</v>
      </c>
      <c r="G2164" s="6">
        <v>3323</v>
      </c>
      <c r="H2164" s="9">
        <f t="shared" si="33"/>
        <v>0</v>
      </c>
      <c r="I2164" s="6">
        <v>14000</v>
      </c>
      <c r="J2164" s="6">
        <f>VLOOKUP(Table1[[#This Row],[Province]],[1]Sheet1!$A$3:$K$37,7,FALSE)</f>
        <v>5371500</v>
      </c>
      <c r="K2164">
        <v>0</v>
      </c>
      <c r="L2164" s="4">
        <v>8.6573820000000001</v>
      </c>
      <c r="M2164" s="4">
        <v>121.07937</v>
      </c>
      <c r="N2164" s="6"/>
      <c r="P2164"/>
      <c r="Q2164" s="12"/>
      <c r="R2164" s="12"/>
    </row>
    <row r="2165" spans="1:18" x14ac:dyDescent="0.2">
      <c r="A2165">
        <v>19</v>
      </c>
      <c r="B2165" t="s">
        <v>22</v>
      </c>
      <c r="C2165">
        <v>2013</v>
      </c>
      <c r="D2165">
        <v>4</v>
      </c>
      <c r="E2165" s="4">
        <v>0</v>
      </c>
      <c r="F2165" s="9">
        <v>0</v>
      </c>
      <c r="G2165" s="6">
        <v>4318</v>
      </c>
      <c r="H2165" s="9">
        <f t="shared" si="33"/>
        <v>0</v>
      </c>
      <c r="I2165" s="6">
        <v>14000</v>
      </c>
      <c r="J2165" s="6">
        <f>VLOOKUP(Table1[[#This Row],[Province]],[1]Sheet1!$A$3:$K$37,7,FALSE)</f>
        <v>5371500</v>
      </c>
      <c r="K2165">
        <v>0</v>
      </c>
      <c r="L2165" s="4">
        <v>8.6573820000000001</v>
      </c>
      <c r="M2165" s="4">
        <v>121.07937</v>
      </c>
      <c r="N2165" s="6"/>
      <c r="P2165"/>
      <c r="Q2165" s="12"/>
      <c r="R2165" s="12"/>
    </row>
    <row r="2166" spans="1:18" x14ac:dyDescent="0.2">
      <c r="A2166">
        <v>19</v>
      </c>
      <c r="B2166" t="s">
        <v>22</v>
      </c>
      <c r="C2166">
        <v>2013</v>
      </c>
      <c r="D2166">
        <v>5</v>
      </c>
      <c r="E2166" s="4">
        <v>0</v>
      </c>
      <c r="F2166" s="9">
        <v>0</v>
      </c>
      <c r="G2166" s="6">
        <v>5234</v>
      </c>
      <c r="H2166" s="9">
        <f t="shared" si="33"/>
        <v>0</v>
      </c>
      <c r="I2166" s="6">
        <v>14000</v>
      </c>
      <c r="J2166" s="6">
        <f>VLOOKUP(Table1[[#This Row],[Province]],[1]Sheet1!$A$3:$K$37,7,FALSE)</f>
        <v>5371500</v>
      </c>
      <c r="K2166">
        <v>0</v>
      </c>
      <c r="L2166" s="4">
        <v>8.6573820000000001</v>
      </c>
      <c r="M2166" s="4">
        <v>121.07937</v>
      </c>
      <c r="N2166" s="6"/>
      <c r="P2166"/>
      <c r="Q2166" s="12"/>
      <c r="R2166" s="12"/>
    </row>
    <row r="2167" spans="1:18" x14ac:dyDescent="0.2">
      <c r="A2167">
        <v>19</v>
      </c>
      <c r="B2167" t="s">
        <v>22</v>
      </c>
      <c r="C2167">
        <v>2013</v>
      </c>
      <c r="D2167">
        <v>6</v>
      </c>
      <c r="E2167" s="4">
        <v>0</v>
      </c>
      <c r="F2167" s="9">
        <v>0</v>
      </c>
      <c r="G2167" s="6">
        <v>4358</v>
      </c>
      <c r="H2167" s="9">
        <f t="shared" si="33"/>
        <v>0</v>
      </c>
      <c r="I2167" s="6">
        <v>14000</v>
      </c>
      <c r="J2167" s="6">
        <f>VLOOKUP(Table1[[#This Row],[Province]],[1]Sheet1!$A$3:$K$37,7,FALSE)</f>
        <v>5371500</v>
      </c>
      <c r="K2167">
        <v>0</v>
      </c>
      <c r="L2167" s="4">
        <v>8.6573820000000001</v>
      </c>
      <c r="M2167" s="4">
        <v>121.07937</v>
      </c>
      <c r="N2167" s="6"/>
      <c r="P2167"/>
      <c r="Q2167" s="12"/>
      <c r="R2167" s="12"/>
    </row>
    <row r="2168" spans="1:18" x14ac:dyDescent="0.2">
      <c r="A2168">
        <v>19</v>
      </c>
      <c r="B2168" t="s">
        <v>22</v>
      </c>
      <c r="C2168">
        <v>2013</v>
      </c>
      <c r="D2168">
        <v>7</v>
      </c>
      <c r="E2168" s="4">
        <v>0</v>
      </c>
      <c r="F2168" s="9">
        <v>0</v>
      </c>
      <c r="G2168" s="6">
        <v>7562</v>
      </c>
      <c r="H2168" s="9">
        <f t="shared" si="33"/>
        <v>0</v>
      </c>
      <c r="I2168" s="6">
        <v>15273</v>
      </c>
      <c r="J2168" s="6">
        <f>VLOOKUP(Table1[[#This Row],[Province]],[1]Sheet1!$A$3:$K$37,7,FALSE)</f>
        <v>5371500</v>
      </c>
      <c r="K2168">
        <v>1</v>
      </c>
      <c r="L2168" s="4">
        <v>8.6573820000000001</v>
      </c>
      <c r="M2168" s="4">
        <v>121.07937</v>
      </c>
      <c r="N2168" s="6"/>
      <c r="P2168"/>
      <c r="Q2168" s="12"/>
      <c r="R2168" s="12"/>
    </row>
    <row r="2169" spans="1:18" x14ac:dyDescent="0.2">
      <c r="A2169">
        <v>19</v>
      </c>
      <c r="B2169" t="s">
        <v>22</v>
      </c>
      <c r="C2169">
        <v>2013</v>
      </c>
      <c r="D2169">
        <v>8</v>
      </c>
      <c r="E2169" s="4">
        <v>0</v>
      </c>
      <c r="F2169" s="9">
        <v>0</v>
      </c>
      <c r="G2169" s="6">
        <v>2766</v>
      </c>
      <c r="H2169" s="9">
        <f t="shared" si="33"/>
        <v>0</v>
      </c>
      <c r="I2169" s="6">
        <v>13947</v>
      </c>
      <c r="J2169" s="6">
        <f>VLOOKUP(Table1[[#This Row],[Province]],[1]Sheet1!$A$3:$K$37,7,FALSE)</f>
        <v>5371500</v>
      </c>
      <c r="K2169">
        <v>0</v>
      </c>
      <c r="L2169" s="4">
        <v>8.6573820000000001</v>
      </c>
      <c r="M2169" s="4">
        <v>121.07937</v>
      </c>
      <c r="N2169" s="6"/>
      <c r="P2169"/>
      <c r="Q2169" s="12"/>
      <c r="R2169" s="12"/>
    </row>
    <row r="2170" spans="1:18" x14ac:dyDescent="0.2">
      <c r="A2170">
        <v>19</v>
      </c>
      <c r="B2170" t="s">
        <v>22</v>
      </c>
      <c r="C2170">
        <v>2013</v>
      </c>
      <c r="D2170">
        <v>9</v>
      </c>
      <c r="E2170" s="4">
        <v>0</v>
      </c>
      <c r="F2170" s="9">
        <v>0</v>
      </c>
      <c r="G2170" s="6">
        <v>5910</v>
      </c>
      <c r="H2170" s="9">
        <f t="shared" si="33"/>
        <v>0</v>
      </c>
      <c r="I2170" s="6">
        <v>13971</v>
      </c>
      <c r="J2170" s="6">
        <f>VLOOKUP(Table1[[#This Row],[Province]],[1]Sheet1!$A$3:$K$37,7,FALSE)</f>
        <v>5371500</v>
      </c>
      <c r="K2170">
        <v>0</v>
      </c>
      <c r="L2170" s="4">
        <v>8.6573820000000001</v>
      </c>
      <c r="M2170" s="4">
        <v>121.07937</v>
      </c>
      <c r="N2170" s="6"/>
      <c r="P2170"/>
      <c r="Q2170" s="12"/>
      <c r="R2170" s="12"/>
    </row>
    <row r="2171" spans="1:18" x14ac:dyDescent="0.2">
      <c r="A2171">
        <v>19</v>
      </c>
      <c r="B2171" t="s">
        <v>22</v>
      </c>
      <c r="C2171">
        <v>2013</v>
      </c>
      <c r="D2171">
        <v>10</v>
      </c>
      <c r="E2171" s="4">
        <v>0</v>
      </c>
      <c r="F2171" s="9">
        <v>0</v>
      </c>
      <c r="G2171" s="6">
        <v>4836</v>
      </c>
      <c r="H2171" s="9">
        <f t="shared" si="33"/>
        <v>0</v>
      </c>
      <c r="I2171" s="6">
        <v>14000</v>
      </c>
      <c r="J2171" s="6">
        <f>VLOOKUP(Table1[[#This Row],[Province]],[1]Sheet1!$A$3:$K$37,7,FALSE)</f>
        <v>5371500</v>
      </c>
      <c r="K2171">
        <v>0</v>
      </c>
      <c r="L2171" s="4">
        <v>8.6573820000000001</v>
      </c>
      <c r="M2171" s="4">
        <v>121.07937</v>
      </c>
      <c r="N2171" s="6"/>
      <c r="P2171"/>
      <c r="Q2171" s="12"/>
      <c r="R2171" s="12"/>
    </row>
    <row r="2172" spans="1:18" x14ac:dyDescent="0.2">
      <c r="A2172">
        <v>19</v>
      </c>
      <c r="B2172" t="s">
        <v>22</v>
      </c>
      <c r="C2172">
        <v>2013</v>
      </c>
      <c r="D2172">
        <v>11</v>
      </c>
      <c r="E2172" s="4">
        <v>0</v>
      </c>
      <c r="F2172" s="9">
        <v>0</v>
      </c>
      <c r="G2172" s="6">
        <v>3562</v>
      </c>
      <c r="H2172" s="9">
        <f t="shared" si="33"/>
        <v>0</v>
      </c>
      <c r="I2172" s="6">
        <v>13995</v>
      </c>
      <c r="J2172" s="6">
        <f>VLOOKUP(Table1[[#This Row],[Province]],[1]Sheet1!$A$3:$K$37,7,FALSE)</f>
        <v>5371500</v>
      </c>
      <c r="K2172">
        <v>0</v>
      </c>
      <c r="L2172" s="4">
        <v>8.6573820000000001</v>
      </c>
      <c r="M2172" s="4">
        <v>121.07937</v>
      </c>
      <c r="N2172" s="6"/>
      <c r="P2172"/>
      <c r="Q2172" s="12"/>
      <c r="R2172" s="12"/>
    </row>
    <row r="2173" spans="1:18" x14ac:dyDescent="0.2">
      <c r="A2173">
        <v>19</v>
      </c>
      <c r="B2173" t="s">
        <v>22</v>
      </c>
      <c r="C2173">
        <v>2013</v>
      </c>
      <c r="D2173">
        <v>12</v>
      </c>
      <c r="E2173" s="4">
        <v>0</v>
      </c>
      <c r="F2173" s="9">
        <v>0</v>
      </c>
      <c r="G2173" s="6">
        <v>4955</v>
      </c>
      <c r="H2173" s="9">
        <f t="shared" si="33"/>
        <v>0</v>
      </c>
      <c r="I2173" s="6">
        <v>14000</v>
      </c>
      <c r="J2173" s="6">
        <f>VLOOKUP(Table1[[#This Row],[Province]],[1]Sheet1!$A$3:$K$37,7,FALSE)</f>
        <v>5371500</v>
      </c>
      <c r="K2173">
        <v>1</v>
      </c>
      <c r="L2173" s="4">
        <v>8.6573820000000001</v>
      </c>
      <c r="M2173" s="4">
        <v>121.07937</v>
      </c>
      <c r="N2173" s="6"/>
      <c r="P2173"/>
      <c r="Q2173" s="12"/>
      <c r="R2173" s="12"/>
    </row>
    <row r="2174" spans="1:18" x14ac:dyDescent="0.2">
      <c r="A2174">
        <v>19</v>
      </c>
      <c r="B2174" t="s">
        <v>22</v>
      </c>
      <c r="C2174">
        <v>2014</v>
      </c>
      <c r="D2174">
        <v>1</v>
      </c>
      <c r="E2174" s="4">
        <v>0</v>
      </c>
      <c r="F2174" s="9">
        <v>0</v>
      </c>
      <c r="G2174" s="6">
        <v>3486</v>
      </c>
      <c r="H2174" s="9">
        <f t="shared" si="33"/>
        <v>0</v>
      </c>
      <c r="I2174" s="6">
        <v>13982</v>
      </c>
      <c r="J2174" s="6">
        <f>VLOOKUP(Table1[[#This Row],[Province]],[1]Sheet1!$A$3:$K$37,7,FALSE)</f>
        <v>5371500</v>
      </c>
      <c r="K2174">
        <v>0</v>
      </c>
      <c r="L2174" s="4">
        <v>8.6573820000000001</v>
      </c>
      <c r="M2174" s="4">
        <v>121.07937</v>
      </c>
      <c r="N2174" s="6"/>
      <c r="P2174"/>
      <c r="Q2174" s="12"/>
      <c r="R2174" s="12"/>
    </row>
    <row r="2175" spans="1:18" x14ac:dyDescent="0.2">
      <c r="A2175">
        <v>19</v>
      </c>
      <c r="B2175" t="s">
        <v>22</v>
      </c>
      <c r="C2175">
        <v>2014</v>
      </c>
      <c r="D2175">
        <v>2</v>
      </c>
      <c r="E2175" s="4">
        <v>0</v>
      </c>
      <c r="F2175" s="9">
        <v>0</v>
      </c>
      <c r="G2175" s="6">
        <v>3110</v>
      </c>
      <c r="H2175" s="9">
        <f t="shared" si="33"/>
        <v>0</v>
      </c>
      <c r="I2175" s="6">
        <v>13775</v>
      </c>
      <c r="J2175" s="6">
        <f>VLOOKUP(Table1[[#This Row],[Province]],[1]Sheet1!$A$3:$K$37,7,FALSE)</f>
        <v>5371500</v>
      </c>
      <c r="K2175">
        <v>0</v>
      </c>
      <c r="L2175" s="4">
        <v>8.6573820000000001</v>
      </c>
      <c r="M2175" s="4">
        <v>121.07937</v>
      </c>
      <c r="N2175" s="6"/>
      <c r="P2175"/>
      <c r="Q2175" s="12"/>
      <c r="R2175" s="12"/>
    </row>
    <row r="2176" spans="1:18" x14ac:dyDescent="0.2">
      <c r="A2176">
        <v>19</v>
      </c>
      <c r="B2176" t="s">
        <v>22</v>
      </c>
      <c r="C2176">
        <v>2014</v>
      </c>
      <c r="D2176">
        <v>3</v>
      </c>
      <c r="E2176" s="4">
        <v>0</v>
      </c>
      <c r="F2176" s="9">
        <v>0</v>
      </c>
      <c r="G2176" s="6">
        <v>3492</v>
      </c>
      <c r="H2176" s="9">
        <f t="shared" si="33"/>
        <v>0</v>
      </c>
      <c r="I2176" s="6">
        <v>13725</v>
      </c>
      <c r="J2176" s="6">
        <f>VLOOKUP(Table1[[#This Row],[Province]],[1]Sheet1!$A$3:$K$37,7,FALSE)</f>
        <v>5371500</v>
      </c>
      <c r="K2176">
        <v>0</v>
      </c>
      <c r="L2176" s="4">
        <v>8.6573820000000001</v>
      </c>
      <c r="M2176" s="4">
        <v>121.07937</v>
      </c>
      <c r="N2176" s="6"/>
      <c r="P2176"/>
      <c r="Q2176" s="12"/>
      <c r="R2176" s="12"/>
    </row>
    <row r="2177" spans="1:18" x14ac:dyDescent="0.2">
      <c r="A2177">
        <v>19</v>
      </c>
      <c r="B2177" t="s">
        <v>22</v>
      </c>
      <c r="C2177">
        <v>2014</v>
      </c>
      <c r="D2177">
        <v>4</v>
      </c>
      <c r="E2177" s="4">
        <v>0</v>
      </c>
      <c r="F2177" s="9">
        <v>0</v>
      </c>
      <c r="G2177" s="6">
        <v>4498</v>
      </c>
      <c r="H2177" s="9">
        <f t="shared" si="33"/>
        <v>0</v>
      </c>
      <c r="I2177" s="6">
        <v>13730</v>
      </c>
      <c r="J2177" s="6">
        <f>VLOOKUP(Table1[[#This Row],[Province]],[1]Sheet1!$A$3:$K$37,7,FALSE)</f>
        <v>5371500</v>
      </c>
      <c r="K2177">
        <v>0</v>
      </c>
      <c r="L2177" s="4">
        <v>8.6573820000000001</v>
      </c>
      <c r="M2177" s="4">
        <v>121.07937</v>
      </c>
      <c r="N2177" s="6"/>
      <c r="P2177"/>
      <c r="Q2177" s="12"/>
      <c r="R2177" s="12"/>
    </row>
    <row r="2178" spans="1:18" x14ac:dyDescent="0.2">
      <c r="A2178">
        <v>19</v>
      </c>
      <c r="B2178" t="s">
        <v>22</v>
      </c>
      <c r="C2178">
        <v>2014</v>
      </c>
      <c r="D2178">
        <v>5</v>
      </c>
      <c r="E2178" s="4">
        <v>0</v>
      </c>
      <c r="F2178" s="9">
        <v>0</v>
      </c>
      <c r="G2178" s="6">
        <v>5038</v>
      </c>
      <c r="H2178" s="9">
        <f t="shared" ref="H2178:H2241" si="34">F2178+E2178</f>
        <v>0</v>
      </c>
      <c r="I2178" s="6">
        <v>13733</v>
      </c>
      <c r="J2178" s="6">
        <f>VLOOKUP(Table1[[#This Row],[Province]],[1]Sheet1!$A$3:$K$37,7,FALSE)</f>
        <v>5371500</v>
      </c>
      <c r="K2178">
        <v>0</v>
      </c>
      <c r="L2178" s="4">
        <v>8.6573820000000001</v>
      </c>
      <c r="M2178" s="4">
        <v>121.07937</v>
      </c>
      <c r="N2178" s="6"/>
      <c r="P2178"/>
      <c r="Q2178" s="12"/>
      <c r="R2178" s="12"/>
    </row>
    <row r="2179" spans="1:18" x14ac:dyDescent="0.2">
      <c r="A2179">
        <v>19</v>
      </c>
      <c r="B2179" t="s">
        <v>22</v>
      </c>
      <c r="C2179">
        <v>2014</v>
      </c>
      <c r="D2179">
        <v>6</v>
      </c>
      <c r="E2179" s="4">
        <v>0</v>
      </c>
      <c r="F2179" s="9">
        <v>0</v>
      </c>
      <c r="G2179" s="6">
        <v>7170</v>
      </c>
      <c r="H2179" s="9">
        <f t="shared" si="34"/>
        <v>0</v>
      </c>
      <c r="I2179" s="6">
        <v>13844</v>
      </c>
      <c r="J2179" s="6">
        <f>VLOOKUP(Table1[[#This Row],[Province]],[1]Sheet1!$A$3:$K$37,7,FALSE)</f>
        <v>5371500</v>
      </c>
      <c r="K2179">
        <v>1</v>
      </c>
      <c r="L2179" s="4">
        <v>8.6573820000000001</v>
      </c>
      <c r="M2179" s="4">
        <v>121.07937</v>
      </c>
      <c r="N2179" s="6"/>
      <c r="P2179"/>
      <c r="Q2179" s="12"/>
      <c r="R2179" s="12"/>
    </row>
    <row r="2180" spans="1:18" x14ac:dyDescent="0.2">
      <c r="A2180">
        <v>19</v>
      </c>
      <c r="B2180" t="s">
        <v>22</v>
      </c>
      <c r="C2180">
        <v>2014</v>
      </c>
      <c r="D2180">
        <v>7</v>
      </c>
      <c r="E2180" s="4">
        <v>0</v>
      </c>
      <c r="F2180" s="9">
        <v>0</v>
      </c>
      <c r="G2180" s="6">
        <v>4498</v>
      </c>
      <c r="H2180" s="9">
        <f t="shared" si="34"/>
        <v>0</v>
      </c>
      <c r="I2180" s="6">
        <v>14000</v>
      </c>
      <c r="J2180" s="6">
        <f>VLOOKUP(Table1[[#This Row],[Province]],[1]Sheet1!$A$3:$K$37,7,FALSE)</f>
        <v>5371500</v>
      </c>
      <c r="K2180">
        <v>0</v>
      </c>
      <c r="L2180" s="4">
        <v>8.6573820000000001</v>
      </c>
      <c r="M2180" s="4">
        <v>121.07937</v>
      </c>
      <c r="N2180" s="6"/>
      <c r="P2180"/>
      <c r="Q2180" s="12"/>
      <c r="R2180" s="12"/>
    </row>
    <row r="2181" spans="1:18" x14ac:dyDescent="0.2">
      <c r="A2181">
        <v>19</v>
      </c>
      <c r="B2181" t="s">
        <v>22</v>
      </c>
      <c r="C2181">
        <v>2014</v>
      </c>
      <c r="D2181">
        <v>8</v>
      </c>
      <c r="E2181" s="4">
        <v>0</v>
      </c>
      <c r="F2181" s="9">
        <v>0</v>
      </c>
      <c r="G2181" s="6">
        <v>4336</v>
      </c>
      <c r="H2181" s="9">
        <f t="shared" si="34"/>
        <v>0</v>
      </c>
      <c r="I2181" s="6">
        <v>14000</v>
      </c>
      <c r="J2181" s="6">
        <f>VLOOKUP(Table1[[#This Row],[Province]],[1]Sheet1!$A$3:$K$37,7,FALSE)</f>
        <v>5371500</v>
      </c>
      <c r="K2181">
        <v>0</v>
      </c>
      <c r="L2181" s="4">
        <v>8.6573820000000001</v>
      </c>
      <c r="M2181" s="4">
        <v>121.07937</v>
      </c>
      <c r="N2181" s="6"/>
      <c r="P2181"/>
      <c r="Q2181" s="12"/>
      <c r="R2181" s="12"/>
    </row>
    <row r="2182" spans="1:18" x14ac:dyDescent="0.2">
      <c r="A2182">
        <v>19</v>
      </c>
      <c r="B2182" t="s">
        <v>22</v>
      </c>
      <c r="C2182">
        <v>2014</v>
      </c>
      <c r="D2182">
        <v>9</v>
      </c>
      <c r="E2182" s="4">
        <v>0</v>
      </c>
      <c r="F2182" s="9">
        <v>0</v>
      </c>
      <c r="G2182" s="6">
        <v>4364</v>
      </c>
      <c r="H2182" s="9">
        <f t="shared" si="34"/>
        <v>0</v>
      </c>
      <c r="I2182" s="6">
        <v>13965</v>
      </c>
      <c r="J2182" s="6">
        <f>VLOOKUP(Table1[[#This Row],[Province]],[1]Sheet1!$A$3:$K$37,7,FALSE)</f>
        <v>5371500</v>
      </c>
      <c r="K2182">
        <v>0</v>
      </c>
      <c r="L2182" s="4">
        <v>8.6573820000000001</v>
      </c>
      <c r="M2182" s="4">
        <v>121.07937</v>
      </c>
      <c r="N2182" s="6"/>
      <c r="P2182"/>
      <c r="Q2182" s="12"/>
      <c r="R2182" s="12"/>
    </row>
    <row r="2183" spans="1:18" x14ac:dyDescent="0.2">
      <c r="A2183">
        <v>19</v>
      </c>
      <c r="B2183" t="s">
        <v>22</v>
      </c>
      <c r="C2183">
        <v>2014</v>
      </c>
      <c r="D2183">
        <v>10</v>
      </c>
      <c r="E2183" s="4">
        <v>0</v>
      </c>
      <c r="F2183" s="9">
        <v>0</v>
      </c>
      <c r="G2183" s="6">
        <v>6474</v>
      </c>
      <c r="H2183" s="9">
        <f t="shared" si="34"/>
        <v>0</v>
      </c>
      <c r="I2183" s="6">
        <v>14000</v>
      </c>
      <c r="J2183" s="6">
        <f>VLOOKUP(Table1[[#This Row],[Province]],[1]Sheet1!$A$3:$K$37,7,FALSE)</f>
        <v>5371500</v>
      </c>
      <c r="K2183">
        <v>0</v>
      </c>
      <c r="L2183" s="4">
        <v>8.6573820000000001</v>
      </c>
      <c r="M2183" s="4">
        <v>121.07937</v>
      </c>
      <c r="N2183" s="6"/>
      <c r="P2183"/>
      <c r="Q2183" s="12"/>
      <c r="R2183" s="12"/>
    </row>
    <row r="2184" spans="1:18" x14ac:dyDescent="0.2">
      <c r="A2184">
        <v>19</v>
      </c>
      <c r="B2184" t="s">
        <v>22</v>
      </c>
      <c r="C2184">
        <v>2014</v>
      </c>
      <c r="D2184">
        <v>11</v>
      </c>
      <c r="E2184" s="4">
        <v>0</v>
      </c>
      <c r="F2184" s="9">
        <v>0</v>
      </c>
      <c r="G2184" s="6">
        <v>5166</v>
      </c>
      <c r="H2184" s="9">
        <f t="shared" si="34"/>
        <v>0</v>
      </c>
      <c r="I2184" s="6">
        <v>13983</v>
      </c>
      <c r="J2184" s="6">
        <f>VLOOKUP(Table1[[#This Row],[Province]],[1]Sheet1!$A$3:$K$37,7,FALSE)</f>
        <v>5371500</v>
      </c>
      <c r="K2184">
        <v>0</v>
      </c>
      <c r="L2184" s="4">
        <v>8.6573820000000001</v>
      </c>
      <c r="M2184" s="4">
        <v>121.07937</v>
      </c>
      <c r="N2184" s="6"/>
      <c r="P2184"/>
      <c r="Q2184" s="12"/>
      <c r="R2184" s="12"/>
    </row>
    <row r="2185" spans="1:18" x14ac:dyDescent="0.2">
      <c r="A2185">
        <v>19</v>
      </c>
      <c r="B2185" t="s">
        <v>22</v>
      </c>
      <c r="C2185">
        <v>2014</v>
      </c>
      <c r="D2185">
        <v>12</v>
      </c>
      <c r="E2185" s="4">
        <v>0</v>
      </c>
      <c r="F2185" s="9">
        <v>0</v>
      </c>
      <c r="G2185" s="6">
        <v>6024</v>
      </c>
      <c r="H2185" s="9">
        <f t="shared" si="34"/>
        <v>0</v>
      </c>
      <c r="I2185" s="6">
        <v>14005</v>
      </c>
      <c r="J2185" s="6">
        <f>VLOOKUP(Table1[[#This Row],[Province]],[1]Sheet1!$A$3:$K$37,7,FALSE)</f>
        <v>5371500</v>
      </c>
      <c r="K2185">
        <v>1</v>
      </c>
      <c r="L2185" s="4">
        <v>8.6573820000000001</v>
      </c>
      <c r="M2185" s="4">
        <v>121.07937</v>
      </c>
      <c r="N2185" s="6"/>
      <c r="P2185"/>
      <c r="Q2185" s="12"/>
      <c r="R2185" s="12"/>
    </row>
    <row r="2186" spans="1:18" x14ac:dyDescent="0.2">
      <c r="A2186">
        <v>19</v>
      </c>
      <c r="B2186" t="s">
        <v>22</v>
      </c>
      <c r="C2186">
        <v>2015</v>
      </c>
      <c r="D2186">
        <v>1</v>
      </c>
      <c r="E2186" s="4">
        <v>0</v>
      </c>
      <c r="F2186" s="9">
        <v>0</v>
      </c>
      <c r="G2186" s="6">
        <v>2961</v>
      </c>
      <c r="H2186" s="9">
        <f t="shared" si="34"/>
        <v>0</v>
      </c>
      <c r="I2186" s="6">
        <v>14000</v>
      </c>
      <c r="J2186" s="6">
        <f>VLOOKUP(Table1[[#This Row],[Province]],[1]Sheet1!$A$3:$K$37,7,FALSE)</f>
        <v>5371500</v>
      </c>
      <c r="K2186">
        <v>0</v>
      </c>
      <c r="L2186" s="4">
        <v>8.6573820000000001</v>
      </c>
      <c r="M2186" s="4">
        <v>121.07937</v>
      </c>
      <c r="N2186" s="6"/>
      <c r="P2186"/>
      <c r="Q2186" s="12"/>
      <c r="R2186" s="12"/>
    </row>
    <row r="2187" spans="1:18" x14ac:dyDescent="0.2">
      <c r="A2187">
        <v>19</v>
      </c>
      <c r="B2187" t="s">
        <v>22</v>
      </c>
      <c r="C2187">
        <v>2015</v>
      </c>
      <c r="D2187">
        <v>2</v>
      </c>
      <c r="E2187" s="4">
        <v>0</v>
      </c>
      <c r="F2187" s="9">
        <v>0</v>
      </c>
      <c r="G2187" s="6">
        <v>7468</v>
      </c>
      <c r="H2187" s="9">
        <f t="shared" si="34"/>
        <v>0</v>
      </c>
      <c r="I2187" s="6">
        <v>13995</v>
      </c>
      <c r="J2187" s="6">
        <f>VLOOKUP(Table1[[#This Row],[Province]],[1]Sheet1!$A$3:$K$37,7,FALSE)</f>
        <v>5371500</v>
      </c>
      <c r="K2187">
        <v>0</v>
      </c>
      <c r="L2187" s="4">
        <v>8.6573820000000001</v>
      </c>
      <c r="M2187" s="4">
        <v>121.07937</v>
      </c>
      <c r="N2187" s="6"/>
      <c r="P2187"/>
      <c r="Q2187" s="12"/>
      <c r="R2187" s="12"/>
    </row>
    <row r="2188" spans="1:18" x14ac:dyDescent="0.2">
      <c r="A2188">
        <v>19</v>
      </c>
      <c r="B2188" t="s">
        <v>22</v>
      </c>
      <c r="C2188">
        <v>2015</v>
      </c>
      <c r="D2188">
        <v>3</v>
      </c>
      <c r="E2188" s="4">
        <v>0</v>
      </c>
      <c r="F2188" s="9">
        <v>0</v>
      </c>
      <c r="G2188" s="6">
        <v>3389</v>
      </c>
      <c r="H2188" s="9">
        <f t="shared" si="34"/>
        <v>0</v>
      </c>
      <c r="I2188" s="6">
        <v>14001</v>
      </c>
      <c r="J2188" s="6">
        <f>VLOOKUP(Table1[[#This Row],[Province]],[1]Sheet1!$A$3:$K$37,7,FALSE)</f>
        <v>5371500</v>
      </c>
      <c r="K2188">
        <v>0</v>
      </c>
      <c r="L2188" s="4">
        <v>8.6573820000000001</v>
      </c>
      <c r="M2188" s="4">
        <v>121.07937</v>
      </c>
      <c r="N2188" s="6"/>
      <c r="P2188"/>
      <c r="Q2188" s="12"/>
      <c r="R2188" s="12"/>
    </row>
    <row r="2189" spans="1:18" x14ac:dyDescent="0.2">
      <c r="A2189">
        <v>19</v>
      </c>
      <c r="B2189" t="s">
        <v>22</v>
      </c>
      <c r="C2189">
        <v>2015</v>
      </c>
      <c r="D2189">
        <v>4</v>
      </c>
      <c r="E2189" s="4">
        <v>0</v>
      </c>
      <c r="F2189" s="9">
        <v>0</v>
      </c>
      <c r="G2189" s="6">
        <v>5613</v>
      </c>
      <c r="H2189" s="9">
        <f t="shared" si="34"/>
        <v>0</v>
      </c>
      <c r="I2189" s="6">
        <v>14032</v>
      </c>
      <c r="J2189" s="6">
        <f>VLOOKUP(Table1[[#This Row],[Province]],[1]Sheet1!$A$3:$K$37,7,FALSE)</f>
        <v>5371500</v>
      </c>
      <c r="K2189">
        <v>0</v>
      </c>
      <c r="L2189" s="4">
        <v>8.6573820000000001</v>
      </c>
      <c r="M2189" s="4">
        <v>121.07937</v>
      </c>
      <c r="N2189" s="6"/>
      <c r="P2189"/>
      <c r="Q2189" s="12"/>
      <c r="R2189" s="12"/>
    </row>
    <row r="2190" spans="1:18" x14ac:dyDescent="0.2">
      <c r="A2190">
        <v>19</v>
      </c>
      <c r="B2190" t="s">
        <v>22</v>
      </c>
      <c r="C2190">
        <v>2015</v>
      </c>
      <c r="D2190">
        <v>5</v>
      </c>
      <c r="E2190" s="4">
        <v>0</v>
      </c>
      <c r="F2190" s="9">
        <v>0</v>
      </c>
      <c r="G2190" s="6">
        <v>5379</v>
      </c>
      <c r="H2190" s="9">
        <f t="shared" si="34"/>
        <v>0</v>
      </c>
      <c r="I2190" s="6">
        <v>14006</v>
      </c>
      <c r="J2190" s="6">
        <f>VLOOKUP(Table1[[#This Row],[Province]],[1]Sheet1!$A$3:$K$37,7,FALSE)</f>
        <v>5371500</v>
      </c>
      <c r="K2190">
        <v>0</v>
      </c>
      <c r="L2190" s="4">
        <v>8.6573820000000001</v>
      </c>
      <c r="M2190" s="4">
        <v>121.07937</v>
      </c>
      <c r="N2190" s="6"/>
      <c r="P2190"/>
      <c r="Q2190" s="12"/>
      <c r="R2190" s="12"/>
    </row>
    <row r="2191" spans="1:18" x14ac:dyDescent="0.2">
      <c r="A2191">
        <v>19</v>
      </c>
      <c r="B2191" t="s">
        <v>22</v>
      </c>
      <c r="C2191">
        <v>2015</v>
      </c>
      <c r="D2191">
        <v>6</v>
      </c>
      <c r="E2191" s="4">
        <v>0</v>
      </c>
      <c r="F2191" s="9">
        <v>0</v>
      </c>
      <c r="G2191" s="6">
        <v>6112</v>
      </c>
      <c r="H2191" s="9">
        <f t="shared" si="34"/>
        <v>0</v>
      </c>
      <c r="I2191" s="6">
        <v>14000</v>
      </c>
      <c r="J2191" s="6">
        <f>VLOOKUP(Table1[[#This Row],[Province]],[1]Sheet1!$A$3:$K$37,7,FALSE)</f>
        <v>5371500</v>
      </c>
      <c r="K2191">
        <v>1</v>
      </c>
      <c r="L2191" s="4">
        <v>8.6573820000000001</v>
      </c>
      <c r="M2191" s="4">
        <v>121.07937</v>
      </c>
      <c r="N2191" s="6"/>
      <c r="P2191"/>
      <c r="Q2191" s="12"/>
      <c r="R2191" s="12"/>
    </row>
    <row r="2192" spans="1:18" x14ac:dyDescent="0.2">
      <c r="A2192">
        <v>19</v>
      </c>
      <c r="B2192" t="s">
        <v>22</v>
      </c>
      <c r="C2192">
        <v>2015</v>
      </c>
      <c r="D2192">
        <v>7</v>
      </c>
      <c r="E2192" s="4">
        <v>0</v>
      </c>
      <c r="F2192" s="9">
        <v>0</v>
      </c>
      <c r="G2192" s="6">
        <v>4173</v>
      </c>
      <c r="H2192" s="9">
        <f t="shared" si="34"/>
        <v>0</v>
      </c>
      <c r="I2192" s="6">
        <v>14000</v>
      </c>
      <c r="J2192" s="6">
        <f>VLOOKUP(Table1[[#This Row],[Province]],[1]Sheet1!$A$3:$K$37,7,FALSE)</f>
        <v>5371500</v>
      </c>
      <c r="K2192">
        <v>0</v>
      </c>
      <c r="L2192" s="4">
        <v>8.6573820000000001</v>
      </c>
      <c r="M2192" s="4">
        <v>121.07937</v>
      </c>
      <c r="N2192" s="6"/>
      <c r="P2192"/>
      <c r="Q2192" s="12"/>
      <c r="R2192" s="12"/>
    </row>
    <row r="2193" spans="1:18" x14ac:dyDescent="0.2">
      <c r="A2193">
        <v>19</v>
      </c>
      <c r="B2193" t="s">
        <v>22</v>
      </c>
      <c r="C2193">
        <v>2015</v>
      </c>
      <c r="D2193">
        <v>8</v>
      </c>
      <c r="E2193" s="4">
        <v>0</v>
      </c>
      <c r="F2193" s="9">
        <v>0</v>
      </c>
      <c r="G2193" s="6">
        <v>4130</v>
      </c>
      <c r="H2193" s="9">
        <f t="shared" si="34"/>
        <v>0</v>
      </c>
      <c r="I2193" s="6">
        <v>14000</v>
      </c>
      <c r="J2193" s="6">
        <f>VLOOKUP(Table1[[#This Row],[Province]],[1]Sheet1!$A$3:$K$37,7,FALSE)</f>
        <v>5371500</v>
      </c>
      <c r="K2193">
        <v>0</v>
      </c>
      <c r="L2193" s="4">
        <v>8.6573820000000001</v>
      </c>
      <c r="M2193" s="4">
        <v>121.07937</v>
      </c>
      <c r="N2193" s="6"/>
      <c r="P2193"/>
      <c r="Q2193" s="12"/>
      <c r="R2193" s="12"/>
    </row>
    <row r="2194" spans="1:18" x14ac:dyDescent="0.2">
      <c r="A2194">
        <v>19</v>
      </c>
      <c r="B2194" t="s">
        <v>22</v>
      </c>
      <c r="C2194">
        <v>2015</v>
      </c>
      <c r="D2194">
        <v>9</v>
      </c>
      <c r="E2194" s="4">
        <v>0</v>
      </c>
      <c r="F2194" s="9">
        <v>0</v>
      </c>
      <c r="G2194" s="6">
        <v>5542</v>
      </c>
      <c r="H2194" s="9">
        <f t="shared" si="34"/>
        <v>0</v>
      </c>
      <c r="I2194" s="6">
        <v>14000</v>
      </c>
      <c r="J2194" s="6">
        <f>VLOOKUP(Table1[[#This Row],[Province]],[1]Sheet1!$A$3:$K$37,7,FALSE)</f>
        <v>5371500</v>
      </c>
      <c r="K2194">
        <v>0</v>
      </c>
      <c r="L2194" s="4">
        <v>8.6573820000000001</v>
      </c>
      <c r="M2194" s="4">
        <v>121.07937</v>
      </c>
      <c r="N2194" s="6"/>
      <c r="P2194"/>
      <c r="Q2194" s="12"/>
      <c r="R2194" s="12"/>
    </row>
    <row r="2195" spans="1:18" x14ac:dyDescent="0.2">
      <c r="A2195">
        <v>19</v>
      </c>
      <c r="B2195" t="s">
        <v>22</v>
      </c>
      <c r="C2195">
        <v>2015</v>
      </c>
      <c r="D2195">
        <v>10</v>
      </c>
      <c r="E2195" s="4">
        <v>0</v>
      </c>
      <c r="F2195" s="9">
        <v>0</v>
      </c>
      <c r="G2195" s="6">
        <v>3694</v>
      </c>
      <c r="H2195" s="9">
        <f t="shared" si="34"/>
        <v>0</v>
      </c>
      <c r="I2195" s="6">
        <v>14000</v>
      </c>
      <c r="J2195" s="6">
        <f>VLOOKUP(Table1[[#This Row],[Province]],[1]Sheet1!$A$3:$K$37,7,FALSE)</f>
        <v>5371500</v>
      </c>
      <c r="K2195">
        <v>0</v>
      </c>
      <c r="L2195" s="4">
        <v>8.6573820000000001</v>
      </c>
      <c r="M2195" s="4">
        <v>121.07937</v>
      </c>
      <c r="N2195" s="6"/>
      <c r="P2195"/>
      <c r="Q2195" s="12"/>
      <c r="R2195" s="12"/>
    </row>
    <row r="2196" spans="1:18" x14ac:dyDescent="0.2">
      <c r="A2196">
        <v>19</v>
      </c>
      <c r="B2196" t="s">
        <v>22</v>
      </c>
      <c r="C2196">
        <v>2015</v>
      </c>
      <c r="D2196">
        <v>11</v>
      </c>
      <c r="E2196" s="4">
        <v>0</v>
      </c>
      <c r="F2196" s="9">
        <v>0</v>
      </c>
      <c r="G2196" s="6">
        <v>4871</v>
      </c>
      <c r="H2196" s="9">
        <f t="shared" si="34"/>
        <v>0</v>
      </c>
      <c r="I2196" s="6">
        <v>14000</v>
      </c>
      <c r="J2196" s="6">
        <f>VLOOKUP(Table1[[#This Row],[Province]],[1]Sheet1!$A$3:$K$37,7,FALSE)</f>
        <v>5371500</v>
      </c>
      <c r="K2196">
        <v>0</v>
      </c>
      <c r="L2196" s="4">
        <v>8.6573820000000001</v>
      </c>
      <c r="M2196" s="4">
        <v>121.07937</v>
      </c>
      <c r="N2196" s="6"/>
      <c r="P2196"/>
      <c r="Q2196" s="12"/>
      <c r="R2196" s="12"/>
    </row>
    <row r="2197" spans="1:18" x14ac:dyDescent="0.2">
      <c r="A2197">
        <v>19</v>
      </c>
      <c r="B2197" t="s">
        <v>22</v>
      </c>
      <c r="C2197">
        <v>2015</v>
      </c>
      <c r="D2197">
        <v>12</v>
      </c>
      <c r="E2197" s="4">
        <v>0</v>
      </c>
      <c r="F2197" s="9">
        <v>0</v>
      </c>
      <c r="G2197" s="6">
        <v>5221</v>
      </c>
      <c r="H2197" s="9">
        <f t="shared" si="34"/>
        <v>0</v>
      </c>
      <c r="I2197" s="6">
        <v>14000</v>
      </c>
      <c r="J2197" s="6">
        <f>VLOOKUP(Table1[[#This Row],[Province]],[1]Sheet1!$A$3:$K$37,7,FALSE)</f>
        <v>5371500</v>
      </c>
      <c r="K2197">
        <v>1</v>
      </c>
      <c r="L2197" s="4">
        <v>8.6573820000000001</v>
      </c>
      <c r="M2197" s="4">
        <v>121.07937</v>
      </c>
      <c r="N2197" s="6"/>
      <c r="P2197"/>
      <c r="Q2197" s="12"/>
      <c r="R2197" s="12"/>
    </row>
    <row r="2198" spans="1:18" x14ac:dyDescent="0.2">
      <c r="A2198">
        <v>19</v>
      </c>
      <c r="B2198" t="s">
        <v>22</v>
      </c>
      <c r="C2198">
        <v>2016</v>
      </c>
      <c r="D2198">
        <v>1</v>
      </c>
      <c r="E2198" s="4">
        <v>0</v>
      </c>
      <c r="F2198" s="9">
        <v>0</v>
      </c>
      <c r="G2198" s="6">
        <v>6000</v>
      </c>
      <c r="H2198" s="9">
        <f t="shared" si="34"/>
        <v>0</v>
      </c>
      <c r="I2198" s="6">
        <v>14000</v>
      </c>
      <c r="J2198" s="6">
        <f>VLOOKUP(Table1[[#This Row],[Province]],[1]Sheet1!$A$3:$K$37,7,FALSE)</f>
        <v>5371500</v>
      </c>
      <c r="K2198">
        <v>0</v>
      </c>
      <c r="L2198" s="4">
        <v>8.6573820000000001</v>
      </c>
      <c r="M2198" s="4">
        <v>121.07937</v>
      </c>
      <c r="N2198" s="13">
        <v>5.12</v>
      </c>
      <c r="P2198"/>
      <c r="Q2198" s="12"/>
      <c r="R2198" s="12"/>
    </row>
    <row r="2199" spans="1:18" x14ac:dyDescent="0.2">
      <c r="A2199">
        <v>19</v>
      </c>
      <c r="B2199" t="s">
        <v>22</v>
      </c>
      <c r="C2199">
        <v>2016</v>
      </c>
      <c r="D2199">
        <v>2</v>
      </c>
      <c r="E2199" s="4">
        <v>0</v>
      </c>
      <c r="F2199" s="9">
        <v>0</v>
      </c>
      <c r="G2199" s="6">
        <v>2642</v>
      </c>
      <c r="H2199" s="9">
        <f t="shared" si="34"/>
        <v>0</v>
      </c>
      <c r="I2199" s="6">
        <v>14000</v>
      </c>
      <c r="J2199" s="6">
        <f>VLOOKUP(Table1[[#This Row],[Province]],[1]Sheet1!$A$3:$K$37,7,FALSE)</f>
        <v>5371500</v>
      </c>
      <c r="K2199">
        <v>0</v>
      </c>
      <c r="L2199" s="4">
        <v>8.6573820000000001</v>
      </c>
      <c r="M2199" s="4">
        <v>121.07937</v>
      </c>
      <c r="N2199" s="13">
        <v>5.12</v>
      </c>
      <c r="P2199"/>
      <c r="Q2199" s="12"/>
      <c r="R2199" s="12"/>
    </row>
    <row r="2200" spans="1:18" x14ac:dyDescent="0.2">
      <c r="A2200">
        <v>19</v>
      </c>
      <c r="B2200" t="s">
        <v>22</v>
      </c>
      <c r="C2200">
        <v>2016</v>
      </c>
      <c r="D2200">
        <v>3</v>
      </c>
      <c r="E2200" s="4">
        <v>0</v>
      </c>
      <c r="F2200" s="9">
        <v>0</v>
      </c>
      <c r="G2200" s="6">
        <v>4606</v>
      </c>
      <c r="H2200" s="9">
        <f t="shared" si="34"/>
        <v>0</v>
      </c>
      <c r="I2200" s="6">
        <v>14000</v>
      </c>
      <c r="J2200" s="6">
        <f>VLOOKUP(Table1[[#This Row],[Province]],[1]Sheet1!$A$3:$K$37,7,FALSE)</f>
        <v>5371500</v>
      </c>
      <c r="K2200">
        <v>0</v>
      </c>
      <c r="L2200" s="4">
        <v>8.6573820000000001</v>
      </c>
      <c r="M2200" s="4">
        <v>121.07937</v>
      </c>
      <c r="N2200" s="13">
        <v>5.12</v>
      </c>
      <c r="P2200"/>
      <c r="Q2200" s="12"/>
      <c r="R2200" s="12"/>
    </row>
    <row r="2201" spans="1:18" x14ac:dyDescent="0.2">
      <c r="A2201">
        <v>19</v>
      </c>
      <c r="B2201" t="s">
        <v>22</v>
      </c>
      <c r="C2201">
        <v>2016</v>
      </c>
      <c r="D2201">
        <v>4</v>
      </c>
      <c r="E2201" s="4">
        <v>0</v>
      </c>
      <c r="F2201" s="9">
        <v>0</v>
      </c>
      <c r="G2201" s="6">
        <v>2949</v>
      </c>
      <c r="H2201" s="9">
        <f t="shared" si="34"/>
        <v>0</v>
      </c>
      <c r="I2201" s="6">
        <v>14000</v>
      </c>
      <c r="J2201" s="6">
        <f>VLOOKUP(Table1[[#This Row],[Province]],[1]Sheet1!$A$3:$K$37,7,FALSE)</f>
        <v>5371500</v>
      </c>
      <c r="K2201">
        <v>0</v>
      </c>
      <c r="L2201" s="4">
        <v>8.6573820000000001</v>
      </c>
      <c r="M2201" s="4">
        <v>121.07937</v>
      </c>
      <c r="N2201" s="13">
        <v>5.12</v>
      </c>
      <c r="P2201"/>
      <c r="Q2201" s="12"/>
      <c r="R2201" s="12"/>
    </row>
    <row r="2202" spans="1:18" x14ac:dyDescent="0.2">
      <c r="A2202">
        <v>19</v>
      </c>
      <c r="B2202" t="s">
        <v>22</v>
      </c>
      <c r="C2202">
        <v>2016</v>
      </c>
      <c r="D2202">
        <v>5</v>
      </c>
      <c r="E2202" s="4">
        <v>0</v>
      </c>
      <c r="F2202" s="9">
        <v>0</v>
      </c>
      <c r="G2202" s="6">
        <v>5162</v>
      </c>
      <c r="H2202" s="9">
        <f t="shared" si="34"/>
        <v>0</v>
      </c>
      <c r="I2202" s="6">
        <v>14000</v>
      </c>
      <c r="J2202" s="6">
        <f>VLOOKUP(Table1[[#This Row],[Province]],[1]Sheet1!$A$3:$K$37,7,FALSE)</f>
        <v>5371500</v>
      </c>
      <c r="K2202">
        <v>0</v>
      </c>
      <c r="L2202" s="4">
        <v>8.6573820000000001</v>
      </c>
      <c r="M2202" s="4">
        <v>121.07937</v>
      </c>
      <c r="N2202" s="13">
        <v>5.12</v>
      </c>
      <c r="P2202"/>
      <c r="Q2202" s="12"/>
      <c r="R2202" s="12"/>
    </row>
    <row r="2203" spans="1:18" x14ac:dyDescent="0.2">
      <c r="A2203">
        <v>19</v>
      </c>
      <c r="B2203" t="s">
        <v>22</v>
      </c>
      <c r="C2203">
        <v>2016</v>
      </c>
      <c r="D2203">
        <v>6</v>
      </c>
      <c r="E2203" s="4">
        <v>0</v>
      </c>
      <c r="F2203" s="9">
        <v>0</v>
      </c>
      <c r="G2203" s="6">
        <v>5344</v>
      </c>
      <c r="H2203" s="9">
        <f t="shared" si="34"/>
        <v>0</v>
      </c>
      <c r="I2203" s="6">
        <v>14000</v>
      </c>
      <c r="J2203" s="6">
        <f>VLOOKUP(Table1[[#This Row],[Province]],[1]Sheet1!$A$3:$K$37,7,FALSE)</f>
        <v>5371500</v>
      </c>
      <c r="K2203">
        <v>1</v>
      </c>
      <c r="L2203" s="4">
        <v>8.6573820000000001</v>
      </c>
      <c r="M2203" s="4">
        <v>121.07937</v>
      </c>
      <c r="N2203" s="13">
        <v>5.12</v>
      </c>
      <c r="P2203"/>
      <c r="Q2203" s="12"/>
      <c r="R2203" s="12"/>
    </row>
    <row r="2204" spans="1:18" x14ac:dyDescent="0.2">
      <c r="A2204">
        <v>19</v>
      </c>
      <c r="B2204" t="s">
        <v>22</v>
      </c>
      <c r="C2204">
        <v>2016</v>
      </c>
      <c r="D2204">
        <v>7</v>
      </c>
      <c r="E2204" s="4">
        <v>0</v>
      </c>
      <c r="F2204" s="9">
        <v>0</v>
      </c>
      <c r="G2204" s="6">
        <v>5099</v>
      </c>
      <c r="H2204" s="9">
        <f t="shared" si="34"/>
        <v>0</v>
      </c>
      <c r="I2204" s="6">
        <v>14000</v>
      </c>
      <c r="J2204" s="6">
        <f>VLOOKUP(Table1[[#This Row],[Province]],[1]Sheet1!$A$3:$K$37,7,FALSE)</f>
        <v>5371500</v>
      </c>
      <c r="K2204">
        <v>0</v>
      </c>
      <c r="L2204" s="4">
        <v>8.6573820000000001</v>
      </c>
      <c r="M2204" s="4">
        <v>121.07937</v>
      </c>
      <c r="N2204" s="13">
        <v>5.12</v>
      </c>
      <c r="P2204"/>
      <c r="Q2204" s="12"/>
      <c r="R2204" s="12"/>
    </row>
    <row r="2205" spans="1:18" x14ac:dyDescent="0.2">
      <c r="A2205">
        <v>19</v>
      </c>
      <c r="B2205" t="s">
        <v>22</v>
      </c>
      <c r="C2205">
        <v>2016</v>
      </c>
      <c r="D2205">
        <v>8</v>
      </c>
      <c r="E2205" s="4">
        <v>0</v>
      </c>
      <c r="F2205" s="9">
        <v>0</v>
      </c>
      <c r="G2205" s="6">
        <v>5038</v>
      </c>
      <c r="H2205" s="9">
        <f t="shared" si="34"/>
        <v>0</v>
      </c>
      <c r="I2205" s="6">
        <v>14000</v>
      </c>
      <c r="J2205" s="6">
        <f>VLOOKUP(Table1[[#This Row],[Province]],[1]Sheet1!$A$3:$K$37,7,FALSE)</f>
        <v>5371500</v>
      </c>
      <c r="K2205">
        <v>0</v>
      </c>
      <c r="L2205" s="4">
        <v>8.6573820000000001</v>
      </c>
      <c r="M2205" s="4">
        <v>121.07937</v>
      </c>
      <c r="N2205" s="13">
        <v>5.12</v>
      </c>
      <c r="P2205"/>
      <c r="Q2205" s="12"/>
      <c r="R2205" s="12"/>
    </row>
    <row r="2206" spans="1:18" x14ac:dyDescent="0.2">
      <c r="A2206">
        <v>19</v>
      </c>
      <c r="B2206" t="s">
        <v>22</v>
      </c>
      <c r="C2206">
        <v>2016</v>
      </c>
      <c r="D2206">
        <v>9</v>
      </c>
      <c r="E2206" s="4">
        <v>0</v>
      </c>
      <c r="F2206" s="9">
        <v>0</v>
      </c>
      <c r="G2206" s="6">
        <v>1947</v>
      </c>
      <c r="H2206" s="9">
        <f t="shared" si="34"/>
        <v>0</v>
      </c>
      <c r="I2206" s="6">
        <v>14000</v>
      </c>
      <c r="J2206" s="6">
        <f>VLOOKUP(Table1[[#This Row],[Province]],[1]Sheet1!$A$3:$K$37,7,FALSE)</f>
        <v>5371500</v>
      </c>
      <c r="K2206">
        <v>0</v>
      </c>
      <c r="L2206" s="4">
        <v>8.6573820000000001</v>
      </c>
      <c r="M2206" s="4">
        <v>121.07937</v>
      </c>
      <c r="N2206" s="13">
        <v>5.12</v>
      </c>
      <c r="P2206"/>
      <c r="Q2206" s="12"/>
      <c r="R2206" s="12"/>
    </row>
    <row r="2207" spans="1:18" x14ac:dyDescent="0.2">
      <c r="A2207">
        <v>19</v>
      </c>
      <c r="B2207" t="s">
        <v>22</v>
      </c>
      <c r="C2207">
        <v>2016</v>
      </c>
      <c r="D2207">
        <v>10</v>
      </c>
      <c r="E2207" s="4">
        <v>0</v>
      </c>
      <c r="F2207" s="9">
        <v>0</v>
      </c>
      <c r="G2207" s="6">
        <v>8506</v>
      </c>
      <c r="H2207" s="9">
        <f t="shared" si="34"/>
        <v>0</v>
      </c>
      <c r="I2207" s="6">
        <v>14000</v>
      </c>
      <c r="J2207" s="6">
        <f>VLOOKUP(Table1[[#This Row],[Province]],[1]Sheet1!$A$3:$K$37,7,FALSE)</f>
        <v>5371500</v>
      </c>
      <c r="K2207">
        <v>0</v>
      </c>
      <c r="L2207" s="4">
        <v>8.6573820000000001</v>
      </c>
      <c r="M2207" s="4">
        <v>121.07937</v>
      </c>
      <c r="N2207" s="13">
        <v>5.12</v>
      </c>
      <c r="P2207"/>
      <c r="Q2207" s="12"/>
      <c r="R2207" s="12"/>
    </row>
    <row r="2208" spans="1:18" x14ac:dyDescent="0.2">
      <c r="A2208">
        <v>19</v>
      </c>
      <c r="B2208" t="s">
        <v>22</v>
      </c>
      <c r="C2208">
        <v>2016</v>
      </c>
      <c r="D2208">
        <v>11</v>
      </c>
      <c r="E2208" s="4">
        <v>0</v>
      </c>
      <c r="F2208" s="9">
        <v>0</v>
      </c>
      <c r="G2208" s="6">
        <v>2408</v>
      </c>
      <c r="H2208" s="9">
        <f t="shared" si="34"/>
        <v>0</v>
      </c>
      <c r="I2208" s="6">
        <v>14000</v>
      </c>
      <c r="J2208" s="6">
        <f>VLOOKUP(Table1[[#This Row],[Province]],[1]Sheet1!$A$3:$K$37,7,FALSE)</f>
        <v>5371500</v>
      </c>
      <c r="K2208">
        <v>0</v>
      </c>
      <c r="L2208" s="4">
        <v>8.6573820000000001</v>
      </c>
      <c r="M2208" s="4">
        <v>121.07937</v>
      </c>
      <c r="N2208" s="13">
        <v>5.12</v>
      </c>
      <c r="P2208"/>
      <c r="Q2208" s="12"/>
      <c r="R2208" s="12"/>
    </row>
    <row r="2209" spans="1:18" x14ac:dyDescent="0.2">
      <c r="A2209">
        <v>19</v>
      </c>
      <c r="B2209" t="s">
        <v>22</v>
      </c>
      <c r="C2209">
        <v>2016</v>
      </c>
      <c r="D2209">
        <v>12</v>
      </c>
      <c r="E2209" s="4">
        <v>0</v>
      </c>
      <c r="F2209" s="9">
        <v>0</v>
      </c>
      <c r="G2209" s="6">
        <v>2410</v>
      </c>
      <c r="H2209" s="9">
        <f t="shared" si="34"/>
        <v>0</v>
      </c>
      <c r="I2209" s="6">
        <v>14000</v>
      </c>
      <c r="J2209" s="6">
        <f>VLOOKUP(Table1[[#This Row],[Province]],[1]Sheet1!$A$3:$K$37,7,FALSE)</f>
        <v>5371500</v>
      </c>
      <c r="K2209">
        <v>1</v>
      </c>
      <c r="L2209" s="4">
        <v>8.6573820000000001</v>
      </c>
      <c r="M2209" s="4">
        <v>121.07937</v>
      </c>
      <c r="N2209" s="13">
        <v>5.12</v>
      </c>
      <c r="P2209"/>
      <c r="Q2209" s="12"/>
      <c r="R2209" s="12"/>
    </row>
    <row r="2210" spans="1:18" x14ac:dyDescent="0.2">
      <c r="A2210">
        <v>19</v>
      </c>
      <c r="B2210" t="s">
        <v>22</v>
      </c>
      <c r="C2210">
        <v>2017</v>
      </c>
      <c r="D2210">
        <v>1</v>
      </c>
      <c r="E2210" s="4">
        <v>0</v>
      </c>
      <c r="F2210" s="9">
        <v>0</v>
      </c>
      <c r="G2210" s="6">
        <v>4801</v>
      </c>
      <c r="H2210" s="9">
        <f t="shared" si="34"/>
        <v>0</v>
      </c>
      <c r="I2210" s="6">
        <v>14000</v>
      </c>
      <c r="J2210" s="6">
        <f>VLOOKUP(Table1[[#This Row],[Province]],[1]Sheet1!$A$3:$K$37,7,FALSE)</f>
        <v>5371500</v>
      </c>
      <c r="K2210">
        <v>0</v>
      </c>
      <c r="L2210" s="4">
        <v>8.6573820000000001</v>
      </c>
      <c r="M2210" s="4">
        <v>121.07937</v>
      </c>
      <c r="N2210" s="13">
        <v>5.1100000000000003</v>
      </c>
      <c r="P2210"/>
      <c r="Q2210" s="12"/>
      <c r="R2210" s="12"/>
    </row>
    <row r="2211" spans="1:18" x14ac:dyDescent="0.2">
      <c r="A2211">
        <v>19</v>
      </c>
      <c r="B2211" t="s">
        <v>22</v>
      </c>
      <c r="C2211">
        <v>2017</v>
      </c>
      <c r="D2211">
        <v>2</v>
      </c>
      <c r="E2211" s="4">
        <v>0</v>
      </c>
      <c r="F2211" s="9">
        <v>0</v>
      </c>
      <c r="G2211" s="6">
        <v>2758</v>
      </c>
      <c r="H2211" s="9">
        <f t="shared" si="34"/>
        <v>0</v>
      </c>
      <c r="I2211" s="6">
        <v>14000</v>
      </c>
      <c r="J2211" s="6">
        <f>VLOOKUP(Table1[[#This Row],[Province]],[1]Sheet1!$A$3:$K$37,7,FALSE)</f>
        <v>5371500</v>
      </c>
      <c r="K2211">
        <v>0</v>
      </c>
      <c r="L2211" s="4">
        <v>8.6573820000000001</v>
      </c>
      <c r="M2211" s="4">
        <v>121.07937</v>
      </c>
      <c r="N2211" s="13">
        <v>5.1100000000000003</v>
      </c>
      <c r="P2211"/>
      <c r="Q2211" s="12"/>
      <c r="R2211" s="12"/>
    </row>
    <row r="2212" spans="1:18" x14ac:dyDescent="0.2">
      <c r="A2212">
        <v>19</v>
      </c>
      <c r="B2212" t="s">
        <v>22</v>
      </c>
      <c r="C2212">
        <v>2017</v>
      </c>
      <c r="D2212">
        <v>3</v>
      </c>
      <c r="E2212" s="4">
        <v>0</v>
      </c>
      <c r="F2212" s="9">
        <v>0</v>
      </c>
      <c r="G2212" s="6">
        <v>2155</v>
      </c>
      <c r="H2212" s="9">
        <f t="shared" si="34"/>
        <v>0</v>
      </c>
      <c r="I2212" s="6">
        <v>14773</v>
      </c>
      <c r="J2212" s="6">
        <f>VLOOKUP(Table1[[#This Row],[Province]],[1]Sheet1!$A$3:$K$37,7,FALSE)</f>
        <v>5371500</v>
      </c>
      <c r="K2212">
        <v>0</v>
      </c>
      <c r="L2212" s="4">
        <v>8.6573820000000001</v>
      </c>
      <c r="M2212" s="4">
        <v>121.07937</v>
      </c>
      <c r="N2212" s="13">
        <v>5.1100000000000003</v>
      </c>
      <c r="P2212"/>
      <c r="Q2212" s="12"/>
      <c r="R2212" s="12"/>
    </row>
    <row r="2213" spans="1:18" x14ac:dyDescent="0.2">
      <c r="A2213">
        <v>19</v>
      </c>
      <c r="B2213" t="s">
        <v>22</v>
      </c>
      <c r="C2213">
        <v>2017</v>
      </c>
      <c r="D2213">
        <v>4</v>
      </c>
      <c r="E2213" s="4">
        <v>0</v>
      </c>
      <c r="F2213" s="9">
        <v>0</v>
      </c>
      <c r="G2213" s="6">
        <v>1539</v>
      </c>
      <c r="H2213" s="9">
        <f t="shared" si="34"/>
        <v>0</v>
      </c>
      <c r="I2213" s="6">
        <v>15000</v>
      </c>
      <c r="J2213" s="6">
        <f>VLOOKUP(Table1[[#This Row],[Province]],[1]Sheet1!$A$3:$K$37,7,FALSE)</f>
        <v>5371500</v>
      </c>
      <c r="K2213">
        <v>0</v>
      </c>
      <c r="L2213" s="4">
        <v>8.6573820000000001</v>
      </c>
      <c r="M2213" s="4">
        <v>121.07937</v>
      </c>
      <c r="N2213" s="13">
        <v>5.1100000000000003</v>
      </c>
      <c r="P2213"/>
      <c r="Q2213" s="12"/>
      <c r="R2213" s="12"/>
    </row>
    <row r="2214" spans="1:18" x14ac:dyDescent="0.2">
      <c r="A2214">
        <v>19</v>
      </c>
      <c r="B2214" t="s">
        <v>22</v>
      </c>
      <c r="C2214">
        <v>2017</v>
      </c>
      <c r="D2214">
        <v>5</v>
      </c>
      <c r="E2214" s="4">
        <v>0</v>
      </c>
      <c r="F2214" s="9">
        <v>0</v>
      </c>
      <c r="G2214" s="6">
        <v>1483</v>
      </c>
      <c r="H2214" s="9">
        <f t="shared" si="34"/>
        <v>0</v>
      </c>
      <c r="I2214" s="6">
        <v>15000</v>
      </c>
      <c r="J2214" s="6">
        <f>VLOOKUP(Table1[[#This Row],[Province]],[1]Sheet1!$A$3:$K$37,7,FALSE)</f>
        <v>5371500</v>
      </c>
      <c r="K2214">
        <v>1</v>
      </c>
      <c r="L2214" s="4">
        <v>8.6573820000000001</v>
      </c>
      <c r="M2214" s="4">
        <v>121.07937</v>
      </c>
      <c r="N2214" s="13">
        <v>5.1100000000000003</v>
      </c>
      <c r="P2214"/>
      <c r="Q2214" s="12"/>
      <c r="R2214" s="12"/>
    </row>
    <row r="2215" spans="1:18" x14ac:dyDescent="0.2">
      <c r="A2215">
        <v>19</v>
      </c>
      <c r="B2215" t="s">
        <v>22</v>
      </c>
      <c r="C2215">
        <v>2017</v>
      </c>
      <c r="D2215">
        <v>6</v>
      </c>
      <c r="E2215" s="4">
        <v>0</v>
      </c>
      <c r="F2215" s="9">
        <v>0</v>
      </c>
      <c r="G2215" s="6">
        <v>2743</v>
      </c>
      <c r="H2215" s="9">
        <f t="shared" si="34"/>
        <v>0</v>
      </c>
      <c r="I2215" s="6">
        <v>15000</v>
      </c>
      <c r="J2215" s="6">
        <f>VLOOKUP(Table1[[#This Row],[Province]],[1]Sheet1!$A$3:$K$37,7,FALSE)</f>
        <v>5371500</v>
      </c>
      <c r="K2215">
        <v>0</v>
      </c>
      <c r="L2215" s="4">
        <v>8.6573820000000001</v>
      </c>
      <c r="M2215" s="4">
        <v>121.07937</v>
      </c>
      <c r="N2215" s="13">
        <v>5.1100000000000003</v>
      </c>
      <c r="P2215"/>
      <c r="Q2215" s="12"/>
      <c r="R2215" s="12"/>
    </row>
    <row r="2216" spans="1:18" x14ac:dyDescent="0.2">
      <c r="A2216">
        <v>19</v>
      </c>
      <c r="B2216" t="s">
        <v>22</v>
      </c>
      <c r="C2216">
        <v>2017</v>
      </c>
      <c r="D2216">
        <v>7</v>
      </c>
      <c r="E2216" s="4">
        <v>0</v>
      </c>
      <c r="F2216" s="9">
        <v>0</v>
      </c>
      <c r="G2216" s="6">
        <v>3054</v>
      </c>
      <c r="H2216" s="9">
        <f t="shared" si="34"/>
        <v>0</v>
      </c>
      <c r="I2216" s="6">
        <v>15000</v>
      </c>
      <c r="J2216" s="6">
        <f>VLOOKUP(Table1[[#This Row],[Province]],[1]Sheet1!$A$3:$K$37,7,FALSE)</f>
        <v>5371500</v>
      </c>
      <c r="K2216">
        <v>0</v>
      </c>
      <c r="L2216" s="4">
        <v>8.6573820000000001</v>
      </c>
      <c r="M2216" s="4">
        <v>121.07937</v>
      </c>
      <c r="N2216" s="13">
        <v>5.1100000000000003</v>
      </c>
      <c r="P2216"/>
      <c r="Q2216" s="12"/>
      <c r="R2216" s="12"/>
    </row>
    <row r="2217" spans="1:18" x14ac:dyDescent="0.2">
      <c r="A2217">
        <v>19</v>
      </c>
      <c r="B2217" t="s">
        <v>22</v>
      </c>
      <c r="C2217">
        <v>2017</v>
      </c>
      <c r="D2217">
        <v>8</v>
      </c>
      <c r="E2217" s="4">
        <v>0</v>
      </c>
      <c r="F2217" s="9">
        <v>0</v>
      </c>
      <c r="G2217" s="6">
        <v>5853</v>
      </c>
      <c r="H2217" s="9">
        <f t="shared" si="34"/>
        <v>0</v>
      </c>
      <c r="I2217" s="6">
        <v>15000</v>
      </c>
      <c r="J2217" s="6">
        <f>VLOOKUP(Table1[[#This Row],[Province]],[1]Sheet1!$A$3:$K$37,7,FALSE)</f>
        <v>5371500</v>
      </c>
      <c r="K2217">
        <v>0</v>
      </c>
      <c r="L2217" s="4">
        <v>8.6573820000000001</v>
      </c>
      <c r="M2217" s="4">
        <v>121.07937</v>
      </c>
      <c r="N2217" s="13">
        <v>5.1100000000000003</v>
      </c>
      <c r="P2217"/>
      <c r="Q2217" s="12"/>
      <c r="R2217" s="12"/>
    </row>
    <row r="2218" spans="1:18" x14ac:dyDescent="0.2">
      <c r="A2218">
        <v>19</v>
      </c>
      <c r="B2218" t="s">
        <v>22</v>
      </c>
      <c r="C2218">
        <v>2017</v>
      </c>
      <c r="D2218">
        <v>9</v>
      </c>
      <c r="E2218" s="4">
        <v>0</v>
      </c>
      <c r="F2218" s="9">
        <v>0</v>
      </c>
      <c r="G2218" s="6">
        <v>5672</v>
      </c>
      <c r="H2218" s="9">
        <f t="shared" si="34"/>
        <v>0</v>
      </c>
      <c r="I2218" s="6">
        <v>15000</v>
      </c>
      <c r="J2218" s="6">
        <f>VLOOKUP(Table1[[#This Row],[Province]],[1]Sheet1!$A$3:$K$37,7,FALSE)</f>
        <v>5371500</v>
      </c>
      <c r="K2218">
        <v>0</v>
      </c>
      <c r="L2218" s="4">
        <v>8.6573820000000001</v>
      </c>
      <c r="M2218" s="4">
        <v>121.07937</v>
      </c>
      <c r="N2218" s="13">
        <v>5.1100000000000003</v>
      </c>
      <c r="P2218"/>
      <c r="Q2218" s="12"/>
      <c r="R2218" s="12"/>
    </row>
    <row r="2219" spans="1:18" x14ac:dyDescent="0.2">
      <c r="A2219">
        <v>19</v>
      </c>
      <c r="B2219" t="s">
        <v>22</v>
      </c>
      <c r="C2219">
        <v>2017</v>
      </c>
      <c r="D2219">
        <v>10</v>
      </c>
      <c r="E2219" s="4">
        <v>0</v>
      </c>
      <c r="F2219" s="9">
        <v>0</v>
      </c>
      <c r="G2219" s="6">
        <v>7362</v>
      </c>
      <c r="H2219" s="9">
        <f t="shared" si="34"/>
        <v>0</v>
      </c>
      <c r="I2219" s="6">
        <v>15000</v>
      </c>
      <c r="J2219" s="6">
        <f>VLOOKUP(Table1[[#This Row],[Province]],[1]Sheet1!$A$3:$K$37,7,FALSE)</f>
        <v>5371500</v>
      </c>
      <c r="K2219">
        <v>0</v>
      </c>
      <c r="L2219" s="4">
        <v>8.6573820000000001</v>
      </c>
      <c r="M2219" s="4">
        <v>121.07937</v>
      </c>
      <c r="N2219" s="13">
        <v>5.1100000000000003</v>
      </c>
      <c r="P2219"/>
      <c r="Q2219" s="12"/>
      <c r="R2219" s="12"/>
    </row>
    <row r="2220" spans="1:18" x14ac:dyDescent="0.2">
      <c r="A2220">
        <v>19</v>
      </c>
      <c r="B2220" t="s">
        <v>22</v>
      </c>
      <c r="C2220">
        <v>2017</v>
      </c>
      <c r="D2220">
        <v>11</v>
      </c>
      <c r="E2220" s="4">
        <v>0</v>
      </c>
      <c r="F2220" s="9">
        <v>0</v>
      </c>
      <c r="G2220" s="6">
        <v>1924</v>
      </c>
      <c r="H2220" s="9">
        <f t="shared" si="34"/>
        <v>0</v>
      </c>
      <c r="I2220" s="6">
        <v>15000</v>
      </c>
      <c r="J2220" s="6">
        <f>VLOOKUP(Table1[[#This Row],[Province]],[1]Sheet1!$A$3:$K$37,7,FALSE)</f>
        <v>5371500</v>
      </c>
      <c r="K2220">
        <v>0</v>
      </c>
      <c r="L2220" s="4">
        <v>8.6573820000000001</v>
      </c>
      <c r="M2220" s="4">
        <v>121.07937</v>
      </c>
      <c r="N2220" s="13">
        <v>5.1100000000000003</v>
      </c>
      <c r="P2220"/>
      <c r="Q2220" s="12"/>
      <c r="R2220" s="12"/>
    </row>
    <row r="2221" spans="1:18" x14ac:dyDescent="0.2">
      <c r="A2221">
        <v>19</v>
      </c>
      <c r="B2221" t="s">
        <v>22</v>
      </c>
      <c r="C2221">
        <v>2017</v>
      </c>
      <c r="D2221">
        <v>12</v>
      </c>
      <c r="E2221" s="4">
        <v>0</v>
      </c>
      <c r="F2221" s="9">
        <v>0</v>
      </c>
      <c r="G2221" s="6">
        <v>3584</v>
      </c>
      <c r="H2221" s="9">
        <f t="shared" si="34"/>
        <v>0</v>
      </c>
      <c r="I2221" s="6">
        <v>15000</v>
      </c>
      <c r="J2221" s="6">
        <f>VLOOKUP(Table1[[#This Row],[Province]],[1]Sheet1!$A$3:$K$37,7,FALSE)</f>
        <v>5371500</v>
      </c>
      <c r="K2221">
        <v>1</v>
      </c>
      <c r="L2221" s="4">
        <v>8.6573820000000001</v>
      </c>
      <c r="M2221" s="4">
        <v>121.07937</v>
      </c>
      <c r="N2221" s="13">
        <v>5.1100000000000003</v>
      </c>
      <c r="P2221"/>
      <c r="Q2221" s="12"/>
      <c r="R2221" s="12"/>
    </row>
    <row r="2222" spans="1:18" x14ac:dyDescent="0.2">
      <c r="A2222">
        <v>19</v>
      </c>
      <c r="B2222" t="s">
        <v>22</v>
      </c>
      <c r="C2222">
        <v>2018</v>
      </c>
      <c r="D2222">
        <v>1</v>
      </c>
      <c r="E2222" s="4">
        <v>0</v>
      </c>
      <c r="F2222" s="9">
        <v>0</v>
      </c>
      <c r="G2222" s="6">
        <v>6046</v>
      </c>
      <c r="H2222" s="9">
        <f t="shared" si="34"/>
        <v>0</v>
      </c>
      <c r="I2222" s="6">
        <v>13500</v>
      </c>
      <c r="J2222" s="6">
        <f>VLOOKUP(Table1[[#This Row],[Province]],[1]Sheet1!$A$3:$K$37,7,FALSE)</f>
        <v>5371500</v>
      </c>
      <c r="K2222">
        <v>0</v>
      </c>
      <c r="L2222" s="4">
        <v>8.6573820000000001</v>
      </c>
      <c r="M2222" s="4">
        <v>121.07937</v>
      </c>
      <c r="N2222" s="13">
        <v>5.1100000000000003</v>
      </c>
      <c r="P2222"/>
      <c r="Q2222" s="12"/>
      <c r="R2222" s="12"/>
    </row>
    <row r="2223" spans="1:18" x14ac:dyDescent="0.2">
      <c r="A2223">
        <v>19</v>
      </c>
      <c r="B2223" t="s">
        <v>22</v>
      </c>
      <c r="C2223">
        <v>2018</v>
      </c>
      <c r="D2223">
        <v>2</v>
      </c>
      <c r="E2223" s="4">
        <v>0</v>
      </c>
      <c r="F2223" s="9">
        <v>0</v>
      </c>
      <c r="G2223" s="6">
        <v>6688</v>
      </c>
      <c r="H2223" s="9">
        <f t="shared" si="34"/>
        <v>0</v>
      </c>
      <c r="I2223" s="6">
        <v>13000</v>
      </c>
      <c r="J2223" s="6">
        <f>VLOOKUP(Table1[[#This Row],[Province]],[1]Sheet1!$A$3:$K$37,7,FALSE)</f>
        <v>5371500</v>
      </c>
      <c r="K2223">
        <v>0</v>
      </c>
      <c r="L2223" s="4">
        <v>8.6573820000000001</v>
      </c>
      <c r="M2223" s="4">
        <v>121.07937</v>
      </c>
      <c r="N2223" s="13">
        <v>5.1100000000000003</v>
      </c>
      <c r="P2223"/>
      <c r="Q2223" s="12"/>
      <c r="R2223" s="12"/>
    </row>
    <row r="2224" spans="1:18" x14ac:dyDescent="0.2">
      <c r="A2224">
        <v>19</v>
      </c>
      <c r="B2224" t="s">
        <v>22</v>
      </c>
      <c r="C2224">
        <v>2018</v>
      </c>
      <c r="D2224">
        <v>3</v>
      </c>
      <c r="E2224" s="4">
        <v>0</v>
      </c>
      <c r="F2224" s="9">
        <v>0</v>
      </c>
      <c r="G2224" s="6">
        <v>4359</v>
      </c>
      <c r="H2224" s="9">
        <f t="shared" si="34"/>
        <v>0</v>
      </c>
      <c r="I2224" s="6">
        <v>13000</v>
      </c>
      <c r="J2224" s="6">
        <f>VLOOKUP(Table1[[#This Row],[Province]],[1]Sheet1!$A$3:$K$37,7,FALSE)</f>
        <v>5371500</v>
      </c>
      <c r="K2224">
        <v>0</v>
      </c>
      <c r="L2224" s="4">
        <v>8.6573820000000001</v>
      </c>
      <c r="M2224" s="4">
        <v>121.07937</v>
      </c>
      <c r="N2224" s="13">
        <v>5.1100000000000003</v>
      </c>
      <c r="P2224"/>
      <c r="Q2224" s="12"/>
      <c r="R2224" s="12"/>
    </row>
    <row r="2225" spans="1:18" x14ac:dyDescent="0.2">
      <c r="A2225">
        <v>19</v>
      </c>
      <c r="B2225" t="s">
        <v>22</v>
      </c>
      <c r="C2225">
        <v>2018</v>
      </c>
      <c r="D2225">
        <v>4</v>
      </c>
      <c r="E2225" s="4">
        <v>0</v>
      </c>
      <c r="F2225" s="9">
        <v>0</v>
      </c>
      <c r="G2225" s="6">
        <v>6060</v>
      </c>
      <c r="H2225" s="9">
        <f t="shared" si="34"/>
        <v>0</v>
      </c>
      <c r="I2225" s="6">
        <v>12929</v>
      </c>
      <c r="J2225" s="6">
        <f>VLOOKUP(Table1[[#This Row],[Province]],[1]Sheet1!$A$3:$K$37,7,FALSE)</f>
        <v>5371500</v>
      </c>
      <c r="K2225">
        <v>0</v>
      </c>
      <c r="L2225" s="4">
        <v>8.6573820000000001</v>
      </c>
      <c r="M2225" s="4">
        <v>121.07937</v>
      </c>
      <c r="N2225" s="13">
        <v>5.1100000000000003</v>
      </c>
      <c r="P2225"/>
      <c r="Q2225" s="12"/>
      <c r="R2225" s="12"/>
    </row>
    <row r="2226" spans="1:18" x14ac:dyDescent="0.2">
      <c r="A2226">
        <v>19</v>
      </c>
      <c r="B2226" t="s">
        <v>22</v>
      </c>
      <c r="C2226">
        <v>2018</v>
      </c>
      <c r="D2226">
        <v>5</v>
      </c>
      <c r="E2226" s="4">
        <v>0</v>
      </c>
      <c r="F2226" s="9">
        <v>0</v>
      </c>
      <c r="G2226" s="6">
        <v>4869</v>
      </c>
      <c r="H2226" s="9">
        <f t="shared" si="34"/>
        <v>0</v>
      </c>
      <c r="I2226" s="6">
        <v>13000</v>
      </c>
      <c r="J2226" s="6">
        <f>VLOOKUP(Table1[[#This Row],[Province]],[1]Sheet1!$A$3:$K$37,7,FALSE)</f>
        <v>5371500</v>
      </c>
      <c r="K2226">
        <v>1</v>
      </c>
      <c r="L2226" s="4">
        <v>8.6573820000000001</v>
      </c>
      <c r="M2226" s="4">
        <v>121.07937</v>
      </c>
      <c r="N2226" s="13">
        <v>5.1100000000000003</v>
      </c>
      <c r="P2226"/>
      <c r="Q2226" s="12"/>
      <c r="R2226" s="12"/>
    </row>
    <row r="2227" spans="1:18" x14ac:dyDescent="0.2">
      <c r="A2227">
        <v>19</v>
      </c>
      <c r="B2227" t="s">
        <v>22</v>
      </c>
      <c r="C2227">
        <v>2018</v>
      </c>
      <c r="D2227">
        <v>6</v>
      </c>
      <c r="E2227" s="4">
        <v>0</v>
      </c>
      <c r="F2227" s="9">
        <v>0</v>
      </c>
      <c r="G2227" s="6">
        <v>5715</v>
      </c>
      <c r="H2227" s="9">
        <f t="shared" si="34"/>
        <v>0</v>
      </c>
      <c r="I2227" s="6">
        <v>12982</v>
      </c>
      <c r="J2227" s="6">
        <f>VLOOKUP(Table1[[#This Row],[Province]],[1]Sheet1!$A$3:$K$37,7,FALSE)</f>
        <v>5371500</v>
      </c>
      <c r="K2227">
        <v>0</v>
      </c>
      <c r="L2227" s="4">
        <v>8.6573820000000001</v>
      </c>
      <c r="M2227" s="4">
        <v>121.07937</v>
      </c>
      <c r="N2227" s="13">
        <v>5.1100000000000003</v>
      </c>
      <c r="P2227"/>
      <c r="Q2227" s="12"/>
      <c r="R2227" s="12"/>
    </row>
    <row r="2228" spans="1:18" x14ac:dyDescent="0.2">
      <c r="A2228">
        <v>19</v>
      </c>
      <c r="B2228" t="s">
        <v>22</v>
      </c>
      <c r="C2228">
        <v>2018</v>
      </c>
      <c r="D2228">
        <v>7</v>
      </c>
      <c r="E2228" s="4">
        <v>0</v>
      </c>
      <c r="F2228" s="9">
        <v>0</v>
      </c>
      <c r="G2228" s="6">
        <v>4652</v>
      </c>
      <c r="H2228" s="9">
        <f t="shared" si="34"/>
        <v>0</v>
      </c>
      <c r="I2228" s="6">
        <v>12750</v>
      </c>
      <c r="J2228" s="6">
        <f>VLOOKUP(Table1[[#This Row],[Province]],[1]Sheet1!$A$3:$K$37,7,FALSE)</f>
        <v>5371500</v>
      </c>
      <c r="K2228">
        <v>0</v>
      </c>
      <c r="L2228" s="4">
        <v>8.6573820000000001</v>
      </c>
      <c r="M2228" s="4">
        <v>121.07937</v>
      </c>
      <c r="N2228" s="13">
        <v>5.1100000000000003</v>
      </c>
      <c r="P2228"/>
      <c r="Q2228" s="12"/>
      <c r="R2228" s="12"/>
    </row>
    <row r="2229" spans="1:18" x14ac:dyDescent="0.2">
      <c r="A2229">
        <v>19</v>
      </c>
      <c r="B2229" t="s">
        <v>22</v>
      </c>
      <c r="C2229">
        <v>2018</v>
      </c>
      <c r="D2229">
        <v>8</v>
      </c>
      <c r="E2229" s="4">
        <v>0</v>
      </c>
      <c r="F2229" s="9">
        <v>0</v>
      </c>
      <c r="G2229" s="6">
        <v>4747</v>
      </c>
      <c r="H2229" s="9">
        <f t="shared" si="34"/>
        <v>0</v>
      </c>
      <c r="I2229" s="6">
        <v>12700</v>
      </c>
      <c r="J2229" s="6">
        <f>VLOOKUP(Table1[[#This Row],[Province]],[1]Sheet1!$A$3:$K$37,7,FALSE)</f>
        <v>5371500</v>
      </c>
      <c r="K2229">
        <v>0</v>
      </c>
      <c r="L2229" s="4">
        <v>8.6573820000000001</v>
      </c>
      <c r="M2229" s="4">
        <v>121.07937</v>
      </c>
      <c r="N2229" s="13">
        <v>5.1100000000000003</v>
      </c>
      <c r="P2229"/>
      <c r="Q2229" s="12"/>
      <c r="R2229" s="12"/>
    </row>
    <row r="2230" spans="1:18" x14ac:dyDescent="0.2">
      <c r="A2230">
        <v>19</v>
      </c>
      <c r="B2230" t="s">
        <v>22</v>
      </c>
      <c r="C2230">
        <v>2018</v>
      </c>
      <c r="D2230">
        <v>9</v>
      </c>
      <c r="E2230" s="4">
        <v>0</v>
      </c>
      <c r="F2230" s="9">
        <v>0</v>
      </c>
      <c r="G2230" s="6">
        <v>5493</v>
      </c>
      <c r="H2230" s="9">
        <f t="shared" si="34"/>
        <v>0</v>
      </c>
      <c r="I2230" s="6">
        <v>13000</v>
      </c>
      <c r="J2230" s="6">
        <f>VLOOKUP(Table1[[#This Row],[Province]],[1]Sheet1!$A$3:$K$37,7,FALSE)</f>
        <v>5371500</v>
      </c>
      <c r="K2230">
        <v>0</v>
      </c>
      <c r="L2230" s="4">
        <v>8.6573820000000001</v>
      </c>
      <c r="M2230" s="4">
        <v>121.07937</v>
      </c>
      <c r="N2230" s="13">
        <v>5.1100000000000003</v>
      </c>
      <c r="P2230"/>
      <c r="Q2230" s="12"/>
      <c r="R2230" s="12"/>
    </row>
    <row r="2231" spans="1:18" x14ac:dyDescent="0.2">
      <c r="A2231">
        <v>19</v>
      </c>
      <c r="B2231" t="s">
        <v>22</v>
      </c>
      <c r="C2231">
        <v>2018</v>
      </c>
      <c r="D2231">
        <v>10</v>
      </c>
      <c r="E2231" s="4">
        <v>0</v>
      </c>
      <c r="F2231" s="9">
        <v>0</v>
      </c>
      <c r="G2231" s="6">
        <v>5213</v>
      </c>
      <c r="H2231" s="9">
        <f t="shared" si="34"/>
        <v>0</v>
      </c>
      <c r="I2231" s="6">
        <v>12125</v>
      </c>
      <c r="J2231" s="6">
        <f>VLOOKUP(Table1[[#This Row],[Province]],[1]Sheet1!$A$3:$K$37,7,FALSE)</f>
        <v>5371500</v>
      </c>
      <c r="K2231">
        <v>0</v>
      </c>
      <c r="L2231" s="4">
        <v>8.6573820000000001</v>
      </c>
      <c r="M2231" s="4">
        <v>121.07937</v>
      </c>
      <c r="N2231" s="13">
        <v>5.1100000000000003</v>
      </c>
      <c r="P2231"/>
      <c r="Q2231" s="12"/>
      <c r="R2231" s="12"/>
    </row>
    <row r="2232" spans="1:18" x14ac:dyDescent="0.2">
      <c r="A2232">
        <v>19</v>
      </c>
      <c r="B2232" t="s">
        <v>22</v>
      </c>
      <c r="C2232">
        <v>2018</v>
      </c>
      <c r="D2232">
        <v>11</v>
      </c>
      <c r="E2232" s="4">
        <v>0</v>
      </c>
      <c r="F2232" s="9">
        <v>0</v>
      </c>
      <c r="G2232" s="6">
        <v>8246</v>
      </c>
      <c r="H2232" s="9">
        <f t="shared" si="34"/>
        <v>0</v>
      </c>
      <c r="I2232" s="6">
        <v>12917</v>
      </c>
      <c r="J2232" s="6">
        <f>VLOOKUP(Table1[[#This Row],[Province]],[1]Sheet1!$A$3:$K$37,7,FALSE)</f>
        <v>5371500</v>
      </c>
      <c r="K2232">
        <v>0</v>
      </c>
      <c r="L2232" s="4">
        <v>8.6573820000000001</v>
      </c>
      <c r="M2232" s="4">
        <v>121.07937</v>
      </c>
      <c r="N2232" s="13">
        <v>5.1100000000000003</v>
      </c>
      <c r="P2232"/>
      <c r="Q2232" s="12"/>
      <c r="R2232" s="12"/>
    </row>
    <row r="2233" spans="1:18" x14ac:dyDescent="0.2">
      <c r="A2233">
        <v>19</v>
      </c>
      <c r="B2233" t="s">
        <v>22</v>
      </c>
      <c r="C2233">
        <v>2018</v>
      </c>
      <c r="D2233">
        <v>12</v>
      </c>
      <c r="E2233" s="4">
        <v>0</v>
      </c>
      <c r="F2233" s="9">
        <v>0</v>
      </c>
      <c r="G2233" s="6">
        <v>3335</v>
      </c>
      <c r="H2233" s="9">
        <f t="shared" si="34"/>
        <v>0</v>
      </c>
      <c r="I2233" s="6">
        <v>13000</v>
      </c>
      <c r="J2233" s="6">
        <f>VLOOKUP(Table1[[#This Row],[Province]],[1]Sheet1!$A$3:$K$37,7,FALSE)</f>
        <v>5371500</v>
      </c>
      <c r="K2233">
        <v>1</v>
      </c>
      <c r="L2233" s="4">
        <v>8.6573820000000001</v>
      </c>
      <c r="M2233" s="4">
        <v>121.07937</v>
      </c>
      <c r="N2233" s="13">
        <v>5.1100000000000003</v>
      </c>
      <c r="P2233"/>
      <c r="Q2233" s="12"/>
      <c r="R2233" s="12"/>
    </row>
    <row r="2234" spans="1:18" x14ac:dyDescent="0.2">
      <c r="A2234">
        <v>19</v>
      </c>
      <c r="B2234" t="s">
        <v>22</v>
      </c>
      <c r="C2234">
        <v>2019</v>
      </c>
      <c r="D2234">
        <v>1</v>
      </c>
      <c r="E2234" s="4">
        <v>0</v>
      </c>
      <c r="F2234" s="9">
        <v>0</v>
      </c>
      <c r="G2234" s="6">
        <v>5018</v>
      </c>
      <c r="H2234" s="9">
        <f t="shared" si="34"/>
        <v>0</v>
      </c>
      <c r="I2234" s="6">
        <v>12567</v>
      </c>
      <c r="J2234" s="6">
        <f>VLOOKUP(Table1[[#This Row],[Province]],[1]Sheet1!$A$3:$K$37,7,FALSE)</f>
        <v>5371500</v>
      </c>
      <c r="K2234">
        <v>0</v>
      </c>
      <c r="L2234" s="4">
        <v>8.6573820000000001</v>
      </c>
      <c r="M2234" s="4">
        <v>121.07937</v>
      </c>
      <c r="N2234" s="13">
        <v>5.25</v>
      </c>
      <c r="P2234"/>
      <c r="Q2234" s="12"/>
      <c r="R2234" s="12"/>
    </row>
    <row r="2235" spans="1:18" x14ac:dyDescent="0.2">
      <c r="A2235">
        <v>19</v>
      </c>
      <c r="B2235" t="s">
        <v>22</v>
      </c>
      <c r="C2235">
        <v>2019</v>
      </c>
      <c r="D2235">
        <v>2</v>
      </c>
      <c r="E2235" s="4">
        <v>0</v>
      </c>
      <c r="F2235" s="9">
        <v>0</v>
      </c>
      <c r="G2235" s="6">
        <v>5845</v>
      </c>
      <c r="H2235" s="9">
        <f t="shared" si="34"/>
        <v>0</v>
      </c>
      <c r="I2235" s="6">
        <v>13000</v>
      </c>
      <c r="J2235" s="6">
        <f>VLOOKUP(Table1[[#This Row],[Province]],[1]Sheet1!$A$3:$K$37,7,FALSE)</f>
        <v>5371500</v>
      </c>
      <c r="K2235">
        <v>0</v>
      </c>
      <c r="L2235" s="4">
        <v>8.6573820000000001</v>
      </c>
      <c r="M2235" s="4">
        <v>121.07937</v>
      </c>
      <c r="N2235" s="13">
        <v>5.25</v>
      </c>
      <c r="P2235"/>
      <c r="Q2235" s="12"/>
      <c r="R2235" s="12"/>
    </row>
    <row r="2236" spans="1:18" x14ac:dyDescent="0.2">
      <c r="A2236">
        <v>19</v>
      </c>
      <c r="B2236" t="s">
        <v>22</v>
      </c>
      <c r="C2236">
        <v>2019</v>
      </c>
      <c r="D2236">
        <v>3</v>
      </c>
      <c r="E2236" s="4">
        <v>0</v>
      </c>
      <c r="F2236" s="9">
        <v>0</v>
      </c>
      <c r="G2236" s="6">
        <v>5116</v>
      </c>
      <c r="H2236" s="9">
        <f t="shared" si="34"/>
        <v>0</v>
      </c>
      <c r="I2236" s="6">
        <v>12732</v>
      </c>
      <c r="J2236" s="6">
        <f>VLOOKUP(Table1[[#This Row],[Province]],[1]Sheet1!$A$3:$K$37,7,FALSE)</f>
        <v>5371500</v>
      </c>
      <c r="K2236">
        <v>0</v>
      </c>
      <c r="L2236" s="4">
        <v>8.6573820000000001</v>
      </c>
      <c r="M2236" s="4">
        <v>121.07937</v>
      </c>
      <c r="N2236" s="13">
        <v>5.25</v>
      </c>
      <c r="P2236"/>
      <c r="Q2236" s="12"/>
      <c r="R2236" s="12"/>
    </row>
    <row r="2237" spans="1:18" x14ac:dyDescent="0.2">
      <c r="A2237">
        <v>19</v>
      </c>
      <c r="B2237" t="s">
        <v>22</v>
      </c>
      <c r="C2237">
        <v>2019</v>
      </c>
      <c r="D2237">
        <v>4</v>
      </c>
      <c r="E2237" s="4">
        <v>0</v>
      </c>
      <c r="F2237" s="9">
        <v>0</v>
      </c>
      <c r="G2237" s="6">
        <v>6646</v>
      </c>
      <c r="H2237" s="9">
        <f t="shared" si="34"/>
        <v>0</v>
      </c>
      <c r="I2237" s="6">
        <v>12500</v>
      </c>
      <c r="J2237" s="6">
        <f>VLOOKUP(Table1[[#This Row],[Province]],[1]Sheet1!$A$3:$K$37,7,FALSE)</f>
        <v>5371500</v>
      </c>
      <c r="K2237">
        <v>0</v>
      </c>
      <c r="L2237" s="4">
        <v>8.6573820000000001</v>
      </c>
      <c r="M2237" s="4">
        <v>121.07937</v>
      </c>
      <c r="N2237" s="13">
        <v>5.25</v>
      </c>
      <c r="P2237"/>
      <c r="Q2237" s="12"/>
      <c r="R2237" s="12"/>
    </row>
    <row r="2238" spans="1:18" x14ac:dyDescent="0.2">
      <c r="A2238">
        <v>19</v>
      </c>
      <c r="B2238" t="s">
        <v>22</v>
      </c>
      <c r="C2238">
        <v>2019</v>
      </c>
      <c r="D2238">
        <v>5</v>
      </c>
      <c r="E2238" s="4">
        <v>0</v>
      </c>
      <c r="F2238" s="9">
        <v>0</v>
      </c>
      <c r="G2238" s="6">
        <v>7016</v>
      </c>
      <c r="H2238" s="9">
        <f t="shared" si="34"/>
        <v>0</v>
      </c>
      <c r="I2238" s="6">
        <v>12800</v>
      </c>
      <c r="J2238" s="6">
        <f>VLOOKUP(Table1[[#This Row],[Province]],[1]Sheet1!$A$3:$K$37,7,FALSE)</f>
        <v>5371500</v>
      </c>
      <c r="K2238">
        <v>1</v>
      </c>
      <c r="L2238" s="4">
        <v>8.6573820000000001</v>
      </c>
      <c r="M2238" s="4">
        <v>121.07937</v>
      </c>
      <c r="N2238" s="13">
        <v>5.25</v>
      </c>
      <c r="P2238"/>
      <c r="Q2238" s="12"/>
      <c r="R2238" s="12"/>
    </row>
    <row r="2239" spans="1:18" x14ac:dyDescent="0.2">
      <c r="A2239">
        <v>19</v>
      </c>
      <c r="B2239" t="s">
        <v>22</v>
      </c>
      <c r="C2239">
        <v>2019</v>
      </c>
      <c r="D2239">
        <v>6</v>
      </c>
      <c r="E2239" s="4">
        <v>0</v>
      </c>
      <c r="F2239" s="9">
        <v>0</v>
      </c>
      <c r="G2239" s="6">
        <v>3397</v>
      </c>
      <c r="H2239" s="9">
        <f t="shared" si="34"/>
        <v>0</v>
      </c>
      <c r="I2239" s="6">
        <v>13000</v>
      </c>
      <c r="J2239" s="6">
        <f>VLOOKUP(Table1[[#This Row],[Province]],[1]Sheet1!$A$3:$K$37,7,FALSE)</f>
        <v>5371500</v>
      </c>
      <c r="K2239">
        <v>0</v>
      </c>
      <c r="L2239" s="4">
        <v>8.6573820000000001</v>
      </c>
      <c r="M2239" s="4">
        <v>121.07937</v>
      </c>
      <c r="N2239" s="13">
        <v>5.25</v>
      </c>
      <c r="P2239"/>
      <c r="Q2239" s="12"/>
      <c r="R2239" s="12"/>
    </row>
    <row r="2240" spans="1:18" x14ac:dyDescent="0.2">
      <c r="A2240">
        <v>19</v>
      </c>
      <c r="B2240" t="s">
        <v>22</v>
      </c>
      <c r="C2240">
        <v>2019</v>
      </c>
      <c r="D2240">
        <v>7</v>
      </c>
      <c r="E2240" s="4">
        <v>0</v>
      </c>
      <c r="F2240" s="9">
        <v>0</v>
      </c>
      <c r="G2240" s="6">
        <v>3994</v>
      </c>
      <c r="H2240" s="9">
        <f t="shared" si="34"/>
        <v>0</v>
      </c>
      <c r="I2240" s="6">
        <v>13700</v>
      </c>
      <c r="J2240" s="6">
        <f>VLOOKUP(Table1[[#This Row],[Province]],[1]Sheet1!$A$3:$K$37,7,FALSE)</f>
        <v>5371500</v>
      </c>
      <c r="K2240">
        <v>0</v>
      </c>
      <c r="L2240" s="4">
        <v>8.6573820000000001</v>
      </c>
      <c r="M2240" s="4">
        <v>121.07937</v>
      </c>
      <c r="N2240" s="13">
        <v>5.25</v>
      </c>
      <c r="P2240"/>
      <c r="Q2240" s="12"/>
      <c r="R2240" s="12"/>
    </row>
    <row r="2241" spans="1:18" x14ac:dyDescent="0.2">
      <c r="A2241">
        <v>19</v>
      </c>
      <c r="B2241" t="s">
        <v>22</v>
      </c>
      <c r="C2241">
        <v>2019</v>
      </c>
      <c r="D2241">
        <v>8</v>
      </c>
      <c r="E2241" s="4">
        <v>0</v>
      </c>
      <c r="F2241" s="9">
        <v>0</v>
      </c>
      <c r="G2241" s="6">
        <v>5586</v>
      </c>
      <c r="H2241" s="9">
        <f t="shared" si="34"/>
        <v>0</v>
      </c>
      <c r="I2241" s="6">
        <v>13036</v>
      </c>
      <c r="J2241" s="6">
        <f>VLOOKUP(Table1[[#This Row],[Province]],[1]Sheet1!$A$3:$K$37,7,FALSE)</f>
        <v>5371500</v>
      </c>
      <c r="K2241">
        <v>0</v>
      </c>
      <c r="L2241" s="4">
        <v>8.6573820000000001</v>
      </c>
      <c r="M2241" s="4">
        <v>121.07937</v>
      </c>
      <c r="N2241" s="13">
        <v>5.25</v>
      </c>
      <c r="P2241"/>
      <c r="Q2241" s="12"/>
      <c r="R2241" s="12"/>
    </row>
    <row r="2242" spans="1:18" x14ac:dyDescent="0.2">
      <c r="A2242">
        <v>19</v>
      </c>
      <c r="B2242" t="s">
        <v>22</v>
      </c>
      <c r="C2242">
        <v>2019</v>
      </c>
      <c r="D2242">
        <v>9</v>
      </c>
      <c r="E2242" s="4">
        <v>0</v>
      </c>
      <c r="F2242" s="9">
        <v>0</v>
      </c>
      <c r="G2242" s="6">
        <v>4939</v>
      </c>
      <c r="H2242" s="9">
        <f t="shared" ref="H2242:H2305" si="35">F2242+E2242</f>
        <v>0</v>
      </c>
      <c r="I2242" s="6">
        <v>13000</v>
      </c>
      <c r="J2242" s="6">
        <f>VLOOKUP(Table1[[#This Row],[Province]],[1]Sheet1!$A$3:$K$37,7,FALSE)</f>
        <v>5371500</v>
      </c>
      <c r="K2242">
        <v>0</v>
      </c>
      <c r="L2242" s="4">
        <v>8.6573820000000001</v>
      </c>
      <c r="M2242" s="4">
        <v>121.07937</v>
      </c>
      <c r="N2242" s="13">
        <v>5.25</v>
      </c>
      <c r="P2242"/>
      <c r="Q2242" s="12"/>
      <c r="R2242" s="12"/>
    </row>
    <row r="2243" spans="1:18" x14ac:dyDescent="0.2">
      <c r="A2243">
        <v>19</v>
      </c>
      <c r="B2243" t="s">
        <v>22</v>
      </c>
      <c r="C2243">
        <v>2019</v>
      </c>
      <c r="D2243">
        <v>10</v>
      </c>
      <c r="E2243" s="4">
        <v>0</v>
      </c>
      <c r="F2243" s="9">
        <v>0</v>
      </c>
      <c r="G2243" s="6">
        <v>3084</v>
      </c>
      <c r="H2243" s="9">
        <f t="shared" si="35"/>
        <v>0</v>
      </c>
      <c r="I2243" s="6">
        <v>13000</v>
      </c>
      <c r="J2243" s="6">
        <f>VLOOKUP(Table1[[#This Row],[Province]],[1]Sheet1!$A$3:$K$37,7,FALSE)</f>
        <v>5371500</v>
      </c>
      <c r="K2243">
        <v>0</v>
      </c>
      <c r="L2243" s="4">
        <v>8.6573820000000001</v>
      </c>
      <c r="M2243" s="4">
        <v>121.07937</v>
      </c>
      <c r="N2243" s="13">
        <v>5.25</v>
      </c>
      <c r="P2243"/>
      <c r="Q2243" s="12"/>
      <c r="R2243" s="12"/>
    </row>
    <row r="2244" spans="1:18" x14ac:dyDescent="0.2">
      <c r="A2244">
        <v>19</v>
      </c>
      <c r="B2244" t="s">
        <v>22</v>
      </c>
      <c r="C2244">
        <v>2019</v>
      </c>
      <c r="D2244">
        <v>11</v>
      </c>
      <c r="E2244" s="4">
        <v>0</v>
      </c>
      <c r="F2244" s="9">
        <v>0</v>
      </c>
      <c r="G2244" s="6">
        <v>3574</v>
      </c>
      <c r="H2244" s="9">
        <f t="shared" si="35"/>
        <v>0</v>
      </c>
      <c r="I2244" s="6">
        <v>13000</v>
      </c>
      <c r="J2244" s="6">
        <f>VLOOKUP(Table1[[#This Row],[Province]],[1]Sheet1!$A$3:$K$37,7,FALSE)</f>
        <v>5371500</v>
      </c>
      <c r="K2244">
        <v>0</v>
      </c>
      <c r="L2244" s="4">
        <v>8.6573820000000001</v>
      </c>
      <c r="M2244" s="4">
        <v>121.07937</v>
      </c>
      <c r="N2244" s="13">
        <v>5.25</v>
      </c>
      <c r="P2244"/>
      <c r="Q2244" s="12"/>
      <c r="R2244" s="12"/>
    </row>
    <row r="2245" spans="1:18" x14ac:dyDescent="0.2">
      <c r="A2245">
        <v>19</v>
      </c>
      <c r="B2245" t="s">
        <v>22</v>
      </c>
      <c r="C2245">
        <v>2019</v>
      </c>
      <c r="D2245">
        <v>12</v>
      </c>
      <c r="E2245" s="4">
        <v>0</v>
      </c>
      <c r="F2245" s="9">
        <v>0</v>
      </c>
      <c r="G2245" s="6">
        <v>2910</v>
      </c>
      <c r="H2245" s="9">
        <f t="shared" si="35"/>
        <v>0</v>
      </c>
      <c r="I2245" s="6">
        <v>13000</v>
      </c>
      <c r="J2245" s="6">
        <f>VLOOKUP(Table1[[#This Row],[Province]],[1]Sheet1!$A$3:$K$37,7,FALSE)</f>
        <v>5371500</v>
      </c>
      <c r="K2245">
        <v>1</v>
      </c>
      <c r="L2245" s="4">
        <v>8.6573820000000001</v>
      </c>
      <c r="M2245" s="4">
        <v>121.07937</v>
      </c>
      <c r="N2245" s="13">
        <v>5.25</v>
      </c>
      <c r="P2245"/>
      <c r="Q2245" s="12"/>
      <c r="R2245" s="12"/>
    </row>
    <row r="2246" spans="1:18" x14ac:dyDescent="0.2">
      <c r="A2246">
        <v>19</v>
      </c>
      <c r="B2246" t="s">
        <v>22</v>
      </c>
      <c r="C2246">
        <v>2020</v>
      </c>
      <c r="D2246">
        <v>2</v>
      </c>
      <c r="E2246" s="4">
        <v>0</v>
      </c>
      <c r="F2246" s="9">
        <v>0</v>
      </c>
      <c r="G2246" s="6">
        <v>3662</v>
      </c>
      <c r="H2246" s="9">
        <f t="shared" si="35"/>
        <v>0</v>
      </c>
      <c r="I2246" s="6">
        <v>15000</v>
      </c>
      <c r="J2246" s="6">
        <f>VLOOKUP(Table1[[#This Row],[Province]],[1]Sheet1!$A$3:$K$37,7,FALSE)</f>
        <v>5371500</v>
      </c>
      <c r="K2246">
        <v>0</v>
      </c>
      <c r="L2246" s="4">
        <v>8.6573820000000001</v>
      </c>
      <c r="M2246" s="4">
        <v>121.07937</v>
      </c>
      <c r="N2246" s="13">
        <v>-0.84</v>
      </c>
      <c r="P2246"/>
      <c r="Q2246" s="12"/>
      <c r="R2246" s="12"/>
    </row>
    <row r="2247" spans="1:18" x14ac:dyDescent="0.2">
      <c r="A2247">
        <v>19</v>
      </c>
      <c r="B2247" t="s">
        <v>22</v>
      </c>
      <c r="C2247">
        <v>2020</v>
      </c>
      <c r="D2247">
        <v>3</v>
      </c>
      <c r="E2247" s="4">
        <v>0</v>
      </c>
      <c r="F2247" s="9">
        <v>0</v>
      </c>
      <c r="G2247" s="6">
        <v>2701</v>
      </c>
      <c r="H2247" s="9">
        <f t="shared" si="35"/>
        <v>0</v>
      </c>
      <c r="I2247" s="6">
        <v>16411</v>
      </c>
      <c r="J2247" s="6">
        <f>VLOOKUP(Table1[[#This Row],[Province]],[1]Sheet1!$A$3:$K$37,7,FALSE)</f>
        <v>5371500</v>
      </c>
      <c r="K2247">
        <v>0</v>
      </c>
      <c r="L2247" s="4">
        <v>8.6573820000000001</v>
      </c>
      <c r="M2247" s="4">
        <v>121.07937</v>
      </c>
      <c r="N2247" s="13">
        <v>-0.84</v>
      </c>
      <c r="P2247"/>
      <c r="Q2247" s="12"/>
      <c r="R2247" s="12"/>
    </row>
    <row r="2248" spans="1:18" x14ac:dyDescent="0.2">
      <c r="A2248">
        <v>19</v>
      </c>
      <c r="B2248" t="s">
        <v>22</v>
      </c>
      <c r="C2248">
        <v>2020</v>
      </c>
      <c r="D2248">
        <v>4</v>
      </c>
      <c r="E2248" s="4">
        <v>0</v>
      </c>
      <c r="F2248" s="9">
        <v>0</v>
      </c>
      <c r="G2248" s="6">
        <v>3247</v>
      </c>
      <c r="H2248" s="9">
        <f t="shared" si="35"/>
        <v>0</v>
      </c>
      <c r="I2248" s="6">
        <v>19769</v>
      </c>
      <c r="J2248" s="6">
        <f>VLOOKUP(Table1[[#This Row],[Province]],[1]Sheet1!$A$3:$K$37,7,FALSE)</f>
        <v>5371500</v>
      </c>
      <c r="K2248">
        <v>1</v>
      </c>
      <c r="L2248" s="4">
        <v>8.6573820000000001</v>
      </c>
      <c r="M2248" s="4">
        <v>121.07937</v>
      </c>
      <c r="N2248" s="13">
        <v>-0.84</v>
      </c>
      <c r="P2248"/>
      <c r="Q2248" s="12"/>
      <c r="R2248" s="12"/>
    </row>
    <row r="2249" spans="1:18" x14ac:dyDescent="0.2">
      <c r="A2249">
        <v>19</v>
      </c>
      <c r="B2249" t="s">
        <v>22</v>
      </c>
      <c r="C2249">
        <v>2020</v>
      </c>
      <c r="D2249">
        <v>5</v>
      </c>
      <c r="E2249" s="4">
        <v>0</v>
      </c>
      <c r="F2249" s="9">
        <v>0</v>
      </c>
      <c r="G2249" s="6">
        <v>4370</v>
      </c>
      <c r="H2249" s="9">
        <f t="shared" si="35"/>
        <v>0</v>
      </c>
      <c r="I2249" s="6">
        <v>14700</v>
      </c>
      <c r="J2249" s="6">
        <f>VLOOKUP(Table1[[#This Row],[Province]],[1]Sheet1!$A$3:$K$37,7,FALSE)</f>
        <v>5371500</v>
      </c>
      <c r="K2249">
        <v>0</v>
      </c>
      <c r="L2249" s="4">
        <v>8.6573820000000001</v>
      </c>
      <c r="M2249" s="4">
        <v>121.07937</v>
      </c>
      <c r="N2249" s="13">
        <v>-0.84</v>
      </c>
      <c r="P2249"/>
      <c r="Q2249" s="12"/>
      <c r="R2249" s="12"/>
    </row>
    <row r="2250" spans="1:18" x14ac:dyDescent="0.2">
      <c r="A2250">
        <v>19</v>
      </c>
      <c r="B2250" t="s">
        <v>22</v>
      </c>
      <c r="C2250">
        <v>2020</v>
      </c>
      <c r="D2250">
        <v>5</v>
      </c>
      <c r="E2250" s="4">
        <v>0</v>
      </c>
      <c r="F2250" s="9">
        <v>0</v>
      </c>
      <c r="G2250" s="6">
        <v>2517</v>
      </c>
      <c r="H2250" s="9">
        <f t="shared" si="35"/>
        <v>0</v>
      </c>
      <c r="I2250" s="6">
        <v>18607</v>
      </c>
      <c r="J2250" s="6">
        <f>VLOOKUP(Table1[[#This Row],[Province]],[1]Sheet1!$A$3:$K$37,7,FALSE)</f>
        <v>5371500</v>
      </c>
      <c r="K2250">
        <v>0</v>
      </c>
      <c r="L2250" s="4">
        <v>8.6573820000000001</v>
      </c>
      <c r="M2250" s="4">
        <v>121.07937</v>
      </c>
      <c r="N2250" s="13">
        <v>-0.84</v>
      </c>
      <c r="P2250"/>
      <c r="Q2250" s="12"/>
      <c r="R2250" s="12"/>
    </row>
    <row r="2251" spans="1:18" x14ac:dyDescent="0.2">
      <c r="A2251">
        <v>19</v>
      </c>
      <c r="B2251" t="s">
        <v>22</v>
      </c>
      <c r="C2251">
        <v>2020</v>
      </c>
      <c r="D2251">
        <v>6</v>
      </c>
      <c r="E2251" s="4">
        <v>0</v>
      </c>
      <c r="F2251" s="9">
        <v>0</v>
      </c>
      <c r="G2251" s="6">
        <v>480</v>
      </c>
      <c r="H2251" s="9">
        <f t="shared" si="35"/>
        <v>0</v>
      </c>
      <c r="I2251" s="6">
        <v>15821</v>
      </c>
      <c r="J2251" s="6">
        <f>VLOOKUP(Table1[[#This Row],[Province]],[1]Sheet1!$A$3:$K$37,7,FALSE)</f>
        <v>5371500</v>
      </c>
      <c r="K2251">
        <v>0</v>
      </c>
      <c r="L2251" s="4">
        <v>8.6573820000000001</v>
      </c>
      <c r="M2251" s="4">
        <v>121.07937</v>
      </c>
      <c r="N2251" s="13">
        <v>-0.84</v>
      </c>
      <c r="P2251"/>
      <c r="Q2251" s="12"/>
      <c r="R2251" s="12"/>
    </row>
    <row r="2252" spans="1:18" x14ac:dyDescent="0.2">
      <c r="A2252">
        <v>19</v>
      </c>
      <c r="B2252" t="s">
        <v>22</v>
      </c>
      <c r="C2252">
        <v>2020</v>
      </c>
      <c r="D2252">
        <v>7</v>
      </c>
      <c r="E2252" s="4">
        <v>0</v>
      </c>
      <c r="F2252" s="9">
        <v>0</v>
      </c>
      <c r="G2252" s="6">
        <v>3052</v>
      </c>
      <c r="H2252" s="9">
        <f t="shared" si="35"/>
        <v>0</v>
      </c>
      <c r="I2252" s="6">
        <v>14561</v>
      </c>
      <c r="J2252" s="6">
        <f>VLOOKUP(Table1[[#This Row],[Province]],[1]Sheet1!$A$3:$K$37,7,FALSE)</f>
        <v>5371500</v>
      </c>
      <c r="K2252">
        <v>0</v>
      </c>
      <c r="L2252" s="4">
        <v>8.6573820000000001</v>
      </c>
      <c r="M2252" s="4">
        <v>121.07937</v>
      </c>
      <c r="N2252" s="13">
        <v>-0.84</v>
      </c>
      <c r="P2252"/>
      <c r="Q2252" s="12"/>
      <c r="R2252" s="12"/>
    </row>
    <row r="2253" spans="1:18" x14ac:dyDescent="0.2">
      <c r="A2253">
        <v>19</v>
      </c>
      <c r="B2253" t="s">
        <v>22</v>
      </c>
      <c r="C2253">
        <v>2020</v>
      </c>
      <c r="D2253">
        <v>8</v>
      </c>
      <c r="E2253" s="4">
        <v>0</v>
      </c>
      <c r="F2253" s="9">
        <v>0</v>
      </c>
      <c r="G2253" s="6">
        <v>4275</v>
      </c>
      <c r="H2253" s="9">
        <f t="shared" si="35"/>
        <v>0</v>
      </c>
      <c r="I2253" s="6">
        <v>14000</v>
      </c>
      <c r="J2253" s="6">
        <f>VLOOKUP(Table1[[#This Row],[Province]],[1]Sheet1!$A$3:$K$37,7,FALSE)</f>
        <v>5371500</v>
      </c>
      <c r="K2253">
        <v>0</v>
      </c>
      <c r="L2253" s="4">
        <v>8.6573820000000001</v>
      </c>
      <c r="M2253" s="4">
        <v>121.07937</v>
      </c>
      <c r="N2253" s="13">
        <v>-0.84</v>
      </c>
      <c r="P2253"/>
      <c r="Q2253" s="12"/>
      <c r="R2253" s="12"/>
    </row>
    <row r="2254" spans="1:18" x14ac:dyDescent="0.2">
      <c r="A2254">
        <v>19</v>
      </c>
      <c r="B2254" t="s">
        <v>22</v>
      </c>
      <c r="C2254">
        <v>2020</v>
      </c>
      <c r="D2254">
        <v>9</v>
      </c>
      <c r="E2254" s="4">
        <v>0</v>
      </c>
      <c r="F2254" s="9">
        <v>0</v>
      </c>
      <c r="G2254" s="6">
        <v>6250</v>
      </c>
      <c r="H2254" s="9">
        <f t="shared" si="35"/>
        <v>0</v>
      </c>
      <c r="I2254" s="6">
        <v>14000</v>
      </c>
      <c r="J2254" s="6">
        <f>VLOOKUP(Table1[[#This Row],[Province]],[1]Sheet1!$A$3:$K$37,7,FALSE)</f>
        <v>5371500</v>
      </c>
      <c r="K2254">
        <v>0</v>
      </c>
      <c r="L2254" s="4">
        <v>8.6573820000000001</v>
      </c>
      <c r="M2254" s="4">
        <v>121.07937</v>
      </c>
      <c r="N2254" s="13">
        <v>-0.84</v>
      </c>
      <c r="P2254"/>
      <c r="Q2254" s="12"/>
      <c r="R2254" s="12"/>
    </row>
    <row r="2255" spans="1:18" x14ac:dyDescent="0.2">
      <c r="A2255">
        <v>19</v>
      </c>
      <c r="B2255" t="s">
        <v>22</v>
      </c>
      <c r="C2255">
        <v>2020</v>
      </c>
      <c r="D2255">
        <v>10</v>
      </c>
      <c r="E2255" s="4">
        <v>0</v>
      </c>
      <c r="F2255" s="9">
        <v>0</v>
      </c>
      <c r="G2255" s="6">
        <v>3805</v>
      </c>
      <c r="H2255" s="9">
        <f t="shared" si="35"/>
        <v>0</v>
      </c>
      <c r="I2255" s="6">
        <v>13597</v>
      </c>
      <c r="J2255" s="6">
        <f>VLOOKUP(Table1[[#This Row],[Province]],[1]Sheet1!$A$3:$K$37,7,FALSE)</f>
        <v>5371500</v>
      </c>
      <c r="K2255">
        <v>0</v>
      </c>
      <c r="L2255" s="4">
        <v>8.6573820000000001</v>
      </c>
      <c r="M2255" s="4">
        <v>121.07937</v>
      </c>
      <c r="N2255" s="13">
        <v>-0.84</v>
      </c>
      <c r="P2255"/>
      <c r="Q2255" s="12"/>
      <c r="R2255" s="12"/>
    </row>
    <row r="2256" spans="1:18" x14ac:dyDescent="0.2">
      <c r="A2256">
        <v>19</v>
      </c>
      <c r="B2256" t="s">
        <v>22</v>
      </c>
      <c r="C2256">
        <v>2020</v>
      </c>
      <c r="D2256">
        <v>11</v>
      </c>
      <c r="E2256" s="4">
        <v>0</v>
      </c>
      <c r="F2256" s="9">
        <v>0</v>
      </c>
      <c r="G2256" s="6">
        <v>3803</v>
      </c>
      <c r="H2256" s="9">
        <f t="shared" si="35"/>
        <v>0</v>
      </c>
      <c r="I2256" s="6">
        <v>13500</v>
      </c>
      <c r="J2256" s="6">
        <f>VLOOKUP(Table1[[#This Row],[Province]],[1]Sheet1!$A$3:$K$37,7,FALSE)</f>
        <v>5371500</v>
      </c>
      <c r="K2256">
        <v>0</v>
      </c>
      <c r="L2256" s="4">
        <v>8.6573820000000001</v>
      </c>
      <c r="M2256" s="4">
        <v>121.07937</v>
      </c>
      <c r="N2256" s="13">
        <v>-0.84</v>
      </c>
      <c r="P2256"/>
      <c r="Q2256" s="12"/>
      <c r="R2256" s="12"/>
    </row>
    <row r="2257" spans="1:18" x14ac:dyDescent="0.2">
      <c r="A2257">
        <v>19</v>
      </c>
      <c r="B2257" t="s">
        <v>22</v>
      </c>
      <c r="C2257">
        <v>2020</v>
      </c>
      <c r="D2257">
        <v>12</v>
      </c>
      <c r="E2257" s="4">
        <v>0</v>
      </c>
      <c r="F2257" s="9">
        <v>0</v>
      </c>
      <c r="G2257" s="6">
        <v>2896</v>
      </c>
      <c r="H2257" s="9">
        <f t="shared" si="35"/>
        <v>0</v>
      </c>
      <c r="I2257" s="6">
        <v>13500</v>
      </c>
      <c r="J2257" s="6">
        <f>VLOOKUP(Table1[[#This Row],[Province]],[1]Sheet1!$A$3:$K$37,7,FALSE)</f>
        <v>5371500</v>
      </c>
      <c r="K2257">
        <v>1</v>
      </c>
      <c r="L2257" s="4">
        <v>8.6573820000000001</v>
      </c>
      <c r="M2257" s="4">
        <v>121.07937</v>
      </c>
      <c r="N2257" s="13">
        <v>-0.84</v>
      </c>
      <c r="P2257"/>
      <c r="Q2257" s="12"/>
      <c r="R2257" s="12"/>
    </row>
    <row r="2258" spans="1:18" x14ac:dyDescent="0.2">
      <c r="A2258">
        <v>19</v>
      </c>
      <c r="B2258" t="s">
        <v>22</v>
      </c>
      <c r="C2258">
        <v>2021</v>
      </c>
      <c r="D2258">
        <v>1</v>
      </c>
      <c r="E2258" s="4">
        <v>0</v>
      </c>
      <c r="F2258" s="9">
        <v>0</v>
      </c>
      <c r="G2258" s="6">
        <v>4597</v>
      </c>
      <c r="H2258" s="9">
        <f t="shared" si="35"/>
        <v>0</v>
      </c>
      <c r="I2258" s="6">
        <v>13500</v>
      </c>
      <c r="J2258" s="6">
        <f>VLOOKUP(Table1[[#This Row],[Province]],[1]Sheet1!$A$3:$K$37,7,FALSE)</f>
        <v>5371500</v>
      </c>
      <c r="K2258">
        <v>0</v>
      </c>
      <c r="L2258" s="4">
        <v>8.6573820000000001</v>
      </c>
      <c r="M2258" s="4">
        <v>121.07937</v>
      </c>
      <c r="N2258" s="13">
        <v>2.52</v>
      </c>
      <c r="P2258"/>
      <c r="Q2258" s="12"/>
      <c r="R2258" s="12"/>
    </row>
    <row r="2259" spans="1:18" x14ac:dyDescent="0.2">
      <c r="A2259">
        <v>19</v>
      </c>
      <c r="B2259" t="s">
        <v>22</v>
      </c>
      <c r="C2259">
        <v>2021</v>
      </c>
      <c r="D2259">
        <v>2</v>
      </c>
      <c r="E2259" s="4">
        <v>0</v>
      </c>
      <c r="F2259" s="9">
        <v>0</v>
      </c>
      <c r="G2259" s="6">
        <v>2602</v>
      </c>
      <c r="H2259" s="9">
        <f t="shared" si="35"/>
        <v>0</v>
      </c>
      <c r="I2259" s="6">
        <v>13500</v>
      </c>
      <c r="J2259" s="6">
        <f>VLOOKUP(Table1[[#This Row],[Province]],[1]Sheet1!$A$3:$K$37,7,FALSE)</f>
        <v>5371500</v>
      </c>
      <c r="K2259">
        <v>0</v>
      </c>
      <c r="L2259" s="4">
        <v>8.6573820000000001</v>
      </c>
      <c r="M2259" s="4">
        <v>121.07937</v>
      </c>
      <c r="N2259" s="13">
        <v>2.52</v>
      </c>
      <c r="P2259"/>
      <c r="Q2259" s="12"/>
      <c r="R2259" s="12"/>
    </row>
    <row r="2260" spans="1:18" x14ac:dyDescent="0.2">
      <c r="A2260">
        <v>19</v>
      </c>
      <c r="B2260" t="s">
        <v>22</v>
      </c>
      <c r="C2260">
        <v>2021</v>
      </c>
      <c r="D2260">
        <v>3</v>
      </c>
      <c r="E2260" s="4">
        <v>0</v>
      </c>
      <c r="F2260" s="9">
        <v>0</v>
      </c>
      <c r="G2260" s="6">
        <v>3181</v>
      </c>
      <c r="H2260" s="9">
        <f t="shared" si="35"/>
        <v>0</v>
      </c>
      <c r="I2260" s="6">
        <v>13447</v>
      </c>
      <c r="J2260" s="6">
        <f>VLOOKUP(Table1[[#This Row],[Province]],[1]Sheet1!$A$3:$K$37,7,FALSE)</f>
        <v>5371500</v>
      </c>
      <c r="K2260">
        <v>0</v>
      </c>
      <c r="L2260" s="4">
        <v>8.6573820000000001</v>
      </c>
      <c r="M2260" s="4">
        <v>121.07937</v>
      </c>
      <c r="N2260" s="13">
        <v>2.52</v>
      </c>
      <c r="P2260"/>
      <c r="Q2260" s="12"/>
      <c r="R2260" s="12"/>
    </row>
    <row r="2261" spans="1:18" x14ac:dyDescent="0.2">
      <c r="A2261">
        <v>19</v>
      </c>
      <c r="B2261" t="s">
        <v>22</v>
      </c>
      <c r="C2261">
        <v>2021</v>
      </c>
      <c r="D2261">
        <v>4</v>
      </c>
      <c r="E2261" s="4">
        <v>0</v>
      </c>
      <c r="F2261" s="9">
        <v>0</v>
      </c>
      <c r="G2261" s="6">
        <v>5196</v>
      </c>
      <c r="H2261" s="9">
        <f t="shared" si="35"/>
        <v>0</v>
      </c>
      <c r="I2261" s="6">
        <v>14575</v>
      </c>
      <c r="J2261" s="6">
        <f>VLOOKUP(Table1[[#This Row],[Province]],[1]Sheet1!$A$3:$K$37,7,FALSE)</f>
        <v>5371500</v>
      </c>
      <c r="K2261">
        <v>1</v>
      </c>
      <c r="L2261" s="4">
        <v>8.6573820000000001</v>
      </c>
      <c r="M2261" s="4">
        <v>121.07937</v>
      </c>
      <c r="N2261" s="13">
        <v>2.52</v>
      </c>
      <c r="P2261"/>
      <c r="Q2261" s="12"/>
      <c r="R2261" s="12"/>
    </row>
    <row r="2262" spans="1:18" x14ac:dyDescent="0.2">
      <c r="A2262">
        <v>19</v>
      </c>
      <c r="B2262" t="s">
        <v>22</v>
      </c>
      <c r="C2262">
        <v>2021</v>
      </c>
      <c r="D2262">
        <v>5</v>
      </c>
      <c r="E2262" s="4">
        <v>0</v>
      </c>
      <c r="F2262" s="9">
        <v>0</v>
      </c>
      <c r="G2262" s="6">
        <v>2905</v>
      </c>
      <c r="H2262" s="9">
        <f t="shared" si="35"/>
        <v>0</v>
      </c>
      <c r="I2262" s="6">
        <v>14480</v>
      </c>
      <c r="J2262" s="6">
        <f>VLOOKUP(Table1[[#This Row],[Province]],[1]Sheet1!$A$3:$K$37,7,FALSE)</f>
        <v>5371500</v>
      </c>
      <c r="K2262">
        <v>0</v>
      </c>
      <c r="L2262" s="4">
        <v>8.6573820000000001</v>
      </c>
      <c r="M2262" s="4">
        <v>121.07937</v>
      </c>
      <c r="N2262" s="13">
        <v>2.52</v>
      </c>
      <c r="P2262"/>
      <c r="Q2262" s="12"/>
      <c r="R2262" s="12"/>
    </row>
    <row r="2263" spans="1:18" x14ac:dyDescent="0.2">
      <c r="A2263">
        <v>19</v>
      </c>
      <c r="B2263" t="s">
        <v>22</v>
      </c>
      <c r="C2263">
        <v>2021</v>
      </c>
      <c r="D2263">
        <v>6</v>
      </c>
      <c r="E2263" s="4">
        <v>0</v>
      </c>
      <c r="F2263" s="9">
        <v>0</v>
      </c>
      <c r="G2263" s="6">
        <v>3637</v>
      </c>
      <c r="H2263" s="9">
        <f t="shared" si="35"/>
        <v>0</v>
      </c>
      <c r="I2263" s="6">
        <v>14375</v>
      </c>
      <c r="J2263" s="6">
        <f>VLOOKUP(Table1[[#This Row],[Province]],[1]Sheet1!$A$3:$K$37,7,FALSE)</f>
        <v>5371500</v>
      </c>
      <c r="K2263">
        <v>0</v>
      </c>
      <c r="L2263" s="4">
        <v>8.6573820000000001</v>
      </c>
      <c r="M2263" s="4">
        <v>121.07937</v>
      </c>
      <c r="N2263" s="13">
        <v>2.52</v>
      </c>
      <c r="P2263"/>
      <c r="Q2263" s="12"/>
      <c r="R2263" s="12"/>
    </row>
    <row r="2264" spans="1:18" x14ac:dyDescent="0.2">
      <c r="A2264">
        <v>19</v>
      </c>
      <c r="B2264" t="s">
        <v>22</v>
      </c>
      <c r="C2264">
        <v>2021</v>
      </c>
      <c r="D2264">
        <v>7</v>
      </c>
      <c r="E2264" s="4">
        <v>0</v>
      </c>
      <c r="F2264" s="9">
        <v>0</v>
      </c>
      <c r="G2264" s="6">
        <v>4778</v>
      </c>
      <c r="H2264" s="9">
        <f t="shared" si="35"/>
        <v>0</v>
      </c>
      <c r="I2264" s="6">
        <v>14313</v>
      </c>
      <c r="J2264" s="6">
        <f>VLOOKUP(Table1[[#This Row],[Province]],[1]Sheet1!$A$3:$K$37,7,FALSE)</f>
        <v>5371500</v>
      </c>
      <c r="K2264">
        <v>0</v>
      </c>
      <c r="L2264" s="4">
        <v>8.6573820000000001</v>
      </c>
      <c r="M2264" s="4">
        <v>121.07937</v>
      </c>
      <c r="N2264" s="13">
        <v>2.52</v>
      </c>
      <c r="P2264"/>
      <c r="Q2264" s="12"/>
      <c r="R2264" s="12"/>
    </row>
    <row r="2265" spans="1:18" x14ac:dyDescent="0.2">
      <c r="A2265">
        <v>19</v>
      </c>
      <c r="B2265" t="s">
        <v>22</v>
      </c>
      <c r="C2265">
        <v>2021</v>
      </c>
      <c r="D2265">
        <v>8</v>
      </c>
      <c r="E2265" s="4">
        <v>0</v>
      </c>
      <c r="F2265" s="9">
        <v>0</v>
      </c>
      <c r="G2265" s="6">
        <v>3123</v>
      </c>
      <c r="H2265" s="9">
        <f t="shared" si="35"/>
        <v>0</v>
      </c>
      <c r="I2265" s="6">
        <v>14190</v>
      </c>
      <c r="J2265" s="6">
        <f>VLOOKUP(Table1[[#This Row],[Province]],[1]Sheet1!$A$3:$K$37,7,FALSE)</f>
        <v>5371500</v>
      </c>
      <c r="K2265">
        <v>0</v>
      </c>
      <c r="L2265" s="4">
        <v>8.6573820000000001</v>
      </c>
      <c r="M2265" s="4">
        <v>121.07937</v>
      </c>
      <c r="N2265" s="13">
        <v>2.52</v>
      </c>
      <c r="P2265"/>
      <c r="Q2265" s="12"/>
      <c r="R2265" s="12"/>
    </row>
    <row r="2266" spans="1:18" x14ac:dyDescent="0.2">
      <c r="A2266">
        <v>19</v>
      </c>
      <c r="B2266" t="s">
        <v>22</v>
      </c>
      <c r="C2266">
        <v>2021</v>
      </c>
      <c r="D2266">
        <v>9</v>
      </c>
      <c r="E2266" s="4">
        <v>0</v>
      </c>
      <c r="F2266" s="9">
        <v>0</v>
      </c>
      <c r="G2266" s="6">
        <v>7922</v>
      </c>
      <c r="H2266" s="9">
        <f t="shared" si="35"/>
        <v>0</v>
      </c>
      <c r="I2266" s="6">
        <v>14045</v>
      </c>
      <c r="J2266" s="6">
        <f>VLOOKUP(Table1[[#This Row],[Province]],[1]Sheet1!$A$3:$K$37,7,FALSE)</f>
        <v>5371500</v>
      </c>
      <c r="K2266">
        <v>0</v>
      </c>
      <c r="L2266" s="4">
        <v>8.6573820000000001</v>
      </c>
      <c r="M2266" s="4">
        <v>121.07937</v>
      </c>
      <c r="N2266" s="13">
        <v>2.52</v>
      </c>
      <c r="P2266"/>
      <c r="Q2266" s="12"/>
      <c r="R2266" s="12"/>
    </row>
    <row r="2267" spans="1:18" x14ac:dyDescent="0.2">
      <c r="A2267">
        <v>19</v>
      </c>
      <c r="B2267" t="s">
        <v>22</v>
      </c>
      <c r="C2267">
        <v>2021</v>
      </c>
      <c r="D2267">
        <v>10</v>
      </c>
      <c r="E2267" s="4">
        <v>0</v>
      </c>
      <c r="F2267" s="9">
        <v>0</v>
      </c>
      <c r="G2267" s="6">
        <v>3044</v>
      </c>
      <c r="H2267" s="9">
        <f t="shared" si="35"/>
        <v>0</v>
      </c>
      <c r="I2267" s="6">
        <v>13913</v>
      </c>
      <c r="J2267" s="6">
        <f>VLOOKUP(Table1[[#This Row],[Province]],[1]Sheet1!$A$3:$K$37,7,FALSE)</f>
        <v>5371500</v>
      </c>
      <c r="K2267">
        <v>0</v>
      </c>
      <c r="L2267" s="4">
        <v>8.6573820000000001</v>
      </c>
      <c r="M2267" s="4">
        <v>121.07937</v>
      </c>
      <c r="N2267" s="13">
        <v>2.52</v>
      </c>
      <c r="P2267"/>
      <c r="Q2267" s="12"/>
      <c r="R2267" s="12"/>
    </row>
    <row r="2268" spans="1:18" x14ac:dyDescent="0.2">
      <c r="A2268">
        <v>19</v>
      </c>
      <c r="B2268" t="s">
        <v>22</v>
      </c>
      <c r="C2268">
        <v>2021</v>
      </c>
      <c r="D2268">
        <v>11</v>
      </c>
      <c r="E2268" s="4">
        <v>0</v>
      </c>
      <c r="F2268" s="9">
        <v>0</v>
      </c>
      <c r="G2268" s="6">
        <v>6569</v>
      </c>
      <c r="H2268" s="9">
        <f t="shared" si="35"/>
        <v>0</v>
      </c>
      <c r="I2268" s="6">
        <v>13920</v>
      </c>
      <c r="J2268" s="6">
        <f>VLOOKUP(Table1[[#This Row],[Province]],[1]Sheet1!$A$3:$K$37,7,FALSE)</f>
        <v>5371500</v>
      </c>
      <c r="K2268">
        <v>0</v>
      </c>
      <c r="L2268" s="4">
        <v>8.6573820000000001</v>
      </c>
      <c r="M2268" s="4">
        <v>121.07937</v>
      </c>
      <c r="N2268" s="13">
        <v>2.52</v>
      </c>
      <c r="P2268"/>
      <c r="Q2268" s="12"/>
      <c r="R2268" s="12"/>
    </row>
    <row r="2269" spans="1:18" x14ac:dyDescent="0.2">
      <c r="A2269">
        <v>19</v>
      </c>
      <c r="B2269" t="s">
        <v>22</v>
      </c>
      <c r="C2269">
        <v>2021</v>
      </c>
      <c r="D2269">
        <v>12</v>
      </c>
      <c r="E2269" s="4">
        <v>0</v>
      </c>
      <c r="F2269" s="9">
        <v>0</v>
      </c>
      <c r="G2269" s="6">
        <v>3141</v>
      </c>
      <c r="H2269" s="9">
        <f t="shared" si="35"/>
        <v>0</v>
      </c>
      <c r="I2269" s="6">
        <v>14067</v>
      </c>
      <c r="J2269" s="6">
        <f>VLOOKUP(Table1[[#This Row],[Province]],[1]Sheet1!$A$3:$K$37,7,FALSE)</f>
        <v>5371500</v>
      </c>
      <c r="K2269">
        <v>1</v>
      </c>
      <c r="L2269" s="4">
        <v>8.6573820000000001</v>
      </c>
      <c r="M2269" s="4">
        <v>121.07937</v>
      </c>
      <c r="N2269" s="13">
        <v>2.52</v>
      </c>
      <c r="P2269"/>
      <c r="Q2269" s="12"/>
      <c r="R2269" s="12"/>
    </row>
    <row r="2270" spans="1:18" x14ac:dyDescent="0.2">
      <c r="A2270">
        <v>19</v>
      </c>
      <c r="B2270" t="s">
        <v>22</v>
      </c>
      <c r="C2270">
        <v>2022</v>
      </c>
      <c r="D2270">
        <v>1</v>
      </c>
      <c r="E2270" s="6">
        <v>0</v>
      </c>
      <c r="F2270" s="9">
        <v>0</v>
      </c>
      <c r="G2270" s="6">
        <v>5950</v>
      </c>
      <c r="H2270" s="9">
        <f t="shared" si="35"/>
        <v>0</v>
      </c>
      <c r="I2270" s="6">
        <v>14190</v>
      </c>
      <c r="J2270" s="6">
        <f>VLOOKUP(Table1[[#This Row],[Province]],[1]Sheet1!$A$3:$K$37,7,FALSE)</f>
        <v>5371500</v>
      </c>
      <c r="K2270">
        <v>0</v>
      </c>
      <c r="L2270" s="4">
        <v>8.6573820000000001</v>
      </c>
      <c r="M2270" s="4">
        <v>121.07937</v>
      </c>
      <c r="N2270" s="13">
        <v>3.05</v>
      </c>
      <c r="P2270"/>
      <c r="Q2270" s="12"/>
      <c r="R2270" s="12"/>
    </row>
    <row r="2271" spans="1:18" x14ac:dyDescent="0.2">
      <c r="A2271">
        <v>19</v>
      </c>
      <c r="B2271" t="s">
        <v>22</v>
      </c>
      <c r="C2271">
        <v>2022</v>
      </c>
      <c r="D2271">
        <v>2</v>
      </c>
      <c r="E2271" s="6">
        <v>0</v>
      </c>
      <c r="F2271" s="9">
        <v>0</v>
      </c>
      <c r="G2271" s="6">
        <v>4294</v>
      </c>
      <c r="H2271" s="9">
        <f t="shared" si="35"/>
        <v>0</v>
      </c>
      <c r="I2271" s="6">
        <v>14400</v>
      </c>
      <c r="J2271" s="6">
        <f>VLOOKUP(Table1[[#This Row],[Province]],[1]Sheet1!$A$3:$K$37,7,FALSE)</f>
        <v>5371500</v>
      </c>
      <c r="K2271">
        <v>0</v>
      </c>
      <c r="L2271" s="4">
        <v>8.6573820000000001</v>
      </c>
      <c r="M2271" s="4">
        <v>121.07937</v>
      </c>
      <c r="N2271" s="13">
        <v>3.05</v>
      </c>
      <c r="P2271"/>
      <c r="Q2271" s="12"/>
      <c r="R2271" s="12"/>
    </row>
    <row r="2272" spans="1:18" x14ac:dyDescent="0.2">
      <c r="A2272">
        <v>19</v>
      </c>
      <c r="B2272" t="s">
        <v>22</v>
      </c>
      <c r="C2272">
        <v>2022</v>
      </c>
      <c r="D2272">
        <v>3</v>
      </c>
      <c r="E2272" s="6">
        <v>123</v>
      </c>
      <c r="F2272" s="9">
        <v>0</v>
      </c>
      <c r="G2272" s="6">
        <v>2542</v>
      </c>
      <c r="H2272" s="9">
        <f t="shared" si="35"/>
        <v>123</v>
      </c>
      <c r="I2272" s="6">
        <v>14400</v>
      </c>
      <c r="J2272" s="6">
        <f>VLOOKUP(Table1[[#This Row],[Province]],[1]Sheet1!$A$3:$K$37,7,FALSE)</f>
        <v>5371500</v>
      </c>
      <c r="K2272">
        <v>0</v>
      </c>
      <c r="L2272" s="4">
        <v>8.6573820000000001</v>
      </c>
      <c r="M2272" s="4">
        <v>121.07937</v>
      </c>
      <c r="N2272" s="13">
        <v>3.05</v>
      </c>
      <c r="P2272"/>
      <c r="Q2272" s="12"/>
      <c r="R2272" s="12"/>
    </row>
    <row r="2273" spans="1:18" x14ac:dyDescent="0.2">
      <c r="A2273">
        <v>19</v>
      </c>
      <c r="B2273" t="s">
        <v>22</v>
      </c>
      <c r="C2273">
        <v>2022</v>
      </c>
      <c r="D2273">
        <v>4</v>
      </c>
      <c r="E2273" s="6">
        <v>0</v>
      </c>
      <c r="F2273" s="9">
        <v>0</v>
      </c>
      <c r="G2273" s="6">
        <v>2217</v>
      </c>
      <c r="H2273" s="9">
        <f t="shared" si="35"/>
        <v>0</v>
      </c>
      <c r="I2273" s="6">
        <v>14558</v>
      </c>
      <c r="J2273" s="6">
        <f>VLOOKUP(Table1[[#This Row],[Province]],[1]Sheet1!$A$3:$K$37,7,FALSE)</f>
        <v>5371500</v>
      </c>
      <c r="K2273">
        <v>1</v>
      </c>
      <c r="L2273" s="4">
        <v>8.6573820000000001</v>
      </c>
      <c r="M2273" s="4">
        <v>121.07937</v>
      </c>
      <c r="N2273" s="13">
        <v>3.05</v>
      </c>
      <c r="P2273"/>
      <c r="Q2273" s="12"/>
      <c r="R2273" s="12"/>
    </row>
    <row r="2274" spans="1:18" x14ac:dyDescent="0.2">
      <c r="A2274">
        <v>19</v>
      </c>
      <c r="B2274" t="s">
        <v>22</v>
      </c>
      <c r="C2274">
        <v>2022</v>
      </c>
      <c r="D2274">
        <v>5</v>
      </c>
      <c r="E2274" s="6">
        <v>0</v>
      </c>
      <c r="F2274" s="9">
        <v>0</v>
      </c>
      <c r="G2274" s="6">
        <v>1404</v>
      </c>
      <c r="H2274" s="9">
        <f t="shared" si="35"/>
        <v>0</v>
      </c>
      <c r="I2274" s="6">
        <v>14887</v>
      </c>
      <c r="J2274" s="6">
        <f>VLOOKUP(Table1[[#This Row],[Province]],[1]Sheet1!$A$3:$K$37,7,FALSE)</f>
        <v>5371500</v>
      </c>
      <c r="K2274">
        <v>0</v>
      </c>
      <c r="L2274" s="4">
        <v>8.6573820000000001</v>
      </c>
      <c r="M2274" s="4">
        <v>121.07937</v>
      </c>
      <c r="N2274" s="13">
        <v>3.05</v>
      </c>
      <c r="P2274"/>
      <c r="Q2274" s="12"/>
      <c r="R2274" s="12"/>
    </row>
    <row r="2275" spans="1:18" x14ac:dyDescent="0.2">
      <c r="A2275">
        <v>19</v>
      </c>
      <c r="B2275" t="s">
        <v>22</v>
      </c>
      <c r="C2275">
        <v>2022</v>
      </c>
      <c r="D2275">
        <v>6</v>
      </c>
      <c r="E2275" s="6">
        <v>0</v>
      </c>
      <c r="F2275" s="9">
        <v>0</v>
      </c>
      <c r="G2275" s="6">
        <v>436</v>
      </c>
      <c r="H2275" s="9">
        <f t="shared" si="35"/>
        <v>0</v>
      </c>
      <c r="I2275" s="6">
        <v>14900</v>
      </c>
      <c r="J2275" s="6">
        <f>VLOOKUP(Table1[[#This Row],[Province]],[1]Sheet1!$A$3:$K$37,7,FALSE)</f>
        <v>5371500</v>
      </c>
      <c r="K2275">
        <v>0</v>
      </c>
      <c r="L2275" s="4">
        <v>8.6573820000000001</v>
      </c>
      <c r="M2275" s="4">
        <v>121.07937</v>
      </c>
      <c r="N2275" s="13">
        <v>3.05</v>
      </c>
      <c r="P2275"/>
      <c r="Q2275" s="12"/>
      <c r="R2275" s="12"/>
    </row>
    <row r="2276" spans="1:18" x14ac:dyDescent="0.2">
      <c r="A2276">
        <v>19</v>
      </c>
      <c r="B2276" t="s">
        <v>22</v>
      </c>
      <c r="C2276">
        <v>2022</v>
      </c>
      <c r="D2276">
        <v>7</v>
      </c>
      <c r="E2276" s="6">
        <v>0</v>
      </c>
      <c r="F2276" s="9">
        <v>0</v>
      </c>
      <c r="G2276" s="6">
        <v>2929</v>
      </c>
      <c r="H2276" s="9">
        <f t="shared" si="35"/>
        <v>0</v>
      </c>
      <c r="I2276" s="6">
        <v>14862</v>
      </c>
      <c r="J2276" s="6">
        <f>VLOOKUP(Table1[[#This Row],[Province]],[1]Sheet1!$A$3:$K$37,7,FALSE)</f>
        <v>5371500</v>
      </c>
      <c r="K2276">
        <v>0</v>
      </c>
      <c r="L2276" s="4">
        <v>8.6573820000000001</v>
      </c>
      <c r="M2276" s="4">
        <v>121.07937</v>
      </c>
      <c r="N2276" s="13">
        <v>3.05</v>
      </c>
      <c r="P2276"/>
      <c r="Q2276" s="12"/>
      <c r="R2276" s="12"/>
    </row>
    <row r="2277" spans="1:18" x14ac:dyDescent="0.2">
      <c r="A2277">
        <v>19</v>
      </c>
      <c r="B2277" t="s">
        <v>22</v>
      </c>
      <c r="C2277">
        <v>2022</v>
      </c>
      <c r="D2277">
        <v>8</v>
      </c>
      <c r="E2277" s="6">
        <v>815</v>
      </c>
      <c r="F2277" s="9">
        <v>0</v>
      </c>
      <c r="G2277" s="6">
        <v>649</v>
      </c>
      <c r="H2277" s="9">
        <f t="shared" si="35"/>
        <v>815</v>
      </c>
      <c r="I2277" s="6">
        <v>14882</v>
      </c>
      <c r="J2277" s="6">
        <f>VLOOKUP(Table1[[#This Row],[Province]],[1]Sheet1!$A$3:$K$37,7,FALSE)</f>
        <v>5371500</v>
      </c>
      <c r="K2277">
        <v>0</v>
      </c>
      <c r="L2277" s="4">
        <v>8.6573820000000001</v>
      </c>
      <c r="M2277" s="4">
        <v>121.07937</v>
      </c>
      <c r="N2277" s="13">
        <v>3.05</v>
      </c>
      <c r="P2277"/>
      <c r="Q2277" s="12"/>
      <c r="R2277" s="12"/>
    </row>
    <row r="2278" spans="1:18" x14ac:dyDescent="0.2">
      <c r="A2278">
        <v>19</v>
      </c>
      <c r="B2278" t="s">
        <v>22</v>
      </c>
      <c r="C2278">
        <v>2022</v>
      </c>
      <c r="D2278">
        <v>9</v>
      </c>
      <c r="E2278" s="6">
        <v>839</v>
      </c>
      <c r="F2278" s="9">
        <v>0</v>
      </c>
      <c r="G2278" s="6">
        <v>1295</v>
      </c>
      <c r="H2278" s="9">
        <f t="shared" si="35"/>
        <v>839</v>
      </c>
      <c r="I2278" s="6">
        <v>14237</v>
      </c>
      <c r="J2278" s="6">
        <f>VLOOKUP(Table1[[#This Row],[Province]],[1]Sheet1!$A$3:$K$37,7,FALSE)</f>
        <v>5371500</v>
      </c>
      <c r="K2278">
        <v>0</v>
      </c>
      <c r="L2278" s="4">
        <v>8.6573820000000001</v>
      </c>
      <c r="M2278" s="4">
        <v>121.07937</v>
      </c>
      <c r="N2278" s="13">
        <v>3.05</v>
      </c>
      <c r="P2278"/>
      <c r="Q2278" s="12"/>
      <c r="R2278" s="12"/>
    </row>
    <row r="2279" spans="1:18" x14ac:dyDescent="0.2">
      <c r="A2279">
        <v>19</v>
      </c>
      <c r="B2279" t="s">
        <v>22</v>
      </c>
      <c r="C2279">
        <v>2022</v>
      </c>
      <c r="D2279">
        <v>10</v>
      </c>
      <c r="E2279" s="6">
        <v>0</v>
      </c>
      <c r="F2279" s="9">
        <v>0</v>
      </c>
      <c r="G2279" s="6">
        <v>4007</v>
      </c>
      <c r="H2279" s="9">
        <f t="shared" si="35"/>
        <v>0</v>
      </c>
      <c r="I2279" s="6">
        <v>14198</v>
      </c>
      <c r="J2279" s="6">
        <f>VLOOKUP(Table1[[#This Row],[Province]],[1]Sheet1!$A$3:$K$37,7,FALSE)</f>
        <v>5371500</v>
      </c>
      <c r="K2279">
        <v>0</v>
      </c>
      <c r="L2279" s="4">
        <v>8.6573820000000001</v>
      </c>
      <c r="M2279" s="4">
        <v>121.07937</v>
      </c>
      <c r="N2279" s="13">
        <v>3.05</v>
      </c>
      <c r="P2279"/>
      <c r="Q2279" s="12"/>
      <c r="R2279" s="12"/>
    </row>
    <row r="2280" spans="1:18" x14ac:dyDescent="0.2">
      <c r="A2280">
        <v>19</v>
      </c>
      <c r="B2280" t="s">
        <v>22</v>
      </c>
      <c r="C2280">
        <v>2022</v>
      </c>
      <c r="D2280">
        <v>11</v>
      </c>
      <c r="E2280" s="6">
        <v>0</v>
      </c>
      <c r="F2280" s="9">
        <v>0</v>
      </c>
      <c r="G2280" s="6">
        <v>2104</v>
      </c>
      <c r="H2280" s="9">
        <f t="shared" si="35"/>
        <v>0</v>
      </c>
      <c r="I2280" s="6">
        <v>14850</v>
      </c>
      <c r="J2280" s="6">
        <f>VLOOKUP(Table1[[#This Row],[Province]],[1]Sheet1!$A$3:$K$37,7,FALSE)</f>
        <v>5371500</v>
      </c>
      <c r="K2280">
        <v>0</v>
      </c>
      <c r="L2280" s="4">
        <v>8.6573820000000001</v>
      </c>
      <c r="M2280" s="4">
        <v>121.07937</v>
      </c>
      <c r="N2280" s="13">
        <v>3.05</v>
      </c>
      <c r="P2280"/>
      <c r="Q2280" s="12"/>
      <c r="R2280" s="12"/>
    </row>
    <row r="2281" spans="1:18" x14ac:dyDescent="0.2">
      <c r="A2281">
        <v>19</v>
      </c>
      <c r="B2281" t="s">
        <v>22</v>
      </c>
      <c r="C2281">
        <v>2022</v>
      </c>
      <c r="D2281">
        <v>12</v>
      </c>
      <c r="E2281" s="6">
        <v>0</v>
      </c>
      <c r="F2281" s="9">
        <v>0</v>
      </c>
      <c r="G2281" s="6">
        <v>6989</v>
      </c>
      <c r="H2281" s="9">
        <f t="shared" si="35"/>
        <v>0</v>
      </c>
      <c r="I2281" s="6">
        <v>14850</v>
      </c>
      <c r="J2281" s="6">
        <f>VLOOKUP(Table1[[#This Row],[Province]],[1]Sheet1!$A$3:$K$37,7,FALSE)</f>
        <v>5371500</v>
      </c>
      <c r="K2281">
        <v>1</v>
      </c>
      <c r="L2281" s="4">
        <v>8.6573820000000001</v>
      </c>
      <c r="M2281" s="4">
        <v>121.07937</v>
      </c>
      <c r="N2281" s="13">
        <v>3.05</v>
      </c>
      <c r="P2281"/>
      <c r="Q2281" s="12"/>
      <c r="R2281" s="12"/>
    </row>
    <row r="2282" spans="1:18" x14ac:dyDescent="0.2">
      <c r="A2282">
        <v>20</v>
      </c>
      <c r="B2282" t="s">
        <v>12</v>
      </c>
      <c r="C2282">
        <v>2013</v>
      </c>
      <c r="D2282">
        <v>1</v>
      </c>
      <c r="E2282" s="4">
        <v>0</v>
      </c>
      <c r="F2282" s="9">
        <v>0</v>
      </c>
      <c r="G2282" s="6">
        <v>3160</v>
      </c>
      <c r="H2282" s="9">
        <f t="shared" si="35"/>
        <v>0</v>
      </c>
      <c r="I2282" s="6">
        <v>11964</v>
      </c>
      <c r="J2282" s="6">
        <f>VLOOKUP(Table1[[#This Row],[Province]],[1]Sheet1!$A$3:$K$37,7,FALSE)</f>
        <v>5001700</v>
      </c>
      <c r="K2282">
        <v>0</v>
      </c>
      <c r="L2282" s="4">
        <v>0.278781</v>
      </c>
      <c r="M2282" s="4">
        <v>111.475285</v>
      </c>
      <c r="N2282" s="6"/>
      <c r="P2282"/>
      <c r="Q2282" s="12"/>
      <c r="R2282" s="12"/>
    </row>
    <row r="2283" spans="1:18" x14ac:dyDescent="0.2">
      <c r="A2283">
        <v>20</v>
      </c>
      <c r="B2283" t="s">
        <v>12</v>
      </c>
      <c r="C2283">
        <v>2013</v>
      </c>
      <c r="D2283">
        <v>2</v>
      </c>
      <c r="E2283" s="4">
        <v>0</v>
      </c>
      <c r="F2283" s="9">
        <v>0</v>
      </c>
      <c r="G2283" s="6">
        <v>3029</v>
      </c>
      <c r="H2283" s="9">
        <f t="shared" si="35"/>
        <v>0</v>
      </c>
      <c r="I2283" s="6">
        <v>11850</v>
      </c>
      <c r="J2283" s="6">
        <f>VLOOKUP(Table1[[#This Row],[Province]],[1]Sheet1!$A$3:$K$37,7,FALSE)</f>
        <v>5001700</v>
      </c>
      <c r="K2283">
        <v>0</v>
      </c>
      <c r="L2283" s="4">
        <v>0.278781</v>
      </c>
      <c r="M2283" s="4">
        <v>111.475285</v>
      </c>
      <c r="N2283" s="6"/>
      <c r="P2283"/>
      <c r="Q2283" s="12"/>
      <c r="R2283" s="12"/>
    </row>
    <row r="2284" spans="1:18" x14ac:dyDescent="0.2">
      <c r="A2284">
        <v>20</v>
      </c>
      <c r="B2284" t="s">
        <v>12</v>
      </c>
      <c r="C2284">
        <v>2013</v>
      </c>
      <c r="D2284">
        <v>3</v>
      </c>
      <c r="E2284" s="4">
        <v>0</v>
      </c>
      <c r="F2284" s="9">
        <v>0</v>
      </c>
      <c r="G2284" s="6">
        <v>3123</v>
      </c>
      <c r="H2284" s="9">
        <f t="shared" si="35"/>
        <v>0</v>
      </c>
      <c r="I2284" s="6">
        <v>11398</v>
      </c>
      <c r="J2284" s="6">
        <f>VLOOKUP(Table1[[#This Row],[Province]],[1]Sheet1!$A$3:$K$37,7,FALSE)</f>
        <v>5001700</v>
      </c>
      <c r="K2284">
        <v>0</v>
      </c>
      <c r="L2284" s="4">
        <v>0.278781</v>
      </c>
      <c r="M2284" s="4">
        <v>111.475285</v>
      </c>
      <c r="N2284" s="6"/>
      <c r="P2284"/>
      <c r="Q2284" s="12"/>
      <c r="R2284" s="12"/>
    </row>
    <row r="2285" spans="1:18" x14ac:dyDescent="0.2">
      <c r="A2285">
        <v>20</v>
      </c>
      <c r="B2285" t="s">
        <v>12</v>
      </c>
      <c r="C2285">
        <v>2013</v>
      </c>
      <c r="D2285">
        <v>4</v>
      </c>
      <c r="E2285" s="4">
        <v>0</v>
      </c>
      <c r="F2285" s="9">
        <v>0</v>
      </c>
      <c r="G2285" s="6">
        <v>4058</v>
      </c>
      <c r="H2285" s="9">
        <f t="shared" si="35"/>
        <v>0</v>
      </c>
      <c r="I2285" s="6">
        <v>10955</v>
      </c>
      <c r="J2285" s="6">
        <f>VLOOKUP(Table1[[#This Row],[Province]],[1]Sheet1!$A$3:$K$37,7,FALSE)</f>
        <v>5001700</v>
      </c>
      <c r="K2285">
        <v>0</v>
      </c>
      <c r="L2285" s="4">
        <v>0.278781</v>
      </c>
      <c r="M2285" s="4">
        <v>111.475285</v>
      </c>
      <c r="N2285" s="6"/>
      <c r="P2285"/>
      <c r="Q2285" s="12"/>
      <c r="R2285" s="12"/>
    </row>
    <row r="2286" spans="1:18" x14ac:dyDescent="0.2">
      <c r="A2286">
        <v>20</v>
      </c>
      <c r="B2286" t="s">
        <v>12</v>
      </c>
      <c r="C2286">
        <v>2013</v>
      </c>
      <c r="D2286">
        <v>5</v>
      </c>
      <c r="E2286" s="4">
        <v>0</v>
      </c>
      <c r="F2286" s="9">
        <v>0</v>
      </c>
      <c r="G2286" s="6">
        <v>4918</v>
      </c>
      <c r="H2286" s="9">
        <f t="shared" si="35"/>
        <v>0</v>
      </c>
      <c r="I2286" s="6">
        <v>10949</v>
      </c>
      <c r="J2286" s="6">
        <f>VLOOKUP(Table1[[#This Row],[Province]],[1]Sheet1!$A$3:$K$37,7,FALSE)</f>
        <v>5001700</v>
      </c>
      <c r="K2286">
        <v>0</v>
      </c>
      <c r="L2286" s="4">
        <v>0.278781</v>
      </c>
      <c r="M2286" s="4">
        <v>111.475285</v>
      </c>
      <c r="N2286" s="6"/>
      <c r="P2286"/>
      <c r="Q2286" s="12"/>
      <c r="R2286" s="12"/>
    </row>
    <row r="2287" spans="1:18" x14ac:dyDescent="0.2">
      <c r="A2287">
        <v>20</v>
      </c>
      <c r="B2287" t="s">
        <v>12</v>
      </c>
      <c r="C2287">
        <v>2013</v>
      </c>
      <c r="D2287">
        <v>6</v>
      </c>
      <c r="E2287" s="4">
        <v>0</v>
      </c>
      <c r="F2287" s="9">
        <v>0</v>
      </c>
      <c r="G2287" s="6">
        <v>4095</v>
      </c>
      <c r="H2287" s="9">
        <f t="shared" si="35"/>
        <v>0</v>
      </c>
      <c r="I2287" s="6">
        <v>11000</v>
      </c>
      <c r="J2287" s="6">
        <f>VLOOKUP(Table1[[#This Row],[Province]],[1]Sheet1!$A$3:$K$37,7,FALSE)</f>
        <v>5001700</v>
      </c>
      <c r="K2287">
        <v>0</v>
      </c>
      <c r="L2287" s="4">
        <v>0.278781</v>
      </c>
      <c r="M2287" s="4">
        <v>111.475285</v>
      </c>
      <c r="N2287" s="6"/>
      <c r="P2287"/>
      <c r="Q2287" s="12"/>
      <c r="R2287" s="12"/>
    </row>
    <row r="2288" spans="1:18" x14ac:dyDescent="0.2">
      <c r="A2288">
        <v>20</v>
      </c>
      <c r="B2288" t="s">
        <v>12</v>
      </c>
      <c r="C2288">
        <v>2013</v>
      </c>
      <c r="D2288">
        <v>7</v>
      </c>
      <c r="E2288" s="4">
        <v>0</v>
      </c>
      <c r="F2288" s="9">
        <v>0</v>
      </c>
      <c r="G2288" s="6">
        <v>7106</v>
      </c>
      <c r="H2288" s="9">
        <f t="shared" si="35"/>
        <v>0</v>
      </c>
      <c r="I2288" s="6">
        <v>12000</v>
      </c>
      <c r="J2288" s="6">
        <f>VLOOKUP(Table1[[#This Row],[Province]],[1]Sheet1!$A$3:$K$37,7,FALSE)</f>
        <v>5001700</v>
      </c>
      <c r="K2288">
        <v>1</v>
      </c>
      <c r="L2288" s="4">
        <v>0.278781</v>
      </c>
      <c r="M2288" s="4">
        <v>111.475285</v>
      </c>
      <c r="N2288" s="6"/>
      <c r="P2288"/>
      <c r="Q2288" s="12"/>
      <c r="R2288" s="12"/>
    </row>
    <row r="2289" spans="1:18" x14ac:dyDescent="0.2">
      <c r="A2289">
        <v>20</v>
      </c>
      <c r="B2289" t="s">
        <v>12</v>
      </c>
      <c r="C2289">
        <v>2013</v>
      </c>
      <c r="D2289">
        <v>8</v>
      </c>
      <c r="E2289" s="4">
        <v>0</v>
      </c>
      <c r="F2289" s="9">
        <v>0</v>
      </c>
      <c r="G2289" s="6">
        <v>2599</v>
      </c>
      <c r="H2289" s="9">
        <f t="shared" si="35"/>
        <v>0</v>
      </c>
      <c r="I2289" s="6">
        <v>11000</v>
      </c>
      <c r="J2289" s="6">
        <f>VLOOKUP(Table1[[#This Row],[Province]],[1]Sheet1!$A$3:$K$37,7,FALSE)</f>
        <v>5001700</v>
      </c>
      <c r="K2289">
        <v>0</v>
      </c>
      <c r="L2289" s="4">
        <v>0.278781</v>
      </c>
      <c r="M2289" s="4">
        <v>111.475285</v>
      </c>
      <c r="N2289" s="6"/>
      <c r="P2289"/>
      <c r="Q2289" s="12"/>
      <c r="R2289" s="12"/>
    </row>
    <row r="2290" spans="1:18" x14ac:dyDescent="0.2">
      <c r="A2290">
        <v>20</v>
      </c>
      <c r="B2290" t="s">
        <v>12</v>
      </c>
      <c r="C2290">
        <v>2013</v>
      </c>
      <c r="D2290">
        <v>9</v>
      </c>
      <c r="E2290" s="4">
        <v>0</v>
      </c>
      <c r="F2290" s="9">
        <v>0</v>
      </c>
      <c r="G2290" s="6">
        <v>5554</v>
      </c>
      <c r="H2290" s="9">
        <f t="shared" si="35"/>
        <v>0</v>
      </c>
      <c r="I2290" s="6">
        <v>11000</v>
      </c>
      <c r="J2290" s="6">
        <f>VLOOKUP(Table1[[#This Row],[Province]],[1]Sheet1!$A$3:$K$37,7,FALSE)</f>
        <v>5001700</v>
      </c>
      <c r="K2290">
        <v>0</v>
      </c>
      <c r="L2290" s="4">
        <v>0.278781</v>
      </c>
      <c r="M2290" s="4">
        <v>111.475285</v>
      </c>
      <c r="N2290" s="6"/>
      <c r="P2290"/>
      <c r="Q2290" s="12"/>
      <c r="R2290" s="12"/>
    </row>
    <row r="2291" spans="1:18" x14ac:dyDescent="0.2">
      <c r="A2291">
        <v>20</v>
      </c>
      <c r="B2291" t="s">
        <v>12</v>
      </c>
      <c r="C2291">
        <v>2013</v>
      </c>
      <c r="D2291">
        <v>10</v>
      </c>
      <c r="E2291" s="4">
        <v>0</v>
      </c>
      <c r="F2291" s="9">
        <v>0</v>
      </c>
      <c r="G2291" s="6">
        <v>4544</v>
      </c>
      <c r="H2291" s="9">
        <f t="shared" si="35"/>
        <v>0</v>
      </c>
      <c r="I2291" s="6">
        <v>14381</v>
      </c>
      <c r="J2291" s="6">
        <f>VLOOKUP(Table1[[#This Row],[Province]],[1]Sheet1!$A$3:$K$37,7,FALSE)</f>
        <v>5001700</v>
      </c>
      <c r="K2291">
        <v>0</v>
      </c>
      <c r="L2291" s="4">
        <v>0.278781</v>
      </c>
      <c r="M2291" s="4">
        <v>111.475285</v>
      </c>
      <c r="N2291" s="6"/>
      <c r="P2291"/>
      <c r="Q2291" s="12"/>
      <c r="R2291" s="12"/>
    </row>
    <row r="2292" spans="1:18" x14ac:dyDescent="0.2">
      <c r="A2292">
        <v>20</v>
      </c>
      <c r="B2292" t="s">
        <v>12</v>
      </c>
      <c r="C2292">
        <v>2013</v>
      </c>
      <c r="D2292">
        <v>11</v>
      </c>
      <c r="E2292" s="4">
        <v>0</v>
      </c>
      <c r="F2292" s="9">
        <v>0</v>
      </c>
      <c r="G2292" s="6">
        <v>3347</v>
      </c>
      <c r="H2292" s="9">
        <f t="shared" si="35"/>
        <v>0</v>
      </c>
      <c r="I2292" s="6">
        <v>13006</v>
      </c>
      <c r="J2292" s="6">
        <f>VLOOKUP(Table1[[#This Row],[Province]],[1]Sheet1!$A$3:$K$37,7,FALSE)</f>
        <v>5001700</v>
      </c>
      <c r="K2292">
        <v>0</v>
      </c>
      <c r="L2292" s="4">
        <v>0.278781</v>
      </c>
      <c r="M2292" s="4">
        <v>111.475285</v>
      </c>
      <c r="N2292" s="6"/>
      <c r="P2292"/>
      <c r="Q2292" s="12"/>
      <c r="R2292" s="12"/>
    </row>
    <row r="2293" spans="1:18" x14ac:dyDescent="0.2">
      <c r="A2293">
        <v>20</v>
      </c>
      <c r="B2293" t="s">
        <v>12</v>
      </c>
      <c r="C2293">
        <v>2013</v>
      </c>
      <c r="D2293">
        <v>12</v>
      </c>
      <c r="E2293" s="4">
        <v>0</v>
      </c>
      <c r="F2293" s="9">
        <v>0</v>
      </c>
      <c r="G2293" s="6">
        <v>4656</v>
      </c>
      <c r="H2293" s="9">
        <f t="shared" si="35"/>
        <v>0</v>
      </c>
      <c r="I2293" s="6">
        <v>11863</v>
      </c>
      <c r="J2293" s="6">
        <f>VLOOKUP(Table1[[#This Row],[Province]],[1]Sheet1!$A$3:$K$37,7,FALSE)</f>
        <v>5001700</v>
      </c>
      <c r="K2293">
        <v>1</v>
      </c>
      <c r="L2293" s="4">
        <v>0.278781</v>
      </c>
      <c r="M2293" s="4">
        <v>111.475285</v>
      </c>
      <c r="N2293" s="6"/>
      <c r="P2293"/>
      <c r="Q2293" s="12"/>
      <c r="R2293" s="12"/>
    </row>
    <row r="2294" spans="1:18" x14ac:dyDescent="0.2">
      <c r="A2294">
        <v>20</v>
      </c>
      <c r="B2294" t="s">
        <v>12</v>
      </c>
      <c r="C2294">
        <v>2014</v>
      </c>
      <c r="D2294">
        <v>1</v>
      </c>
      <c r="E2294" s="4">
        <v>0</v>
      </c>
      <c r="F2294" s="9">
        <v>0</v>
      </c>
      <c r="G2294" s="6">
        <v>3259</v>
      </c>
      <c r="H2294" s="9">
        <f t="shared" si="35"/>
        <v>0</v>
      </c>
      <c r="I2294" s="6">
        <v>11750</v>
      </c>
      <c r="J2294" s="6">
        <f>VLOOKUP(Table1[[#This Row],[Province]],[1]Sheet1!$A$3:$K$37,7,FALSE)</f>
        <v>5001700</v>
      </c>
      <c r="K2294">
        <v>0</v>
      </c>
      <c r="L2294" s="4">
        <v>0.278781</v>
      </c>
      <c r="M2294" s="4">
        <v>111.475285</v>
      </c>
      <c r="N2294" s="6"/>
      <c r="P2294"/>
      <c r="Q2294" s="12"/>
      <c r="R2294" s="12"/>
    </row>
    <row r="2295" spans="1:18" x14ac:dyDescent="0.2">
      <c r="A2295">
        <v>20</v>
      </c>
      <c r="B2295" t="s">
        <v>12</v>
      </c>
      <c r="C2295">
        <v>2014</v>
      </c>
      <c r="D2295">
        <v>2</v>
      </c>
      <c r="E2295" s="4">
        <v>0</v>
      </c>
      <c r="F2295" s="9">
        <v>0</v>
      </c>
      <c r="G2295" s="6">
        <v>2908</v>
      </c>
      <c r="H2295" s="9">
        <f t="shared" si="35"/>
        <v>0</v>
      </c>
      <c r="I2295" s="6">
        <v>11244</v>
      </c>
      <c r="J2295" s="6">
        <f>VLOOKUP(Table1[[#This Row],[Province]],[1]Sheet1!$A$3:$K$37,7,FALSE)</f>
        <v>5001700</v>
      </c>
      <c r="K2295">
        <v>0</v>
      </c>
      <c r="L2295" s="4">
        <v>0.278781</v>
      </c>
      <c r="M2295" s="4">
        <v>111.475285</v>
      </c>
      <c r="N2295" s="6"/>
      <c r="P2295"/>
      <c r="Q2295" s="12"/>
      <c r="R2295" s="12"/>
    </row>
    <row r="2296" spans="1:18" x14ac:dyDescent="0.2">
      <c r="A2296">
        <v>20</v>
      </c>
      <c r="B2296" t="s">
        <v>12</v>
      </c>
      <c r="C2296">
        <v>2014</v>
      </c>
      <c r="D2296">
        <v>3</v>
      </c>
      <c r="E2296" s="4">
        <v>0</v>
      </c>
      <c r="F2296" s="9">
        <v>0</v>
      </c>
      <c r="G2296" s="6">
        <v>3265</v>
      </c>
      <c r="H2296" s="9">
        <f t="shared" si="35"/>
        <v>0</v>
      </c>
      <c r="I2296" s="6">
        <v>11063</v>
      </c>
      <c r="J2296" s="6">
        <f>VLOOKUP(Table1[[#This Row],[Province]],[1]Sheet1!$A$3:$K$37,7,FALSE)</f>
        <v>5001700</v>
      </c>
      <c r="K2296">
        <v>0</v>
      </c>
      <c r="L2296" s="4">
        <v>0.278781</v>
      </c>
      <c r="M2296" s="4">
        <v>111.475285</v>
      </c>
      <c r="N2296" s="6"/>
      <c r="P2296"/>
      <c r="Q2296" s="12"/>
      <c r="R2296" s="12"/>
    </row>
    <row r="2297" spans="1:18" x14ac:dyDescent="0.2">
      <c r="A2297">
        <v>20</v>
      </c>
      <c r="B2297" t="s">
        <v>12</v>
      </c>
      <c r="C2297">
        <v>2014</v>
      </c>
      <c r="D2297">
        <v>4</v>
      </c>
      <c r="E2297" s="4">
        <v>0</v>
      </c>
      <c r="F2297" s="9">
        <v>0</v>
      </c>
      <c r="G2297" s="6">
        <v>4206</v>
      </c>
      <c r="H2297" s="9">
        <f t="shared" si="35"/>
        <v>0</v>
      </c>
      <c r="I2297" s="6">
        <v>11000</v>
      </c>
      <c r="J2297" s="6">
        <f>VLOOKUP(Table1[[#This Row],[Province]],[1]Sheet1!$A$3:$K$37,7,FALSE)</f>
        <v>5001700</v>
      </c>
      <c r="K2297">
        <v>0</v>
      </c>
      <c r="L2297" s="4">
        <v>0.278781</v>
      </c>
      <c r="M2297" s="4">
        <v>111.475285</v>
      </c>
      <c r="N2297" s="6"/>
      <c r="P2297"/>
      <c r="Q2297" s="12"/>
      <c r="R2297" s="12"/>
    </row>
    <row r="2298" spans="1:18" x14ac:dyDescent="0.2">
      <c r="A2298">
        <v>20</v>
      </c>
      <c r="B2298" t="s">
        <v>12</v>
      </c>
      <c r="C2298">
        <v>2014</v>
      </c>
      <c r="D2298">
        <v>5</v>
      </c>
      <c r="E2298" s="4">
        <v>0</v>
      </c>
      <c r="F2298" s="9">
        <v>0</v>
      </c>
      <c r="G2298" s="6">
        <v>4711</v>
      </c>
      <c r="H2298" s="9">
        <f t="shared" si="35"/>
        <v>0</v>
      </c>
      <c r="I2298" s="6">
        <v>11000</v>
      </c>
      <c r="J2298" s="6">
        <f>VLOOKUP(Table1[[#This Row],[Province]],[1]Sheet1!$A$3:$K$37,7,FALSE)</f>
        <v>5001700</v>
      </c>
      <c r="K2298">
        <v>0</v>
      </c>
      <c r="L2298" s="4">
        <v>0.278781</v>
      </c>
      <c r="M2298" s="4">
        <v>111.475285</v>
      </c>
      <c r="N2298" s="6"/>
      <c r="P2298"/>
      <c r="Q2298" s="12"/>
      <c r="R2298" s="12"/>
    </row>
    <row r="2299" spans="1:18" x14ac:dyDescent="0.2">
      <c r="A2299">
        <v>20</v>
      </c>
      <c r="B2299" t="s">
        <v>12</v>
      </c>
      <c r="C2299">
        <v>2014</v>
      </c>
      <c r="D2299">
        <v>6</v>
      </c>
      <c r="E2299" s="4">
        <v>0</v>
      </c>
      <c r="F2299" s="9">
        <v>0</v>
      </c>
      <c r="G2299" s="6">
        <v>6704</v>
      </c>
      <c r="H2299" s="9">
        <f t="shared" si="35"/>
        <v>0</v>
      </c>
      <c r="I2299" s="6">
        <v>11774</v>
      </c>
      <c r="J2299" s="6">
        <f>VLOOKUP(Table1[[#This Row],[Province]],[1]Sheet1!$A$3:$K$37,7,FALSE)</f>
        <v>5001700</v>
      </c>
      <c r="K2299">
        <v>1</v>
      </c>
      <c r="L2299" s="4">
        <v>0.278781</v>
      </c>
      <c r="M2299" s="4">
        <v>111.475285</v>
      </c>
      <c r="N2299" s="6"/>
      <c r="P2299"/>
      <c r="Q2299" s="12"/>
      <c r="R2299" s="12"/>
    </row>
    <row r="2300" spans="1:18" x14ac:dyDescent="0.2">
      <c r="A2300">
        <v>20</v>
      </c>
      <c r="B2300" t="s">
        <v>12</v>
      </c>
      <c r="C2300">
        <v>2014</v>
      </c>
      <c r="D2300">
        <v>7</v>
      </c>
      <c r="E2300" s="4">
        <v>0</v>
      </c>
      <c r="F2300" s="9">
        <v>0</v>
      </c>
      <c r="G2300" s="6">
        <v>4206</v>
      </c>
      <c r="H2300" s="9">
        <f t="shared" si="35"/>
        <v>0</v>
      </c>
      <c r="I2300" s="6">
        <v>11931</v>
      </c>
      <c r="J2300" s="6">
        <f>VLOOKUP(Table1[[#This Row],[Province]],[1]Sheet1!$A$3:$K$37,7,FALSE)</f>
        <v>5001700</v>
      </c>
      <c r="K2300">
        <v>0</v>
      </c>
      <c r="L2300" s="4">
        <v>0.278781</v>
      </c>
      <c r="M2300" s="4">
        <v>111.475285</v>
      </c>
      <c r="N2300" s="6"/>
      <c r="P2300"/>
      <c r="Q2300" s="12"/>
      <c r="R2300" s="12"/>
    </row>
    <row r="2301" spans="1:18" x14ac:dyDescent="0.2">
      <c r="A2301">
        <v>20</v>
      </c>
      <c r="B2301" t="s">
        <v>12</v>
      </c>
      <c r="C2301">
        <v>2014</v>
      </c>
      <c r="D2301">
        <v>8</v>
      </c>
      <c r="E2301" s="4">
        <v>0</v>
      </c>
      <c r="F2301" s="9">
        <v>0</v>
      </c>
      <c r="G2301" s="6">
        <v>4054</v>
      </c>
      <c r="H2301" s="9">
        <f t="shared" si="35"/>
        <v>0</v>
      </c>
      <c r="I2301" s="6">
        <v>11000</v>
      </c>
      <c r="J2301" s="6">
        <f>VLOOKUP(Table1[[#This Row],[Province]],[1]Sheet1!$A$3:$K$37,7,FALSE)</f>
        <v>5001700</v>
      </c>
      <c r="K2301">
        <v>0</v>
      </c>
      <c r="L2301" s="4">
        <v>0.278781</v>
      </c>
      <c r="M2301" s="4">
        <v>111.475285</v>
      </c>
      <c r="N2301" s="6"/>
      <c r="P2301"/>
      <c r="Q2301" s="12"/>
      <c r="R2301" s="12"/>
    </row>
    <row r="2302" spans="1:18" x14ac:dyDescent="0.2">
      <c r="A2302">
        <v>20</v>
      </c>
      <c r="B2302" t="s">
        <v>12</v>
      </c>
      <c r="C2302">
        <v>2014</v>
      </c>
      <c r="D2302">
        <v>9</v>
      </c>
      <c r="E2302" s="4">
        <v>0</v>
      </c>
      <c r="F2302" s="9">
        <v>0</v>
      </c>
      <c r="G2302" s="6">
        <v>4080</v>
      </c>
      <c r="H2302" s="9">
        <f t="shared" si="35"/>
        <v>0</v>
      </c>
      <c r="I2302" s="6">
        <v>11000</v>
      </c>
      <c r="J2302" s="6">
        <f>VLOOKUP(Table1[[#This Row],[Province]],[1]Sheet1!$A$3:$K$37,7,FALSE)</f>
        <v>5001700</v>
      </c>
      <c r="K2302">
        <v>0</v>
      </c>
      <c r="L2302" s="4">
        <v>0.278781</v>
      </c>
      <c r="M2302" s="4">
        <v>111.475285</v>
      </c>
      <c r="N2302" s="6"/>
      <c r="P2302"/>
      <c r="Q2302" s="12"/>
      <c r="R2302" s="12"/>
    </row>
    <row r="2303" spans="1:18" x14ac:dyDescent="0.2">
      <c r="A2303">
        <v>20</v>
      </c>
      <c r="B2303" t="s">
        <v>12</v>
      </c>
      <c r="C2303">
        <v>2014</v>
      </c>
      <c r="D2303">
        <v>10</v>
      </c>
      <c r="E2303" s="4">
        <v>0</v>
      </c>
      <c r="F2303" s="9">
        <v>0</v>
      </c>
      <c r="G2303" s="6">
        <v>6053</v>
      </c>
      <c r="H2303" s="9">
        <f t="shared" si="35"/>
        <v>0</v>
      </c>
      <c r="I2303" s="6">
        <v>11000</v>
      </c>
      <c r="J2303" s="6">
        <f>VLOOKUP(Table1[[#This Row],[Province]],[1]Sheet1!$A$3:$K$37,7,FALSE)</f>
        <v>5001700</v>
      </c>
      <c r="K2303">
        <v>0</v>
      </c>
      <c r="L2303" s="4">
        <v>0.278781</v>
      </c>
      <c r="M2303" s="4">
        <v>111.475285</v>
      </c>
      <c r="N2303" s="6"/>
      <c r="P2303"/>
      <c r="Q2303" s="12"/>
      <c r="R2303" s="12"/>
    </row>
    <row r="2304" spans="1:18" x14ac:dyDescent="0.2">
      <c r="A2304">
        <v>20</v>
      </c>
      <c r="B2304" t="s">
        <v>12</v>
      </c>
      <c r="C2304">
        <v>2014</v>
      </c>
      <c r="D2304">
        <v>11</v>
      </c>
      <c r="E2304" s="4">
        <v>0</v>
      </c>
      <c r="F2304" s="9">
        <v>0</v>
      </c>
      <c r="G2304" s="6">
        <v>4830</v>
      </c>
      <c r="H2304" s="9">
        <f t="shared" si="35"/>
        <v>0</v>
      </c>
      <c r="I2304" s="6">
        <v>11000</v>
      </c>
      <c r="J2304" s="6">
        <f>VLOOKUP(Table1[[#This Row],[Province]],[1]Sheet1!$A$3:$K$37,7,FALSE)</f>
        <v>5001700</v>
      </c>
      <c r="K2304">
        <v>0</v>
      </c>
      <c r="L2304" s="4">
        <v>0.278781</v>
      </c>
      <c r="M2304" s="4">
        <v>111.475285</v>
      </c>
      <c r="N2304" s="6"/>
      <c r="P2304"/>
      <c r="Q2304" s="12"/>
      <c r="R2304" s="12"/>
    </row>
    <row r="2305" spans="1:18" x14ac:dyDescent="0.2">
      <c r="A2305">
        <v>20</v>
      </c>
      <c r="B2305" t="s">
        <v>12</v>
      </c>
      <c r="C2305">
        <v>2014</v>
      </c>
      <c r="D2305">
        <v>12</v>
      </c>
      <c r="E2305" s="4">
        <v>0</v>
      </c>
      <c r="F2305" s="9">
        <v>0</v>
      </c>
      <c r="G2305" s="6">
        <v>5632</v>
      </c>
      <c r="H2305" s="9">
        <f t="shared" si="35"/>
        <v>0</v>
      </c>
      <c r="I2305" s="6">
        <v>11000</v>
      </c>
      <c r="J2305" s="6">
        <f>VLOOKUP(Table1[[#This Row],[Province]],[1]Sheet1!$A$3:$K$37,7,FALSE)</f>
        <v>5001700</v>
      </c>
      <c r="K2305">
        <v>1</v>
      </c>
      <c r="L2305" s="4">
        <v>0.278781</v>
      </c>
      <c r="M2305" s="4">
        <v>111.475285</v>
      </c>
      <c r="N2305" s="6"/>
      <c r="P2305"/>
      <c r="Q2305" s="12"/>
      <c r="R2305" s="12"/>
    </row>
    <row r="2306" spans="1:18" x14ac:dyDescent="0.2">
      <c r="A2306">
        <v>20</v>
      </c>
      <c r="B2306" t="s">
        <v>12</v>
      </c>
      <c r="C2306">
        <v>2015</v>
      </c>
      <c r="D2306">
        <v>1</v>
      </c>
      <c r="E2306" s="4">
        <v>0</v>
      </c>
      <c r="F2306" s="9">
        <v>0</v>
      </c>
      <c r="G2306" s="6">
        <v>2768</v>
      </c>
      <c r="H2306" s="9">
        <f t="shared" ref="H2306:H2369" si="36">F2306+E2306</f>
        <v>0</v>
      </c>
      <c r="I2306" s="6">
        <v>11000</v>
      </c>
      <c r="J2306" s="6">
        <f>VLOOKUP(Table1[[#This Row],[Province]],[1]Sheet1!$A$3:$K$37,7,FALSE)</f>
        <v>5001700</v>
      </c>
      <c r="K2306">
        <v>0</v>
      </c>
      <c r="L2306" s="4">
        <v>0.278781</v>
      </c>
      <c r="M2306" s="4">
        <v>111.475285</v>
      </c>
      <c r="N2306" s="6"/>
      <c r="P2306"/>
      <c r="Q2306" s="12"/>
      <c r="R2306" s="12"/>
    </row>
    <row r="2307" spans="1:18" x14ac:dyDescent="0.2">
      <c r="A2307">
        <v>20</v>
      </c>
      <c r="B2307" t="s">
        <v>12</v>
      </c>
      <c r="C2307">
        <v>2015</v>
      </c>
      <c r="D2307">
        <v>2</v>
      </c>
      <c r="E2307" s="4">
        <v>0</v>
      </c>
      <c r="F2307" s="9">
        <v>0</v>
      </c>
      <c r="G2307" s="6">
        <v>6982</v>
      </c>
      <c r="H2307" s="9">
        <f t="shared" si="36"/>
        <v>0</v>
      </c>
      <c r="I2307" s="6">
        <v>11000</v>
      </c>
      <c r="J2307" s="6">
        <f>VLOOKUP(Table1[[#This Row],[Province]],[1]Sheet1!$A$3:$K$37,7,FALSE)</f>
        <v>5001700</v>
      </c>
      <c r="K2307">
        <v>0</v>
      </c>
      <c r="L2307" s="4">
        <v>0.278781</v>
      </c>
      <c r="M2307" s="4">
        <v>111.475285</v>
      </c>
      <c r="N2307" s="6"/>
      <c r="P2307"/>
      <c r="Q2307" s="12"/>
      <c r="R2307" s="12"/>
    </row>
    <row r="2308" spans="1:18" x14ac:dyDescent="0.2">
      <c r="A2308">
        <v>20</v>
      </c>
      <c r="B2308" t="s">
        <v>12</v>
      </c>
      <c r="C2308">
        <v>2015</v>
      </c>
      <c r="D2308">
        <v>3</v>
      </c>
      <c r="E2308" s="4">
        <v>0</v>
      </c>
      <c r="F2308" s="9">
        <v>0</v>
      </c>
      <c r="G2308" s="6">
        <v>3168</v>
      </c>
      <c r="H2308" s="9">
        <f t="shared" si="36"/>
        <v>0</v>
      </c>
      <c r="I2308" s="6">
        <v>11000</v>
      </c>
      <c r="J2308" s="6">
        <f>VLOOKUP(Table1[[#This Row],[Province]],[1]Sheet1!$A$3:$K$37,7,FALSE)</f>
        <v>5001700</v>
      </c>
      <c r="K2308">
        <v>0</v>
      </c>
      <c r="L2308" s="4">
        <v>0.278781</v>
      </c>
      <c r="M2308" s="4">
        <v>111.475285</v>
      </c>
      <c r="N2308" s="6"/>
      <c r="P2308"/>
      <c r="Q2308" s="12"/>
      <c r="R2308" s="12"/>
    </row>
    <row r="2309" spans="1:18" x14ac:dyDescent="0.2">
      <c r="A2309">
        <v>20</v>
      </c>
      <c r="B2309" t="s">
        <v>12</v>
      </c>
      <c r="C2309">
        <v>2015</v>
      </c>
      <c r="D2309">
        <v>4</v>
      </c>
      <c r="E2309" s="4">
        <v>0</v>
      </c>
      <c r="F2309" s="9">
        <v>0</v>
      </c>
      <c r="G2309" s="6">
        <v>5249</v>
      </c>
      <c r="H2309" s="9">
        <f t="shared" si="36"/>
        <v>0</v>
      </c>
      <c r="I2309" s="6">
        <v>11369</v>
      </c>
      <c r="J2309" s="6">
        <f>VLOOKUP(Table1[[#This Row],[Province]],[1]Sheet1!$A$3:$K$37,7,FALSE)</f>
        <v>5001700</v>
      </c>
      <c r="K2309">
        <v>0</v>
      </c>
      <c r="L2309" s="4">
        <v>0.278781</v>
      </c>
      <c r="M2309" s="4">
        <v>111.475285</v>
      </c>
      <c r="N2309" s="6"/>
      <c r="P2309"/>
      <c r="Q2309" s="12"/>
      <c r="R2309" s="12"/>
    </row>
    <row r="2310" spans="1:18" x14ac:dyDescent="0.2">
      <c r="A2310">
        <v>20</v>
      </c>
      <c r="B2310" t="s">
        <v>12</v>
      </c>
      <c r="C2310">
        <v>2015</v>
      </c>
      <c r="D2310">
        <v>5</v>
      </c>
      <c r="E2310" s="4">
        <v>0</v>
      </c>
      <c r="F2310" s="9">
        <v>0</v>
      </c>
      <c r="G2310" s="6">
        <v>5029</v>
      </c>
      <c r="H2310" s="9">
        <f t="shared" si="36"/>
        <v>0</v>
      </c>
      <c r="I2310" s="6">
        <v>11941</v>
      </c>
      <c r="J2310" s="6">
        <f>VLOOKUP(Table1[[#This Row],[Province]],[1]Sheet1!$A$3:$K$37,7,FALSE)</f>
        <v>5001700</v>
      </c>
      <c r="K2310">
        <v>0</v>
      </c>
      <c r="L2310" s="4">
        <v>0.278781</v>
      </c>
      <c r="M2310" s="4">
        <v>111.475285</v>
      </c>
      <c r="N2310" s="6"/>
      <c r="P2310"/>
      <c r="Q2310" s="12"/>
      <c r="R2310" s="12"/>
    </row>
    <row r="2311" spans="1:18" x14ac:dyDescent="0.2">
      <c r="A2311">
        <v>20</v>
      </c>
      <c r="B2311" t="s">
        <v>12</v>
      </c>
      <c r="C2311">
        <v>2015</v>
      </c>
      <c r="D2311">
        <v>6</v>
      </c>
      <c r="E2311" s="4">
        <v>0</v>
      </c>
      <c r="F2311" s="9">
        <v>0</v>
      </c>
      <c r="G2311" s="6">
        <v>5715</v>
      </c>
      <c r="H2311" s="9">
        <f t="shared" si="36"/>
        <v>0</v>
      </c>
      <c r="I2311" s="6">
        <v>12940</v>
      </c>
      <c r="J2311" s="6">
        <f>VLOOKUP(Table1[[#This Row],[Province]],[1]Sheet1!$A$3:$K$37,7,FALSE)</f>
        <v>5001700</v>
      </c>
      <c r="K2311">
        <v>1</v>
      </c>
      <c r="L2311" s="4">
        <v>0.278781</v>
      </c>
      <c r="M2311" s="4">
        <v>111.475285</v>
      </c>
      <c r="N2311" s="6"/>
      <c r="P2311"/>
      <c r="Q2311" s="12"/>
      <c r="R2311" s="12"/>
    </row>
    <row r="2312" spans="1:18" x14ac:dyDescent="0.2">
      <c r="A2312">
        <v>20</v>
      </c>
      <c r="B2312" t="s">
        <v>12</v>
      </c>
      <c r="C2312">
        <v>2015</v>
      </c>
      <c r="D2312">
        <v>7</v>
      </c>
      <c r="E2312" s="4">
        <v>0</v>
      </c>
      <c r="F2312" s="9">
        <v>0</v>
      </c>
      <c r="G2312" s="6">
        <v>3901</v>
      </c>
      <c r="H2312" s="9">
        <f t="shared" si="36"/>
        <v>0</v>
      </c>
      <c r="I2312" s="6">
        <v>12875</v>
      </c>
      <c r="J2312" s="6">
        <f>VLOOKUP(Table1[[#This Row],[Province]],[1]Sheet1!$A$3:$K$37,7,FALSE)</f>
        <v>5001700</v>
      </c>
      <c r="K2312">
        <v>0</v>
      </c>
      <c r="L2312" s="4">
        <v>0.278781</v>
      </c>
      <c r="M2312" s="4">
        <v>111.475285</v>
      </c>
      <c r="N2312" s="6"/>
      <c r="P2312"/>
      <c r="Q2312" s="12"/>
      <c r="R2312" s="12"/>
    </row>
    <row r="2313" spans="1:18" x14ac:dyDescent="0.2">
      <c r="A2313">
        <v>20</v>
      </c>
      <c r="B2313" t="s">
        <v>12</v>
      </c>
      <c r="C2313">
        <v>2015</v>
      </c>
      <c r="D2313">
        <v>8</v>
      </c>
      <c r="E2313" s="4">
        <v>0</v>
      </c>
      <c r="F2313" s="9">
        <v>0</v>
      </c>
      <c r="G2313" s="6">
        <v>3861</v>
      </c>
      <c r="H2313" s="9">
        <f t="shared" si="36"/>
        <v>0</v>
      </c>
      <c r="I2313" s="6">
        <v>12094</v>
      </c>
      <c r="J2313" s="6">
        <f>VLOOKUP(Table1[[#This Row],[Province]],[1]Sheet1!$A$3:$K$37,7,FALSE)</f>
        <v>5001700</v>
      </c>
      <c r="K2313">
        <v>0</v>
      </c>
      <c r="L2313" s="4">
        <v>0.278781</v>
      </c>
      <c r="M2313" s="4">
        <v>111.475285</v>
      </c>
      <c r="N2313" s="6"/>
      <c r="P2313"/>
      <c r="Q2313" s="12"/>
      <c r="R2313" s="12"/>
    </row>
    <row r="2314" spans="1:18" x14ac:dyDescent="0.2">
      <c r="A2314">
        <v>20</v>
      </c>
      <c r="B2314" t="s">
        <v>12</v>
      </c>
      <c r="C2314">
        <v>2015</v>
      </c>
      <c r="D2314">
        <v>9</v>
      </c>
      <c r="E2314" s="4">
        <v>0</v>
      </c>
      <c r="F2314" s="9">
        <v>0</v>
      </c>
      <c r="G2314" s="6">
        <v>5182</v>
      </c>
      <c r="H2314" s="9">
        <f t="shared" si="36"/>
        <v>0</v>
      </c>
      <c r="I2314" s="6">
        <v>11994</v>
      </c>
      <c r="J2314" s="6">
        <f>VLOOKUP(Table1[[#This Row],[Province]],[1]Sheet1!$A$3:$K$37,7,FALSE)</f>
        <v>5001700</v>
      </c>
      <c r="K2314">
        <v>0</v>
      </c>
      <c r="L2314" s="4">
        <v>0.278781</v>
      </c>
      <c r="M2314" s="4">
        <v>111.475285</v>
      </c>
      <c r="N2314" s="6"/>
      <c r="P2314"/>
      <c r="Q2314" s="12"/>
      <c r="R2314" s="12"/>
    </row>
    <row r="2315" spans="1:18" x14ac:dyDescent="0.2">
      <c r="A2315">
        <v>20</v>
      </c>
      <c r="B2315" t="s">
        <v>12</v>
      </c>
      <c r="C2315">
        <v>2015</v>
      </c>
      <c r="D2315">
        <v>10</v>
      </c>
      <c r="E2315" s="4">
        <v>0</v>
      </c>
      <c r="F2315" s="9">
        <v>0</v>
      </c>
      <c r="G2315" s="6">
        <v>3454</v>
      </c>
      <c r="H2315" s="9">
        <f t="shared" si="36"/>
        <v>0</v>
      </c>
      <c r="I2315" s="6">
        <v>11738</v>
      </c>
      <c r="J2315" s="6">
        <f>VLOOKUP(Table1[[#This Row],[Province]],[1]Sheet1!$A$3:$K$37,7,FALSE)</f>
        <v>5001700</v>
      </c>
      <c r="K2315">
        <v>0</v>
      </c>
      <c r="L2315" s="4">
        <v>0.278781</v>
      </c>
      <c r="M2315" s="4">
        <v>111.475285</v>
      </c>
      <c r="N2315" s="6"/>
      <c r="P2315"/>
      <c r="Q2315" s="12"/>
      <c r="R2315" s="12"/>
    </row>
    <row r="2316" spans="1:18" x14ac:dyDescent="0.2">
      <c r="A2316">
        <v>20</v>
      </c>
      <c r="B2316" t="s">
        <v>12</v>
      </c>
      <c r="C2316">
        <v>2015</v>
      </c>
      <c r="D2316">
        <v>11</v>
      </c>
      <c r="E2316" s="4">
        <v>0</v>
      </c>
      <c r="F2316" s="9">
        <v>0</v>
      </c>
      <c r="G2316" s="6">
        <v>4554</v>
      </c>
      <c r="H2316" s="9">
        <f t="shared" si="36"/>
        <v>0</v>
      </c>
      <c r="I2316" s="6">
        <v>11542</v>
      </c>
      <c r="J2316" s="6">
        <f>VLOOKUP(Table1[[#This Row],[Province]],[1]Sheet1!$A$3:$K$37,7,FALSE)</f>
        <v>5001700</v>
      </c>
      <c r="K2316">
        <v>0</v>
      </c>
      <c r="L2316" s="4">
        <v>0.278781</v>
      </c>
      <c r="M2316" s="4">
        <v>111.475285</v>
      </c>
      <c r="N2316" s="6"/>
      <c r="P2316"/>
      <c r="Q2316" s="12"/>
      <c r="R2316" s="12"/>
    </row>
    <row r="2317" spans="1:18" x14ac:dyDescent="0.2">
      <c r="A2317">
        <v>20</v>
      </c>
      <c r="B2317" t="s">
        <v>12</v>
      </c>
      <c r="C2317">
        <v>2015</v>
      </c>
      <c r="D2317">
        <v>12</v>
      </c>
      <c r="E2317" s="4">
        <v>0</v>
      </c>
      <c r="F2317" s="9">
        <v>0</v>
      </c>
      <c r="G2317" s="6">
        <v>4882</v>
      </c>
      <c r="H2317" s="9">
        <f t="shared" si="36"/>
        <v>0</v>
      </c>
      <c r="I2317" s="6">
        <v>12031</v>
      </c>
      <c r="J2317" s="6">
        <f>VLOOKUP(Table1[[#This Row],[Province]],[1]Sheet1!$A$3:$K$37,7,FALSE)</f>
        <v>5001700</v>
      </c>
      <c r="K2317">
        <v>1</v>
      </c>
      <c r="L2317" s="4">
        <v>0.278781</v>
      </c>
      <c r="M2317" s="4">
        <v>111.475285</v>
      </c>
      <c r="N2317" s="6"/>
      <c r="P2317"/>
      <c r="Q2317" s="12"/>
      <c r="R2317" s="12"/>
    </row>
    <row r="2318" spans="1:18" x14ac:dyDescent="0.2">
      <c r="A2318">
        <v>20</v>
      </c>
      <c r="B2318" t="s">
        <v>12</v>
      </c>
      <c r="C2318">
        <v>2016</v>
      </c>
      <c r="D2318">
        <v>1</v>
      </c>
      <c r="E2318" s="4">
        <v>0</v>
      </c>
      <c r="F2318" s="9">
        <v>0</v>
      </c>
      <c r="G2318" s="6">
        <v>4509</v>
      </c>
      <c r="H2318" s="9">
        <f t="shared" si="36"/>
        <v>0</v>
      </c>
      <c r="I2318" s="6">
        <v>13838</v>
      </c>
      <c r="J2318" s="6">
        <f>VLOOKUP(Table1[[#This Row],[Province]],[1]Sheet1!$A$3:$K$37,7,FALSE)</f>
        <v>5001700</v>
      </c>
      <c r="K2318">
        <v>0</v>
      </c>
      <c r="L2318" s="4">
        <v>0.278781</v>
      </c>
      <c r="M2318" s="4">
        <v>111.475285</v>
      </c>
      <c r="N2318" s="13">
        <v>5.2</v>
      </c>
      <c r="P2318"/>
      <c r="Q2318" s="12"/>
      <c r="R2318" s="12"/>
    </row>
    <row r="2319" spans="1:18" x14ac:dyDescent="0.2">
      <c r="A2319">
        <v>20</v>
      </c>
      <c r="B2319" t="s">
        <v>12</v>
      </c>
      <c r="C2319">
        <v>2016</v>
      </c>
      <c r="D2319">
        <v>2</v>
      </c>
      <c r="E2319" s="4">
        <v>0</v>
      </c>
      <c r="F2319" s="9">
        <v>0</v>
      </c>
      <c r="G2319" s="6">
        <v>3020</v>
      </c>
      <c r="H2319" s="9">
        <f t="shared" si="36"/>
        <v>0</v>
      </c>
      <c r="I2319" s="6">
        <v>13100</v>
      </c>
      <c r="J2319" s="6">
        <f>VLOOKUP(Table1[[#This Row],[Province]],[1]Sheet1!$A$3:$K$37,7,FALSE)</f>
        <v>5001700</v>
      </c>
      <c r="K2319">
        <v>0</v>
      </c>
      <c r="L2319" s="4">
        <v>0.278781</v>
      </c>
      <c r="M2319" s="4">
        <v>111.475285</v>
      </c>
      <c r="N2319" s="13">
        <v>5.2</v>
      </c>
      <c r="P2319"/>
      <c r="Q2319" s="12"/>
      <c r="R2319" s="12"/>
    </row>
    <row r="2320" spans="1:18" x14ac:dyDescent="0.2">
      <c r="A2320">
        <v>20</v>
      </c>
      <c r="B2320" t="s">
        <v>12</v>
      </c>
      <c r="C2320">
        <v>2016</v>
      </c>
      <c r="D2320">
        <v>3</v>
      </c>
      <c r="E2320" s="4">
        <v>0</v>
      </c>
      <c r="F2320" s="9">
        <v>0</v>
      </c>
      <c r="G2320" s="6">
        <v>4396</v>
      </c>
      <c r="H2320" s="9">
        <f t="shared" si="36"/>
        <v>0</v>
      </c>
      <c r="I2320" s="6">
        <v>12750</v>
      </c>
      <c r="J2320" s="6">
        <f>VLOOKUP(Table1[[#This Row],[Province]],[1]Sheet1!$A$3:$K$37,7,FALSE)</f>
        <v>5001700</v>
      </c>
      <c r="K2320">
        <v>0</v>
      </c>
      <c r="L2320" s="4">
        <v>0.278781</v>
      </c>
      <c r="M2320" s="4">
        <v>111.475285</v>
      </c>
      <c r="N2320" s="13">
        <v>5.2</v>
      </c>
      <c r="P2320"/>
      <c r="Q2320" s="12"/>
      <c r="R2320" s="12"/>
    </row>
    <row r="2321" spans="1:18" x14ac:dyDescent="0.2">
      <c r="A2321">
        <v>20</v>
      </c>
      <c r="B2321" t="s">
        <v>12</v>
      </c>
      <c r="C2321">
        <v>2016</v>
      </c>
      <c r="D2321">
        <v>4</v>
      </c>
      <c r="E2321" s="4">
        <v>0</v>
      </c>
      <c r="F2321" s="9">
        <v>0</v>
      </c>
      <c r="G2321" s="6">
        <v>3454</v>
      </c>
      <c r="H2321" s="9">
        <f t="shared" si="36"/>
        <v>0</v>
      </c>
      <c r="I2321" s="6">
        <v>12869</v>
      </c>
      <c r="J2321" s="6">
        <f>VLOOKUP(Table1[[#This Row],[Province]],[1]Sheet1!$A$3:$K$37,7,FALSE)</f>
        <v>5001700</v>
      </c>
      <c r="K2321">
        <v>0</v>
      </c>
      <c r="L2321" s="4">
        <v>0.278781</v>
      </c>
      <c r="M2321" s="4">
        <v>111.475285</v>
      </c>
      <c r="N2321" s="13">
        <v>5.2</v>
      </c>
      <c r="P2321"/>
      <c r="Q2321" s="12"/>
      <c r="R2321" s="12"/>
    </row>
    <row r="2322" spans="1:18" x14ac:dyDescent="0.2">
      <c r="A2322">
        <v>20</v>
      </c>
      <c r="B2322" t="s">
        <v>12</v>
      </c>
      <c r="C2322">
        <v>2016</v>
      </c>
      <c r="D2322">
        <v>5</v>
      </c>
      <c r="E2322" s="4">
        <v>0</v>
      </c>
      <c r="F2322" s="9">
        <v>0</v>
      </c>
      <c r="G2322" s="6">
        <v>7637</v>
      </c>
      <c r="H2322" s="9">
        <f t="shared" si="36"/>
        <v>0</v>
      </c>
      <c r="I2322" s="6">
        <v>14419</v>
      </c>
      <c r="J2322" s="6">
        <f>VLOOKUP(Table1[[#This Row],[Province]],[1]Sheet1!$A$3:$K$37,7,FALSE)</f>
        <v>5001700</v>
      </c>
      <c r="K2322">
        <v>0</v>
      </c>
      <c r="L2322" s="4">
        <v>0.278781</v>
      </c>
      <c r="M2322" s="4">
        <v>111.475285</v>
      </c>
      <c r="N2322" s="13">
        <v>5.2</v>
      </c>
      <c r="P2322"/>
      <c r="Q2322" s="12"/>
      <c r="R2322" s="12"/>
    </row>
    <row r="2323" spans="1:18" x14ac:dyDescent="0.2">
      <c r="A2323">
        <v>20</v>
      </c>
      <c r="B2323" t="s">
        <v>12</v>
      </c>
      <c r="C2323">
        <v>2016</v>
      </c>
      <c r="D2323">
        <v>6</v>
      </c>
      <c r="E2323" s="4">
        <v>0</v>
      </c>
      <c r="F2323" s="9">
        <v>0</v>
      </c>
      <c r="G2323" s="6">
        <v>4998</v>
      </c>
      <c r="H2323" s="9">
        <f t="shared" si="36"/>
        <v>0</v>
      </c>
      <c r="I2323" s="6">
        <v>15659</v>
      </c>
      <c r="J2323" s="6">
        <f>VLOOKUP(Table1[[#This Row],[Province]],[1]Sheet1!$A$3:$K$37,7,FALSE)</f>
        <v>5001700</v>
      </c>
      <c r="K2323">
        <v>1</v>
      </c>
      <c r="L2323" s="4">
        <v>0.278781</v>
      </c>
      <c r="M2323" s="4">
        <v>111.475285</v>
      </c>
      <c r="N2323" s="13">
        <v>5.2</v>
      </c>
      <c r="P2323"/>
      <c r="Q2323" s="12"/>
      <c r="R2323" s="12"/>
    </row>
    <row r="2324" spans="1:18" x14ac:dyDescent="0.2">
      <c r="A2324">
        <v>20</v>
      </c>
      <c r="B2324" t="s">
        <v>12</v>
      </c>
      <c r="C2324">
        <v>2016</v>
      </c>
      <c r="D2324">
        <v>7</v>
      </c>
      <c r="E2324" s="4">
        <v>0</v>
      </c>
      <c r="F2324" s="9">
        <v>0</v>
      </c>
      <c r="G2324" s="6">
        <v>4769</v>
      </c>
      <c r="H2324" s="9">
        <f t="shared" si="36"/>
        <v>0</v>
      </c>
      <c r="I2324" s="6">
        <v>16688</v>
      </c>
      <c r="J2324" s="6">
        <f>VLOOKUP(Table1[[#This Row],[Province]],[1]Sheet1!$A$3:$K$37,7,FALSE)</f>
        <v>5001700</v>
      </c>
      <c r="K2324">
        <v>0</v>
      </c>
      <c r="L2324" s="4">
        <v>0.278781</v>
      </c>
      <c r="M2324" s="4">
        <v>111.475285</v>
      </c>
      <c r="N2324" s="13">
        <v>5.2</v>
      </c>
      <c r="P2324"/>
      <c r="Q2324" s="12"/>
      <c r="R2324" s="12"/>
    </row>
    <row r="2325" spans="1:18" x14ac:dyDescent="0.2">
      <c r="A2325">
        <v>20</v>
      </c>
      <c r="B2325" t="s">
        <v>12</v>
      </c>
      <c r="C2325">
        <v>2016</v>
      </c>
      <c r="D2325">
        <v>8</v>
      </c>
      <c r="E2325" s="4">
        <v>0</v>
      </c>
      <c r="F2325" s="9">
        <v>0</v>
      </c>
      <c r="G2325" s="6">
        <v>4712</v>
      </c>
      <c r="H2325" s="9">
        <f t="shared" si="36"/>
        <v>0</v>
      </c>
      <c r="I2325" s="6">
        <v>15278</v>
      </c>
      <c r="J2325" s="6">
        <f>VLOOKUP(Table1[[#This Row],[Province]],[1]Sheet1!$A$3:$K$37,7,FALSE)</f>
        <v>5001700</v>
      </c>
      <c r="K2325">
        <v>0</v>
      </c>
      <c r="L2325" s="4">
        <v>0.278781</v>
      </c>
      <c r="M2325" s="4">
        <v>111.475285</v>
      </c>
      <c r="N2325" s="13">
        <v>5.2</v>
      </c>
      <c r="P2325"/>
      <c r="Q2325" s="12"/>
      <c r="R2325" s="12"/>
    </row>
    <row r="2326" spans="1:18" x14ac:dyDescent="0.2">
      <c r="A2326">
        <v>20</v>
      </c>
      <c r="B2326" t="s">
        <v>12</v>
      </c>
      <c r="C2326">
        <v>2016</v>
      </c>
      <c r="D2326">
        <v>9</v>
      </c>
      <c r="E2326" s="4">
        <v>0</v>
      </c>
      <c r="F2326" s="9">
        <v>0</v>
      </c>
      <c r="G2326" s="6">
        <v>1821</v>
      </c>
      <c r="H2326" s="9">
        <f t="shared" si="36"/>
        <v>0</v>
      </c>
      <c r="I2326" s="6">
        <v>13786</v>
      </c>
      <c r="J2326" s="6">
        <f>VLOOKUP(Table1[[#This Row],[Province]],[1]Sheet1!$A$3:$K$37,7,FALSE)</f>
        <v>5001700</v>
      </c>
      <c r="K2326">
        <v>0</v>
      </c>
      <c r="L2326" s="4">
        <v>0.278781</v>
      </c>
      <c r="M2326" s="4">
        <v>111.475285</v>
      </c>
      <c r="N2326" s="13">
        <v>5.2</v>
      </c>
      <c r="P2326"/>
      <c r="Q2326" s="12"/>
      <c r="R2326" s="12"/>
    </row>
    <row r="2327" spans="1:18" x14ac:dyDescent="0.2">
      <c r="A2327">
        <v>20</v>
      </c>
      <c r="B2327" t="s">
        <v>12</v>
      </c>
      <c r="C2327">
        <v>2016</v>
      </c>
      <c r="D2327">
        <v>10</v>
      </c>
      <c r="E2327" s="4">
        <v>0</v>
      </c>
      <c r="F2327" s="9">
        <v>0</v>
      </c>
      <c r="G2327" s="6">
        <v>7956</v>
      </c>
      <c r="H2327" s="9">
        <f t="shared" si="36"/>
        <v>0</v>
      </c>
      <c r="I2327" s="6">
        <v>13542</v>
      </c>
      <c r="J2327" s="6">
        <f>VLOOKUP(Table1[[#This Row],[Province]],[1]Sheet1!$A$3:$K$37,7,FALSE)</f>
        <v>5001700</v>
      </c>
      <c r="K2327">
        <v>0</v>
      </c>
      <c r="L2327" s="4">
        <v>0.278781</v>
      </c>
      <c r="M2327" s="4">
        <v>111.475285</v>
      </c>
      <c r="N2327" s="13">
        <v>5.2</v>
      </c>
      <c r="P2327"/>
      <c r="Q2327" s="12"/>
      <c r="R2327" s="12"/>
    </row>
    <row r="2328" spans="1:18" x14ac:dyDescent="0.2">
      <c r="A2328">
        <v>20</v>
      </c>
      <c r="B2328" t="s">
        <v>12</v>
      </c>
      <c r="C2328">
        <v>2016</v>
      </c>
      <c r="D2328">
        <v>11</v>
      </c>
      <c r="E2328" s="4">
        <v>0</v>
      </c>
      <c r="F2328" s="9">
        <v>0</v>
      </c>
      <c r="G2328" s="6">
        <v>2253</v>
      </c>
      <c r="H2328" s="9">
        <f t="shared" si="36"/>
        <v>0</v>
      </c>
      <c r="I2328" s="6">
        <v>13011</v>
      </c>
      <c r="J2328" s="6">
        <f>VLOOKUP(Table1[[#This Row],[Province]],[1]Sheet1!$A$3:$K$37,7,FALSE)</f>
        <v>5001700</v>
      </c>
      <c r="K2328">
        <v>0</v>
      </c>
      <c r="L2328" s="4">
        <v>0.278781</v>
      </c>
      <c r="M2328" s="4">
        <v>111.475285</v>
      </c>
      <c r="N2328" s="13">
        <v>5.2</v>
      </c>
      <c r="P2328"/>
      <c r="Q2328" s="12"/>
      <c r="R2328" s="12"/>
    </row>
    <row r="2329" spans="1:18" x14ac:dyDescent="0.2">
      <c r="A2329">
        <v>20</v>
      </c>
      <c r="B2329" t="s">
        <v>12</v>
      </c>
      <c r="C2329">
        <v>2016</v>
      </c>
      <c r="D2329">
        <v>12</v>
      </c>
      <c r="E2329" s="4">
        <v>0</v>
      </c>
      <c r="F2329" s="9">
        <v>0</v>
      </c>
      <c r="G2329" s="6">
        <v>2254</v>
      </c>
      <c r="H2329" s="9">
        <f t="shared" si="36"/>
        <v>0</v>
      </c>
      <c r="I2329" s="6">
        <v>13000</v>
      </c>
      <c r="J2329" s="6">
        <f>VLOOKUP(Table1[[#This Row],[Province]],[1]Sheet1!$A$3:$K$37,7,FALSE)</f>
        <v>5001700</v>
      </c>
      <c r="K2329">
        <v>1</v>
      </c>
      <c r="L2329" s="4">
        <v>0.278781</v>
      </c>
      <c r="M2329" s="4">
        <v>111.475285</v>
      </c>
      <c r="N2329" s="13">
        <v>5.2</v>
      </c>
      <c r="P2329"/>
      <c r="Q2329" s="12"/>
      <c r="R2329" s="12"/>
    </row>
    <row r="2330" spans="1:18" x14ac:dyDescent="0.2">
      <c r="A2330">
        <v>20</v>
      </c>
      <c r="B2330" t="s">
        <v>12</v>
      </c>
      <c r="C2330">
        <v>2017</v>
      </c>
      <c r="D2330">
        <v>1</v>
      </c>
      <c r="E2330" s="4">
        <v>0</v>
      </c>
      <c r="F2330" s="9">
        <v>0</v>
      </c>
      <c r="G2330" s="6">
        <v>4468</v>
      </c>
      <c r="H2330" s="9">
        <f t="shared" si="36"/>
        <v>0</v>
      </c>
      <c r="I2330" s="6">
        <v>13000</v>
      </c>
      <c r="J2330" s="6">
        <f>VLOOKUP(Table1[[#This Row],[Province]],[1]Sheet1!$A$3:$K$37,7,FALSE)</f>
        <v>5001700</v>
      </c>
      <c r="K2330">
        <v>0</v>
      </c>
      <c r="L2330" s="4">
        <v>0.278781</v>
      </c>
      <c r="M2330" s="4">
        <v>111.475285</v>
      </c>
      <c r="N2330" s="13">
        <v>5.17</v>
      </c>
      <c r="P2330"/>
      <c r="Q2330" s="12"/>
      <c r="R2330" s="12"/>
    </row>
    <row r="2331" spans="1:18" x14ac:dyDescent="0.2">
      <c r="A2331">
        <v>20</v>
      </c>
      <c r="B2331" t="s">
        <v>12</v>
      </c>
      <c r="C2331">
        <v>2017</v>
      </c>
      <c r="D2331">
        <v>2</v>
      </c>
      <c r="E2331" s="4">
        <v>0</v>
      </c>
      <c r="F2331" s="9">
        <v>0</v>
      </c>
      <c r="G2331" s="6">
        <v>2567</v>
      </c>
      <c r="H2331" s="9">
        <f t="shared" si="36"/>
        <v>0</v>
      </c>
      <c r="I2331" s="6">
        <v>13000</v>
      </c>
      <c r="J2331" s="6">
        <f>VLOOKUP(Table1[[#This Row],[Province]],[1]Sheet1!$A$3:$K$37,7,FALSE)</f>
        <v>5001700</v>
      </c>
      <c r="K2331">
        <v>0</v>
      </c>
      <c r="L2331" s="4">
        <v>0.278781</v>
      </c>
      <c r="M2331" s="4">
        <v>111.475285</v>
      </c>
      <c r="N2331" s="13">
        <v>5.17</v>
      </c>
      <c r="P2331"/>
      <c r="Q2331" s="12"/>
      <c r="R2331" s="12"/>
    </row>
    <row r="2332" spans="1:18" x14ac:dyDescent="0.2">
      <c r="A2332">
        <v>20</v>
      </c>
      <c r="B2332" t="s">
        <v>12</v>
      </c>
      <c r="C2332">
        <v>2017</v>
      </c>
      <c r="D2332">
        <v>3</v>
      </c>
      <c r="E2332" s="4">
        <v>0</v>
      </c>
      <c r="F2332" s="9">
        <v>0</v>
      </c>
      <c r="G2332" s="6">
        <v>2006</v>
      </c>
      <c r="H2332" s="9">
        <f t="shared" si="36"/>
        <v>0</v>
      </c>
      <c r="I2332" s="6">
        <v>13000</v>
      </c>
      <c r="J2332" s="6">
        <f>VLOOKUP(Table1[[#This Row],[Province]],[1]Sheet1!$A$3:$K$37,7,FALSE)</f>
        <v>5001700</v>
      </c>
      <c r="K2332">
        <v>0</v>
      </c>
      <c r="L2332" s="4">
        <v>0.278781</v>
      </c>
      <c r="M2332" s="4">
        <v>111.475285</v>
      </c>
      <c r="N2332" s="13">
        <v>5.17</v>
      </c>
      <c r="P2332"/>
      <c r="Q2332" s="12"/>
      <c r="R2332" s="12"/>
    </row>
    <row r="2333" spans="1:18" x14ac:dyDescent="0.2">
      <c r="A2333">
        <v>20</v>
      </c>
      <c r="B2333" t="s">
        <v>12</v>
      </c>
      <c r="C2333">
        <v>2017</v>
      </c>
      <c r="D2333">
        <v>4</v>
      </c>
      <c r="E2333" s="4">
        <v>0</v>
      </c>
      <c r="F2333" s="9">
        <v>0</v>
      </c>
      <c r="G2333" s="6">
        <v>1433</v>
      </c>
      <c r="H2333" s="9">
        <f t="shared" si="36"/>
        <v>0</v>
      </c>
      <c r="I2333" s="6">
        <v>13000</v>
      </c>
      <c r="J2333" s="6">
        <f>VLOOKUP(Table1[[#This Row],[Province]],[1]Sheet1!$A$3:$K$37,7,FALSE)</f>
        <v>5001700</v>
      </c>
      <c r="K2333">
        <v>0</v>
      </c>
      <c r="L2333" s="4">
        <v>0.278781</v>
      </c>
      <c r="M2333" s="4">
        <v>111.475285</v>
      </c>
      <c r="N2333" s="13">
        <v>5.17</v>
      </c>
      <c r="P2333"/>
      <c r="Q2333" s="12"/>
      <c r="R2333" s="12"/>
    </row>
    <row r="2334" spans="1:18" x14ac:dyDescent="0.2">
      <c r="A2334">
        <v>20</v>
      </c>
      <c r="B2334" t="s">
        <v>12</v>
      </c>
      <c r="C2334">
        <v>2017</v>
      </c>
      <c r="D2334">
        <v>5</v>
      </c>
      <c r="E2334" s="4">
        <v>0</v>
      </c>
      <c r="F2334" s="9">
        <v>0</v>
      </c>
      <c r="G2334" s="6">
        <v>1380</v>
      </c>
      <c r="H2334" s="9">
        <f t="shared" si="36"/>
        <v>0</v>
      </c>
      <c r="I2334" s="6">
        <v>13000</v>
      </c>
      <c r="J2334" s="6">
        <f>VLOOKUP(Table1[[#This Row],[Province]],[1]Sheet1!$A$3:$K$37,7,FALSE)</f>
        <v>5001700</v>
      </c>
      <c r="K2334">
        <v>1</v>
      </c>
      <c r="L2334" s="4">
        <v>0.278781</v>
      </c>
      <c r="M2334" s="4">
        <v>111.475285</v>
      </c>
      <c r="N2334" s="13">
        <v>5.17</v>
      </c>
      <c r="P2334"/>
      <c r="Q2334" s="12"/>
      <c r="R2334" s="12"/>
    </row>
    <row r="2335" spans="1:18" x14ac:dyDescent="0.2">
      <c r="A2335">
        <v>20</v>
      </c>
      <c r="B2335" t="s">
        <v>12</v>
      </c>
      <c r="C2335">
        <v>2017</v>
      </c>
      <c r="D2335">
        <v>6</v>
      </c>
      <c r="E2335" s="4">
        <v>0</v>
      </c>
      <c r="F2335" s="9">
        <v>0</v>
      </c>
      <c r="G2335" s="6">
        <v>2553</v>
      </c>
      <c r="H2335" s="9">
        <f t="shared" si="36"/>
        <v>0</v>
      </c>
      <c r="I2335" s="6">
        <v>13000</v>
      </c>
      <c r="J2335" s="6">
        <f>VLOOKUP(Table1[[#This Row],[Province]],[1]Sheet1!$A$3:$K$37,7,FALSE)</f>
        <v>5001700</v>
      </c>
      <c r="K2335">
        <v>0</v>
      </c>
      <c r="L2335" s="4">
        <v>0.278781</v>
      </c>
      <c r="M2335" s="4">
        <v>111.475285</v>
      </c>
      <c r="N2335" s="13">
        <v>5.17</v>
      </c>
      <c r="P2335"/>
      <c r="Q2335" s="12"/>
      <c r="R2335" s="12"/>
    </row>
    <row r="2336" spans="1:18" x14ac:dyDescent="0.2">
      <c r="A2336">
        <v>20</v>
      </c>
      <c r="B2336" t="s">
        <v>12</v>
      </c>
      <c r="C2336">
        <v>2017</v>
      </c>
      <c r="D2336">
        <v>7</v>
      </c>
      <c r="E2336" s="4">
        <v>0</v>
      </c>
      <c r="F2336" s="9">
        <v>0</v>
      </c>
      <c r="G2336" s="6">
        <v>2842</v>
      </c>
      <c r="H2336" s="9">
        <f t="shared" si="36"/>
        <v>0</v>
      </c>
      <c r="I2336" s="6">
        <v>12929</v>
      </c>
      <c r="J2336" s="6">
        <f>VLOOKUP(Table1[[#This Row],[Province]],[1]Sheet1!$A$3:$K$37,7,FALSE)</f>
        <v>5001700</v>
      </c>
      <c r="K2336">
        <v>0</v>
      </c>
      <c r="L2336" s="4">
        <v>0.278781</v>
      </c>
      <c r="M2336" s="4">
        <v>111.475285</v>
      </c>
      <c r="N2336" s="13">
        <v>5.17</v>
      </c>
      <c r="P2336"/>
      <c r="Q2336" s="12"/>
      <c r="R2336" s="12"/>
    </row>
    <row r="2337" spans="1:18" x14ac:dyDescent="0.2">
      <c r="A2337">
        <v>20</v>
      </c>
      <c r="B2337" t="s">
        <v>12</v>
      </c>
      <c r="C2337">
        <v>2017</v>
      </c>
      <c r="D2337">
        <v>8</v>
      </c>
      <c r="E2337" s="4">
        <v>0</v>
      </c>
      <c r="F2337" s="9">
        <v>0</v>
      </c>
      <c r="G2337" s="6">
        <v>5447</v>
      </c>
      <c r="H2337" s="9">
        <f t="shared" si="36"/>
        <v>0</v>
      </c>
      <c r="I2337" s="6">
        <v>12358</v>
      </c>
      <c r="J2337" s="6">
        <f>VLOOKUP(Table1[[#This Row],[Province]],[1]Sheet1!$A$3:$K$37,7,FALSE)</f>
        <v>5001700</v>
      </c>
      <c r="K2337">
        <v>0</v>
      </c>
      <c r="L2337" s="4">
        <v>0.278781</v>
      </c>
      <c r="M2337" s="4">
        <v>111.475285</v>
      </c>
      <c r="N2337" s="13">
        <v>5.17</v>
      </c>
      <c r="P2337"/>
      <c r="Q2337" s="12"/>
      <c r="R2337" s="12"/>
    </row>
    <row r="2338" spans="1:18" x14ac:dyDescent="0.2">
      <c r="A2338">
        <v>20</v>
      </c>
      <c r="B2338" t="s">
        <v>12</v>
      </c>
      <c r="C2338">
        <v>2017</v>
      </c>
      <c r="D2338">
        <v>9</v>
      </c>
      <c r="E2338" s="4">
        <v>0</v>
      </c>
      <c r="F2338" s="9">
        <v>0</v>
      </c>
      <c r="G2338" s="6">
        <v>5279</v>
      </c>
      <c r="H2338" s="9">
        <f t="shared" si="36"/>
        <v>0</v>
      </c>
      <c r="I2338" s="6">
        <v>12403</v>
      </c>
      <c r="J2338" s="6">
        <f>VLOOKUP(Table1[[#This Row],[Province]],[1]Sheet1!$A$3:$K$37,7,FALSE)</f>
        <v>5001700</v>
      </c>
      <c r="K2338">
        <v>0</v>
      </c>
      <c r="L2338" s="4">
        <v>0.278781</v>
      </c>
      <c r="M2338" s="4">
        <v>111.475285</v>
      </c>
      <c r="N2338" s="13">
        <v>5.17</v>
      </c>
      <c r="P2338"/>
      <c r="Q2338" s="12"/>
      <c r="R2338" s="12"/>
    </row>
    <row r="2339" spans="1:18" x14ac:dyDescent="0.2">
      <c r="A2339">
        <v>20</v>
      </c>
      <c r="B2339" t="s">
        <v>12</v>
      </c>
      <c r="C2339">
        <v>2017</v>
      </c>
      <c r="D2339">
        <v>10</v>
      </c>
      <c r="E2339" s="4">
        <v>0</v>
      </c>
      <c r="F2339" s="9">
        <v>0</v>
      </c>
      <c r="G2339" s="6">
        <v>6852</v>
      </c>
      <c r="H2339" s="9">
        <f t="shared" si="36"/>
        <v>0</v>
      </c>
      <c r="I2339" s="6">
        <v>12386</v>
      </c>
      <c r="J2339" s="6">
        <f>VLOOKUP(Table1[[#This Row],[Province]],[1]Sheet1!$A$3:$K$37,7,FALSE)</f>
        <v>5001700</v>
      </c>
      <c r="K2339">
        <v>0</v>
      </c>
      <c r="L2339" s="4">
        <v>0.278781</v>
      </c>
      <c r="M2339" s="4">
        <v>111.475285</v>
      </c>
      <c r="N2339" s="13">
        <v>5.17</v>
      </c>
      <c r="P2339"/>
      <c r="Q2339" s="12"/>
      <c r="R2339" s="12"/>
    </row>
    <row r="2340" spans="1:18" x14ac:dyDescent="0.2">
      <c r="A2340">
        <v>20</v>
      </c>
      <c r="B2340" t="s">
        <v>12</v>
      </c>
      <c r="C2340">
        <v>2017</v>
      </c>
      <c r="D2340">
        <v>11</v>
      </c>
      <c r="E2340" s="4">
        <v>0</v>
      </c>
      <c r="F2340" s="9">
        <v>0</v>
      </c>
      <c r="G2340" s="6">
        <v>1791</v>
      </c>
      <c r="H2340" s="9">
        <f t="shared" si="36"/>
        <v>0</v>
      </c>
      <c r="I2340" s="6">
        <v>12369</v>
      </c>
      <c r="J2340" s="6">
        <f>VLOOKUP(Table1[[#This Row],[Province]],[1]Sheet1!$A$3:$K$37,7,FALSE)</f>
        <v>5001700</v>
      </c>
      <c r="K2340">
        <v>0</v>
      </c>
      <c r="L2340" s="4">
        <v>0.278781</v>
      </c>
      <c r="M2340" s="4">
        <v>111.475285</v>
      </c>
      <c r="N2340" s="13">
        <v>5.17</v>
      </c>
      <c r="P2340"/>
      <c r="Q2340" s="12"/>
      <c r="R2340" s="12"/>
    </row>
    <row r="2341" spans="1:18" x14ac:dyDescent="0.2">
      <c r="A2341">
        <v>20</v>
      </c>
      <c r="B2341" t="s">
        <v>12</v>
      </c>
      <c r="C2341">
        <v>2017</v>
      </c>
      <c r="D2341">
        <v>12</v>
      </c>
      <c r="E2341" s="4">
        <v>0</v>
      </c>
      <c r="F2341" s="9">
        <v>0</v>
      </c>
      <c r="G2341" s="6">
        <v>3336</v>
      </c>
      <c r="H2341" s="9">
        <f t="shared" si="36"/>
        <v>0</v>
      </c>
      <c r="I2341" s="6">
        <v>12389</v>
      </c>
      <c r="J2341" s="6">
        <f>VLOOKUP(Table1[[#This Row],[Province]],[1]Sheet1!$A$3:$K$37,7,FALSE)</f>
        <v>5001700</v>
      </c>
      <c r="K2341">
        <v>1</v>
      </c>
      <c r="L2341" s="4">
        <v>0.278781</v>
      </c>
      <c r="M2341" s="4">
        <v>111.475285</v>
      </c>
      <c r="N2341" s="13">
        <v>5.17</v>
      </c>
      <c r="P2341"/>
      <c r="Q2341" s="12"/>
      <c r="R2341" s="12"/>
    </row>
    <row r="2342" spans="1:18" x14ac:dyDescent="0.2">
      <c r="A2342">
        <v>20</v>
      </c>
      <c r="B2342" t="s">
        <v>12</v>
      </c>
      <c r="C2342">
        <v>2018</v>
      </c>
      <c r="D2342">
        <v>1</v>
      </c>
      <c r="E2342" s="4">
        <v>0</v>
      </c>
      <c r="F2342" s="9">
        <v>0</v>
      </c>
      <c r="G2342" s="6">
        <v>3710</v>
      </c>
      <c r="H2342" s="9">
        <f t="shared" si="36"/>
        <v>0</v>
      </c>
      <c r="I2342" s="6">
        <v>12108</v>
      </c>
      <c r="J2342" s="6">
        <f>VLOOKUP(Table1[[#This Row],[Province]],[1]Sheet1!$A$3:$K$37,7,FALSE)</f>
        <v>5001700</v>
      </c>
      <c r="K2342">
        <v>0</v>
      </c>
      <c r="L2342" s="4">
        <v>0.278781</v>
      </c>
      <c r="M2342" s="4">
        <v>111.475285</v>
      </c>
      <c r="N2342" s="13">
        <v>5.07</v>
      </c>
      <c r="P2342"/>
      <c r="Q2342" s="12"/>
      <c r="R2342" s="12"/>
    </row>
    <row r="2343" spans="1:18" x14ac:dyDescent="0.2">
      <c r="A2343">
        <v>20</v>
      </c>
      <c r="B2343" t="s">
        <v>12</v>
      </c>
      <c r="C2343">
        <v>2018</v>
      </c>
      <c r="D2343">
        <v>2</v>
      </c>
      <c r="E2343" s="4">
        <v>0</v>
      </c>
      <c r="F2343" s="9">
        <v>0</v>
      </c>
      <c r="G2343" s="6">
        <v>5135</v>
      </c>
      <c r="H2343" s="9">
        <f t="shared" si="36"/>
        <v>0</v>
      </c>
      <c r="I2343" s="6">
        <v>11888</v>
      </c>
      <c r="J2343" s="6">
        <f>VLOOKUP(Table1[[#This Row],[Province]],[1]Sheet1!$A$3:$K$37,7,FALSE)</f>
        <v>5001700</v>
      </c>
      <c r="K2343">
        <v>0</v>
      </c>
      <c r="L2343" s="4">
        <v>0.278781</v>
      </c>
      <c r="M2343" s="4">
        <v>111.475285</v>
      </c>
      <c r="N2343" s="13">
        <v>5.07</v>
      </c>
      <c r="P2343"/>
      <c r="Q2343" s="12"/>
      <c r="R2343" s="12"/>
    </row>
    <row r="2344" spans="1:18" x14ac:dyDescent="0.2">
      <c r="A2344">
        <v>20</v>
      </c>
      <c r="B2344" t="s">
        <v>12</v>
      </c>
      <c r="C2344">
        <v>2018</v>
      </c>
      <c r="D2344">
        <v>3</v>
      </c>
      <c r="E2344" s="4">
        <v>0</v>
      </c>
      <c r="F2344" s="9">
        <v>0</v>
      </c>
      <c r="G2344" s="6">
        <v>6670</v>
      </c>
      <c r="H2344" s="9">
        <f t="shared" si="36"/>
        <v>0</v>
      </c>
      <c r="I2344" s="6">
        <v>11893</v>
      </c>
      <c r="J2344" s="6">
        <f>VLOOKUP(Table1[[#This Row],[Province]],[1]Sheet1!$A$3:$K$37,7,FALSE)</f>
        <v>5001700</v>
      </c>
      <c r="K2344">
        <v>0</v>
      </c>
      <c r="L2344" s="4">
        <v>0.278781</v>
      </c>
      <c r="M2344" s="4">
        <v>111.475285</v>
      </c>
      <c r="N2344" s="13">
        <v>5.07</v>
      </c>
      <c r="P2344"/>
      <c r="Q2344" s="12"/>
      <c r="R2344" s="12"/>
    </row>
    <row r="2345" spans="1:18" x14ac:dyDescent="0.2">
      <c r="A2345">
        <v>20</v>
      </c>
      <c r="B2345" t="s">
        <v>12</v>
      </c>
      <c r="C2345">
        <v>2018</v>
      </c>
      <c r="D2345">
        <v>4</v>
      </c>
      <c r="E2345" s="4">
        <v>0</v>
      </c>
      <c r="F2345" s="9">
        <v>0</v>
      </c>
      <c r="G2345" s="6">
        <v>5475</v>
      </c>
      <c r="H2345" s="9">
        <f t="shared" si="36"/>
        <v>0</v>
      </c>
      <c r="I2345" s="6">
        <v>11815</v>
      </c>
      <c r="J2345" s="6">
        <f>VLOOKUP(Table1[[#This Row],[Province]],[1]Sheet1!$A$3:$K$37,7,FALSE)</f>
        <v>5001700</v>
      </c>
      <c r="K2345">
        <v>0</v>
      </c>
      <c r="L2345" s="4">
        <v>0.278781</v>
      </c>
      <c r="M2345" s="4">
        <v>111.475285</v>
      </c>
      <c r="N2345" s="13">
        <v>5.07</v>
      </c>
      <c r="P2345"/>
      <c r="Q2345" s="12"/>
      <c r="R2345" s="12"/>
    </row>
    <row r="2346" spans="1:18" x14ac:dyDescent="0.2">
      <c r="A2346">
        <v>20</v>
      </c>
      <c r="B2346" t="s">
        <v>12</v>
      </c>
      <c r="C2346">
        <v>2018</v>
      </c>
      <c r="D2346">
        <v>5</v>
      </c>
      <c r="E2346" s="4">
        <v>0</v>
      </c>
      <c r="F2346" s="9">
        <v>0</v>
      </c>
      <c r="G2346" s="6">
        <v>6039</v>
      </c>
      <c r="H2346" s="9">
        <f t="shared" si="36"/>
        <v>0</v>
      </c>
      <c r="I2346" s="6">
        <v>12500</v>
      </c>
      <c r="J2346" s="6">
        <f>VLOOKUP(Table1[[#This Row],[Province]],[1]Sheet1!$A$3:$K$37,7,FALSE)</f>
        <v>5001700</v>
      </c>
      <c r="K2346">
        <v>1</v>
      </c>
      <c r="L2346" s="4">
        <v>0.278781</v>
      </c>
      <c r="M2346" s="4">
        <v>111.475285</v>
      </c>
      <c r="N2346" s="13">
        <v>5.07</v>
      </c>
      <c r="P2346"/>
      <c r="Q2346" s="12"/>
      <c r="R2346" s="12"/>
    </row>
    <row r="2347" spans="1:18" x14ac:dyDescent="0.2">
      <c r="A2347">
        <v>20</v>
      </c>
      <c r="B2347" t="s">
        <v>12</v>
      </c>
      <c r="C2347">
        <v>2018</v>
      </c>
      <c r="D2347">
        <v>6</v>
      </c>
      <c r="E2347" s="4">
        <v>0</v>
      </c>
      <c r="F2347" s="9">
        <v>0</v>
      </c>
      <c r="G2347" s="6">
        <v>5629</v>
      </c>
      <c r="H2347" s="9">
        <f t="shared" si="36"/>
        <v>0</v>
      </c>
      <c r="I2347" s="6">
        <v>12500</v>
      </c>
      <c r="J2347" s="6">
        <f>VLOOKUP(Table1[[#This Row],[Province]],[1]Sheet1!$A$3:$K$37,7,FALSE)</f>
        <v>5001700</v>
      </c>
      <c r="K2347">
        <v>0</v>
      </c>
      <c r="L2347" s="4">
        <v>0.278781</v>
      </c>
      <c r="M2347" s="4">
        <v>111.475285</v>
      </c>
      <c r="N2347" s="13">
        <v>5.07</v>
      </c>
      <c r="P2347"/>
      <c r="Q2347" s="12"/>
      <c r="R2347" s="12"/>
    </row>
    <row r="2348" spans="1:18" x14ac:dyDescent="0.2">
      <c r="A2348">
        <v>20</v>
      </c>
      <c r="B2348" t="s">
        <v>12</v>
      </c>
      <c r="C2348">
        <v>2018</v>
      </c>
      <c r="D2348">
        <v>7</v>
      </c>
      <c r="E2348" s="4">
        <v>0</v>
      </c>
      <c r="F2348" s="9">
        <v>0</v>
      </c>
      <c r="G2348" s="6">
        <v>6227</v>
      </c>
      <c r="H2348" s="9">
        <f t="shared" si="36"/>
        <v>0</v>
      </c>
      <c r="I2348" s="6">
        <v>12500</v>
      </c>
      <c r="J2348" s="6">
        <f>VLOOKUP(Table1[[#This Row],[Province]],[1]Sheet1!$A$3:$K$37,7,FALSE)</f>
        <v>5001700</v>
      </c>
      <c r="K2348">
        <v>0</v>
      </c>
      <c r="L2348" s="4">
        <v>0.278781</v>
      </c>
      <c r="M2348" s="4">
        <v>111.475285</v>
      </c>
      <c r="N2348" s="13">
        <v>5.07</v>
      </c>
      <c r="P2348"/>
      <c r="Q2348" s="12"/>
      <c r="R2348" s="12"/>
    </row>
    <row r="2349" spans="1:18" x14ac:dyDescent="0.2">
      <c r="A2349">
        <v>20</v>
      </c>
      <c r="B2349" t="s">
        <v>12</v>
      </c>
      <c r="C2349">
        <v>2018</v>
      </c>
      <c r="D2349">
        <v>8</v>
      </c>
      <c r="E2349" s="4">
        <v>0</v>
      </c>
      <c r="F2349" s="9">
        <v>0</v>
      </c>
      <c r="G2349" s="6">
        <v>4058</v>
      </c>
      <c r="H2349" s="9">
        <f t="shared" si="36"/>
        <v>0</v>
      </c>
      <c r="I2349" s="6">
        <v>12400</v>
      </c>
      <c r="J2349" s="6">
        <f>VLOOKUP(Table1[[#This Row],[Province]],[1]Sheet1!$A$3:$K$37,7,FALSE)</f>
        <v>5001700</v>
      </c>
      <c r="K2349">
        <v>0</v>
      </c>
      <c r="L2349" s="4">
        <v>0.278781</v>
      </c>
      <c r="M2349" s="4">
        <v>111.475285</v>
      </c>
      <c r="N2349" s="13">
        <v>5.07</v>
      </c>
      <c r="P2349"/>
      <c r="Q2349" s="12"/>
      <c r="R2349" s="12"/>
    </row>
    <row r="2350" spans="1:18" x14ac:dyDescent="0.2">
      <c r="A2350">
        <v>20</v>
      </c>
      <c r="B2350" t="s">
        <v>12</v>
      </c>
      <c r="C2350">
        <v>2018</v>
      </c>
      <c r="D2350">
        <v>9</v>
      </c>
      <c r="E2350" s="4">
        <v>0</v>
      </c>
      <c r="F2350" s="9">
        <v>0</v>
      </c>
      <c r="G2350" s="6">
        <v>5642</v>
      </c>
      <c r="H2350" s="9">
        <f t="shared" si="36"/>
        <v>0</v>
      </c>
      <c r="I2350" s="6">
        <v>12500</v>
      </c>
      <c r="J2350" s="6">
        <f>VLOOKUP(Table1[[#This Row],[Province]],[1]Sheet1!$A$3:$K$37,7,FALSE)</f>
        <v>5001700</v>
      </c>
      <c r="K2350">
        <v>0</v>
      </c>
      <c r="L2350" s="4">
        <v>0.278781</v>
      </c>
      <c r="M2350" s="4">
        <v>111.475285</v>
      </c>
      <c r="N2350" s="13">
        <v>5.07</v>
      </c>
      <c r="P2350"/>
      <c r="Q2350" s="12"/>
      <c r="R2350" s="12"/>
    </row>
    <row r="2351" spans="1:18" x14ac:dyDescent="0.2">
      <c r="A2351">
        <v>20</v>
      </c>
      <c r="B2351" t="s">
        <v>12</v>
      </c>
      <c r="C2351">
        <v>2018</v>
      </c>
      <c r="D2351">
        <v>10</v>
      </c>
      <c r="E2351" s="4">
        <v>0</v>
      </c>
      <c r="F2351" s="9">
        <v>0</v>
      </c>
      <c r="G2351" s="6">
        <v>4533</v>
      </c>
      <c r="H2351" s="9">
        <f t="shared" si="36"/>
        <v>0</v>
      </c>
      <c r="I2351" s="6">
        <v>12500</v>
      </c>
      <c r="J2351" s="6">
        <f>VLOOKUP(Table1[[#This Row],[Province]],[1]Sheet1!$A$3:$K$37,7,FALSE)</f>
        <v>5001700</v>
      </c>
      <c r="K2351">
        <v>0</v>
      </c>
      <c r="L2351" s="4">
        <v>0.278781</v>
      </c>
      <c r="M2351" s="4">
        <v>111.475285</v>
      </c>
      <c r="N2351" s="13">
        <v>5.07</v>
      </c>
      <c r="P2351"/>
      <c r="Q2351" s="12"/>
      <c r="R2351" s="12"/>
    </row>
    <row r="2352" spans="1:18" x14ac:dyDescent="0.2">
      <c r="A2352">
        <v>20</v>
      </c>
      <c r="B2352" t="s">
        <v>12</v>
      </c>
      <c r="C2352">
        <v>2018</v>
      </c>
      <c r="D2352">
        <v>11</v>
      </c>
      <c r="E2352" s="4">
        <v>0</v>
      </c>
      <c r="F2352" s="9">
        <v>0</v>
      </c>
      <c r="G2352" s="6">
        <v>5321</v>
      </c>
      <c r="H2352" s="9">
        <f t="shared" si="36"/>
        <v>0</v>
      </c>
      <c r="I2352" s="6">
        <v>12167</v>
      </c>
      <c r="J2352" s="6">
        <f>VLOOKUP(Table1[[#This Row],[Province]],[1]Sheet1!$A$3:$K$37,7,FALSE)</f>
        <v>5001700</v>
      </c>
      <c r="K2352">
        <v>0</v>
      </c>
      <c r="L2352" s="4">
        <v>0.278781</v>
      </c>
      <c r="M2352" s="4">
        <v>111.475285</v>
      </c>
      <c r="N2352" s="13">
        <v>5.07</v>
      </c>
      <c r="P2352"/>
      <c r="Q2352" s="12"/>
      <c r="R2352" s="12"/>
    </row>
    <row r="2353" spans="1:18" x14ac:dyDescent="0.2">
      <c r="A2353">
        <v>20</v>
      </c>
      <c r="B2353" t="s">
        <v>12</v>
      </c>
      <c r="C2353">
        <v>2018</v>
      </c>
      <c r="D2353">
        <v>12</v>
      </c>
      <c r="E2353" s="4">
        <v>0</v>
      </c>
      <c r="F2353" s="9">
        <v>0</v>
      </c>
      <c r="G2353" s="6">
        <v>4331</v>
      </c>
      <c r="H2353" s="9">
        <f t="shared" si="36"/>
        <v>0</v>
      </c>
      <c r="I2353" s="6">
        <v>12000</v>
      </c>
      <c r="J2353" s="6">
        <f>VLOOKUP(Table1[[#This Row],[Province]],[1]Sheet1!$A$3:$K$37,7,FALSE)</f>
        <v>5001700</v>
      </c>
      <c r="K2353">
        <v>1</v>
      </c>
      <c r="L2353" s="4">
        <v>0.278781</v>
      </c>
      <c r="M2353" s="4">
        <v>111.475285</v>
      </c>
      <c r="N2353" s="13">
        <v>5.07</v>
      </c>
      <c r="P2353"/>
      <c r="Q2353" s="12"/>
      <c r="R2353" s="12"/>
    </row>
    <row r="2354" spans="1:18" x14ac:dyDescent="0.2">
      <c r="A2354">
        <v>20</v>
      </c>
      <c r="B2354" t="s">
        <v>12</v>
      </c>
      <c r="C2354">
        <v>2019</v>
      </c>
      <c r="D2354">
        <v>1</v>
      </c>
      <c r="E2354" s="4">
        <v>0</v>
      </c>
      <c r="F2354" s="9">
        <v>0</v>
      </c>
      <c r="G2354" s="6">
        <v>4420</v>
      </c>
      <c r="H2354" s="9">
        <f t="shared" si="36"/>
        <v>0</v>
      </c>
      <c r="I2354" s="6">
        <v>12000</v>
      </c>
      <c r="J2354" s="6">
        <f>VLOOKUP(Table1[[#This Row],[Province]],[1]Sheet1!$A$3:$K$37,7,FALSE)</f>
        <v>5001700</v>
      </c>
      <c r="K2354">
        <v>0</v>
      </c>
      <c r="L2354" s="4">
        <v>0.278781</v>
      </c>
      <c r="M2354" s="4">
        <v>111.475285</v>
      </c>
      <c r="N2354" s="13">
        <v>5.09</v>
      </c>
      <c r="P2354"/>
      <c r="Q2354" s="12"/>
      <c r="R2354" s="12"/>
    </row>
    <row r="2355" spans="1:18" x14ac:dyDescent="0.2">
      <c r="A2355">
        <v>20</v>
      </c>
      <c r="B2355" t="s">
        <v>12</v>
      </c>
      <c r="C2355">
        <v>2019</v>
      </c>
      <c r="D2355">
        <v>2</v>
      </c>
      <c r="E2355" s="4">
        <v>0</v>
      </c>
      <c r="F2355" s="9">
        <v>0</v>
      </c>
      <c r="G2355" s="6">
        <v>5114</v>
      </c>
      <c r="H2355" s="9">
        <f t="shared" si="36"/>
        <v>0</v>
      </c>
      <c r="I2355" s="6">
        <v>12104</v>
      </c>
      <c r="J2355" s="6">
        <f>VLOOKUP(Table1[[#This Row],[Province]],[1]Sheet1!$A$3:$K$37,7,FALSE)</f>
        <v>5001700</v>
      </c>
      <c r="K2355">
        <v>0</v>
      </c>
      <c r="L2355" s="4">
        <v>0.278781</v>
      </c>
      <c r="M2355" s="4">
        <v>111.475285</v>
      </c>
      <c r="N2355" s="13">
        <v>5.09</v>
      </c>
      <c r="P2355"/>
      <c r="Q2355" s="12"/>
      <c r="R2355" s="12"/>
    </row>
    <row r="2356" spans="1:18" x14ac:dyDescent="0.2">
      <c r="A2356">
        <v>20</v>
      </c>
      <c r="B2356" t="s">
        <v>12</v>
      </c>
      <c r="C2356">
        <v>2019</v>
      </c>
      <c r="D2356">
        <v>3</v>
      </c>
      <c r="E2356" s="4">
        <v>0</v>
      </c>
      <c r="F2356" s="9">
        <v>0</v>
      </c>
      <c r="G2356" s="6">
        <v>4854</v>
      </c>
      <c r="H2356" s="9">
        <f t="shared" si="36"/>
        <v>0</v>
      </c>
      <c r="I2356" s="6">
        <v>12037</v>
      </c>
      <c r="J2356" s="6">
        <f>VLOOKUP(Table1[[#This Row],[Province]],[1]Sheet1!$A$3:$K$37,7,FALSE)</f>
        <v>5001700</v>
      </c>
      <c r="K2356">
        <v>0</v>
      </c>
      <c r="L2356" s="4">
        <v>0.278781</v>
      </c>
      <c r="M2356" s="4">
        <v>111.475285</v>
      </c>
      <c r="N2356" s="13">
        <v>5.09</v>
      </c>
      <c r="P2356"/>
      <c r="Q2356" s="12"/>
      <c r="R2356" s="12"/>
    </row>
    <row r="2357" spans="1:18" x14ac:dyDescent="0.2">
      <c r="A2357">
        <v>20</v>
      </c>
      <c r="B2357" t="s">
        <v>12</v>
      </c>
      <c r="C2357">
        <v>2019</v>
      </c>
      <c r="D2357">
        <v>4</v>
      </c>
      <c r="E2357" s="4">
        <v>0</v>
      </c>
      <c r="F2357" s="9">
        <v>0</v>
      </c>
      <c r="G2357" s="6">
        <v>7677</v>
      </c>
      <c r="H2357" s="9">
        <f t="shared" si="36"/>
        <v>0</v>
      </c>
      <c r="I2357" s="6">
        <v>12012</v>
      </c>
      <c r="J2357" s="6">
        <f>VLOOKUP(Table1[[#This Row],[Province]],[1]Sheet1!$A$3:$K$37,7,FALSE)</f>
        <v>5001700</v>
      </c>
      <c r="K2357">
        <v>0</v>
      </c>
      <c r="L2357" s="4">
        <v>0.278781</v>
      </c>
      <c r="M2357" s="4">
        <v>111.475285</v>
      </c>
      <c r="N2357" s="13">
        <v>5.09</v>
      </c>
      <c r="P2357"/>
      <c r="Q2357" s="12"/>
      <c r="R2357" s="12"/>
    </row>
    <row r="2358" spans="1:18" x14ac:dyDescent="0.2">
      <c r="A2358">
        <v>20</v>
      </c>
      <c r="B2358" t="s">
        <v>12</v>
      </c>
      <c r="C2358">
        <v>2019</v>
      </c>
      <c r="D2358">
        <v>5</v>
      </c>
      <c r="E2358" s="4">
        <v>0</v>
      </c>
      <c r="F2358" s="9">
        <v>0</v>
      </c>
      <c r="G2358" s="6">
        <v>3105</v>
      </c>
      <c r="H2358" s="9">
        <f t="shared" si="36"/>
        <v>0</v>
      </c>
      <c r="I2358" s="6">
        <v>12340</v>
      </c>
      <c r="J2358" s="6">
        <f>VLOOKUP(Table1[[#This Row],[Province]],[1]Sheet1!$A$3:$K$37,7,FALSE)</f>
        <v>5001700</v>
      </c>
      <c r="K2358">
        <v>1</v>
      </c>
      <c r="L2358" s="4">
        <v>0.278781</v>
      </c>
      <c r="M2358" s="4">
        <v>111.475285</v>
      </c>
      <c r="N2358" s="13">
        <v>5.09</v>
      </c>
      <c r="P2358"/>
      <c r="Q2358" s="12"/>
      <c r="R2358" s="12"/>
    </row>
    <row r="2359" spans="1:18" x14ac:dyDescent="0.2">
      <c r="A2359">
        <v>20</v>
      </c>
      <c r="B2359" t="s">
        <v>12</v>
      </c>
      <c r="C2359">
        <v>2019</v>
      </c>
      <c r="D2359">
        <v>6</v>
      </c>
      <c r="E2359" s="4">
        <v>0</v>
      </c>
      <c r="F2359" s="9">
        <v>0</v>
      </c>
      <c r="G2359" s="6">
        <v>4649</v>
      </c>
      <c r="H2359" s="9">
        <f t="shared" si="36"/>
        <v>0</v>
      </c>
      <c r="I2359" s="6">
        <v>12938</v>
      </c>
      <c r="J2359" s="6">
        <f>VLOOKUP(Table1[[#This Row],[Province]],[1]Sheet1!$A$3:$K$37,7,FALSE)</f>
        <v>5001700</v>
      </c>
      <c r="K2359">
        <v>0</v>
      </c>
      <c r="L2359" s="4">
        <v>0.278781</v>
      </c>
      <c r="M2359" s="4">
        <v>111.475285</v>
      </c>
      <c r="N2359" s="13">
        <v>5.09</v>
      </c>
      <c r="P2359"/>
      <c r="Q2359" s="12"/>
      <c r="R2359" s="12"/>
    </row>
    <row r="2360" spans="1:18" x14ac:dyDescent="0.2">
      <c r="A2360">
        <v>20</v>
      </c>
      <c r="B2360" t="s">
        <v>12</v>
      </c>
      <c r="C2360">
        <v>2019</v>
      </c>
      <c r="D2360">
        <v>7</v>
      </c>
      <c r="E2360" s="4">
        <v>0</v>
      </c>
      <c r="F2360" s="9">
        <v>0</v>
      </c>
      <c r="G2360" s="6">
        <v>5415</v>
      </c>
      <c r="H2360" s="9">
        <f t="shared" si="36"/>
        <v>0</v>
      </c>
      <c r="I2360" s="6">
        <v>12643</v>
      </c>
      <c r="J2360" s="6">
        <f>VLOOKUP(Table1[[#This Row],[Province]],[1]Sheet1!$A$3:$K$37,7,FALSE)</f>
        <v>5001700</v>
      </c>
      <c r="K2360">
        <v>0</v>
      </c>
      <c r="L2360" s="4">
        <v>0.278781</v>
      </c>
      <c r="M2360" s="4">
        <v>111.475285</v>
      </c>
      <c r="N2360" s="13">
        <v>5.09</v>
      </c>
      <c r="P2360"/>
      <c r="Q2360" s="12"/>
      <c r="R2360" s="12"/>
    </row>
    <row r="2361" spans="1:18" x14ac:dyDescent="0.2">
      <c r="A2361">
        <v>20</v>
      </c>
      <c r="B2361" t="s">
        <v>12</v>
      </c>
      <c r="C2361">
        <v>2019</v>
      </c>
      <c r="D2361">
        <v>8</v>
      </c>
      <c r="E2361" s="4">
        <v>0</v>
      </c>
      <c r="F2361" s="9">
        <v>0</v>
      </c>
      <c r="G2361" s="6">
        <v>4740</v>
      </c>
      <c r="H2361" s="9">
        <f t="shared" si="36"/>
        <v>0</v>
      </c>
      <c r="I2361" s="6">
        <v>12722</v>
      </c>
      <c r="J2361" s="6">
        <f>VLOOKUP(Table1[[#This Row],[Province]],[1]Sheet1!$A$3:$K$37,7,FALSE)</f>
        <v>5001700</v>
      </c>
      <c r="K2361">
        <v>0</v>
      </c>
      <c r="L2361" s="4">
        <v>0.278781</v>
      </c>
      <c r="M2361" s="4">
        <v>111.475285</v>
      </c>
      <c r="N2361" s="13">
        <v>5.09</v>
      </c>
      <c r="P2361"/>
      <c r="Q2361" s="12"/>
      <c r="R2361" s="12"/>
    </row>
    <row r="2362" spans="1:18" x14ac:dyDescent="0.2">
      <c r="A2362">
        <v>20</v>
      </c>
      <c r="B2362" t="s">
        <v>12</v>
      </c>
      <c r="C2362">
        <v>2019</v>
      </c>
      <c r="D2362">
        <v>9</v>
      </c>
      <c r="E2362" s="4">
        <v>0</v>
      </c>
      <c r="F2362" s="9">
        <v>0</v>
      </c>
      <c r="G2362" s="6">
        <v>6158</v>
      </c>
      <c r="H2362" s="9">
        <f t="shared" si="36"/>
        <v>0</v>
      </c>
      <c r="I2362" s="6">
        <v>12675</v>
      </c>
      <c r="J2362" s="6">
        <f>VLOOKUP(Table1[[#This Row],[Province]],[1]Sheet1!$A$3:$K$37,7,FALSE)</f>
        <v>5001700</v>
      </c>
      <c r="K2362">
        <v>0</v>
      </c>
      <c r="L2362" s="4">
        <v>0.278781</v>
      </c>
      <c r="M2362" s="4">
        <v>111.475285</v>
      </c>
      <c r="N2362" s="13">
        <v>5.09</v>
      </c>
      <c r="P2362"/>
      <c r="Q2362" s="12"/>
      <c r="R2362" s="12"/>
    </row>
    <row r="2363" spans="1:18" x14ac:dyDescent="0.2">
      <c r="A2363">
        <v>20</v>
      </c>
      <c r="B2363" t="s">
        <v>12</v>
      </c>
      <c r="C2363">
        <v>2019</v>
      </c>
      <c r="D2363">
        <v>10</v>
      </c>
      <c r="E2363" s="4">
        <v>0</v>
      </c>
      <c r="F2363" s="9">
        <v>0</v>
      </c>
      <c r="G2363" s="6">
        <v>6500</v>
      </c>
      <c r="H2363" s="9">
        <f t="shared" si="36"/>
        <v>0</v>
      </c>
      <c r="I2363" s="6">
        <v>12662</v>
      </c>
      <c r="J2363" s="6">
        <f>VLOOKUP(Table1[[#This Row],[Province]],[1]Sheet1!$A$3:$K$37,7,FALSE)</f>
        <v>5001700</v>
      </c>
      <c r="K2363">
        <v>0</v>
      </c>
      <c r="L2363" s="4">
        <v>0.278781</v>
      </c>
      <c r="M2363" s="4">
        <v>111.475285</v>
      </c>
      <c r="N2363" s="13">
        <v>5.09</v>
      </c>
      <c r="P2363"/>
      <c r="Q2363" s="12"/>
      <c r="R2363" s="12"/>
    </row>
    <row r="2364" spans="1:18" x14ac:dyDescent="0.2">
      <c r="A2364">
        <v>20</v>
      </c>
      <c r="B2364" t="s">
        <v>12</v>
      </c>
      <c r="C2364">
        <v>2019</v>
      </c>
      <c r="D2364">
        <v>11</v>
      </c>
      <c r="E2364" s="4">
        <v>0</v>
      </c>
      <c r="F2364" s="9">
        <v>0</v>
      </c>
      <c r="G2364" s="6">
        <v>3147</v>
      </c>
      <c r="H2364" s="9">
        <f t="shared" si="36"/>
        <v>0</v>
      </c>
      <c r="I2364" s="6">
        <v>12667</v>
      </c>
      <c r="J2364" s="6">
        <f>VLOOKUP(Table1[[#This Row],[Province]],[1]Sheet1!$A$3:$K$37,7,FALSE)</f>
        <v>5001700</v>
      </c>
      <c r="K2364">
        <v>0</v>
      </c>
      <c r="L2364" s="4">
        <v>0.278781</v>
      </c>
      <c r="M2364" s="4">
        <v>111.475285</v>
      </c>
      <c r="N2364" s="13">
        <v>5.09</v>
      </c>
      <c r="P2364"/>
      <c r="Q2364" s="12"/>
      <c r="R2364" s="12"/>
    </row>
    <row r="2365" spans="1:18" x14ac:dyDescent="0.2">
      <c r="A2365">
        <v>20</v>
      </c>
      <c r="B2365" t="s">
        <v>12</v>
      </c>
      <c r="C2365">
        <v>2019</v>
      </c>
      <c r="D2365">
        <v>12</v>
      </c>
      <c r="E2365" s="4">
        <v>0</v>
      </c>
      <c r="F2365" s="9">
        <v>0</v>
      </c>
      <c r="G2365" s="6">
        <v>3701</v>
      </c>
      <c r="H2365" s="9">
        <f t="shared" si="36"/>
        <v>0</v>
      </c>
      <c r="I2365" s="6">
        <v>12585</v>
      </c>
      <c r="J2365" s="6">
        <f>VLOOKUP(Table1[[#This Row],[Province]],[1]Sheet1!$A$3:$K$37,7,FALSE)</f>
        <v>5001700</v>
      </c>
      <c r="K2365">
        <v>1</v>
      </c>
      <c r="L2365" s="4">
        <v>0.278781</v>
      </c>
      <c r="M2365" s="4">
        <v>111.475285</v>
      </c>
      <c r="N2365" s="13">
        <v>5.09</v>
      </c>
      <c r="P2365"/>
      <c r="Q2365" s="12"/>
      <c r="R2365" s="12"/>
    </row>
    <row r="2366" spans="1:18" x14ac:dyDescent="0.2">
      <c r="A2366">
        <v>20</v>
      </c>
      <c r="B2366" t="s">
        <v>12</v>
      </c>
      <c r="C2366">
        <v>2020</v>
      </c>
      <c r="D2366">
        <v>1</v>
      </c>
      <c r="E2366" s="4">
        <v>0</v>
      </c>
      <c r="F2366" s="9">
        <v>0</v>
      </c>
      <c r="G2366" s="6">
        <v>5476</v>
      </c>
      <c r="H2366" s="9">
        <f t="shared" si="36"/>
        <v>0</v>
      </c>
      <c r="I2366" s="6">
        <v>12689</v>
      </c>
      <c r="J2366" s="6">
        <f>VLOOKUP(Table1[[#This Row],[Province]],[1]Sheet1!$A$3:$K$37,7,FALSE)</f>
        <v>5001700</v>
      </c>
      <c r="K2366">
        <v>0</v>
      </c>
      <c r="L2366" s="4">
        <v>0.278781</v>
      </c>
      <c r="M2366" s="4">
        <v>111.475285</v>
      </c>
      <c r="N2366" s="13">
        <v>-1.82</v>
      </c>
      <c r="P2366"/>
      <c r="Q2366" s="12"/>
      <c r="R2366" s="12"/>
    </row>
    <row r="2367" spans="1:18" x14ac:dyDescent="0.2">
      <c r="A2367">
        <v>20</v>
      </c>
      <c r="B2367" t="s">
        <v>12</v>
      </c>
      <c r="C2367">
        <v>2020</v>
      </c>
      <c r="D2367">
        <v>2</v>
      </c>
      <c r="E2367" s="4">
        <v>0</v>
      </c>
      <c r="F2367" s="9">
        <v>0</v>
      </c>
      <c r="G2367" s="6">
        <v>4843</v>
      </c>
      <c r="H2367" s="9">
        <f t="shared" si="36"/>
        <v>0</v>
      </c>
      <c r="I2367" s="6">
        <v>12743</v>
      </c>
      <c r="J2367" s="6">
        <f>VLOOKUP(Table1[[#This Row],[Province]],[1]Sheet1!$A$3:$K$37,7,FALSE)</f>
        <v>5001700</v>
      </c>
      <c r="K2367">
        <v>0</v>
      </c>
      <c r="L2367" s="4">
        <v>0.278781</v>
      </c>
      <c r="M2367" s="4">
        <v>111.475285</v>
      </c>
      <c r="N2367" s="13">
        <v>-1.82</v>
      </c>
      <c r="P2367"/>
      <c r="Q2367" s="12"/>
      <c r="R2367" s="12"/>
    </row>
    <row r="2368" spans="1:18" x14ac:dyDescent="0.2">
      <c r="A2368">
        <v>20</v>
      </c>
      <c r="B2368" t="s">
        <v>12</v>
      </c>
      <c r="C2368">
        <v>2020</v>
      </c>
      <c r="D2368">
        <v>3</v>
      </c>
      <c r="E2368" s="4">
        <v>0</v>
      </c>
      <c r="F2368" s="9">
        <v>0</v>
      </c>
      <c r="G2368" s="6">
        <v>3024</v>
      </c>
      <c r="H2368" s="9">
        <f t="shared" si="36"/>
        <v>0</v>
      </c>
      <c r="I2368" s="6">
        <v>16063</v>
      </c>
      <c r="J2368" s="6">
        <f>VLOOKUP(Table1[[#This Row],[Province]],[1]Sheet1!$A$3:$K$37,7,FALSE)</f>
        <v>5001700</v>
      </c>
      <c r="K2368">
        <v>0</v>
      </c>
      <c r="L2368" s="4">
        <v>0.278781</v>
      </c>
      <c r="M2368" s="4">
        <v>111.475285</v>
      </c>
      <c r="N2368" s="13">
        <v>-1.82</v>
      </c>
      <c r="P2368"/>
      <c r="Q2368" s="12"/>
      <c r="R2368" s="12"/>
    </row>
    <row r="2369" spans="1:18" x14ac:dyDescent="0.2">
      <c r="A2369">
        <v>20</v>
      </c>
      <c r="B2369" t="s">
        <v>12</v>
      </c>
      <c r="C2369">
        <v>2020</v>
      </c>
      <c r="D2369">
        <v>4</v>
      </c>
      <c r="E2369" s="4">
        <v>0</v>
      </c>
      <c r="F2369" s="9">
        <v>0</v>
      </c>
      <c r="G2369" s="6">
        <v>3504</v>
      </c>
      <c r="H2369" s="9">
        <f t="shared" si="36"/>
        <v>0</v>
      </c>
      <c r="I2369" s="6">
        <v>16860</v>
      </c>
      <c r="J2369" s="6">
        <f>VLOOKUP(Table1[[#This Row],[Province]],[1]Sheet1!$A$3:$K$37,7,FALSE)</f>
        <v>5001700</v>
      </c>
      <c r="K2369">
        <v>1</v>
      </c>
      <c r="L2369" s="4">
        <v>0.278781</v>
      </c>
      <c r="M2369" s="4">
        <v>111.475285</v>
      </c>
      <c r="N2369" s="13">
        <v>-1.82</v>
      </c>
      <c r="P2369"/>
      <c r="Q2369" s="12"/>
      <c r="R2369" s="12"/>
    </row>
    <row r="2370" spans="1:18" x14ac:dyDescent="0.2">
      <c r="A2370">
        <v>20</v>
      </c>
      <c r="B2370" t="s">
        <v>12</v>
      </c>
      <c r="C2370">
        <v>2020</v>
      </c>
      <c r="D2370">
        <v>5</v>
      </c>
      <c r="E2370" s="4">
        <v>0</v>
      </c>
      <c r="F2370" s="9">
        <v>0</v>
      </c>
      <c r="G2370" s="6">
        <v>2853</v>
      </c>
      <c r="H2370" s="9">
        <f t="shared" ref="H2370:H2433" si="37">F2370+E2370</f>
        <v>0</v>
      </c>
      <c r="I2370" s="6">
        <v>16623</v>
      </c>
      <c r="J2370" s="6">
        <f>VLOOKUP(Table1[[#This Row],[Province]],[1]Sheet1!$A$3:$K$37,7,FALSE)</f>
        <v>5001700</v>
      </c>
      <c r="K2370">
        <v>0</v>
      </c>
      <c r="L2370" s="4">
        <v>0.278781</v>
      </c>
      <c r="M2370" s="4">
        <v>111.475285</v>
      </c>
      <c r="N2370" s="13">
        <v>-1.82</v>
      </c>
      <c r="P2370"/>
      <c r="Q2370" s="12"/>
      <c r="R2370" s="12"/>
    </row>
    <row r="2371" spans="1:18" x14ac:dyDescent="0.2">
      <c r="A2371">
        <v>20</v>
      </c>
      <c r="B2371" t="s">
        <v>12</v>
      </c>
      <c r="C2371">
        <v>2020</v>
      </c>
      <c r="D2371">
        <v>5</v>
      </c>
      <c r="E2371" s="4">
        <v>0</v>
      </c>
      <c r="F2371" s="9">
        <v>0</v>
      </c>
      <c r="G2371" s="6">
        <v>4436</v>
      </c>
      <c r="H2371" s="9">
        <f t="shared" si="37"/>
        <v>0</v>
      </c>
      <c r="I2371" s="6">
        <v>15433</v>
      </c>
      <c r="J2371" s="6">
        <f>VLOOKUP(Table1[[#This Row],[Province]],[1]Sheet1!$A$3:$K$37,7,FALSE)</f>
        <v>5001700</v>
      </c>
      <c r="K2371">
        <v>0</v>
      </c>
      <c r="L2371" s="4">
        <v>0.278781</v>
      </c>
      <c r="M2371" s="4">
        <v>111.475285</v>
      </c>
      <c r="N2371" s="13">
        <v>-1.82</v>
      </c>
      <c r="P2371"/>
      <c r="Q2371" s="12"/>
      <c r="R2371" s="12"/>
    </row>
    <row r="2372" spans="1:18" x14ac:dyDescent="0.2">
      <c r="A2372">
        <v>20</v>
      </c>
      <c r="B2372" t="s">
        <v>12</v>
      </c>
      <c r="C2372">
        <v>2020</v>
      </c>
      <c r="D2372">
        <v>7</v>
      </c>
      <c r="E2372" s="4">
        <v>0</v>
      </c>
      <c r="F2372" s="9">
        <v>0</v>
      </c>
      <c r="G2372" s="6">
        <v>3717</v>
      </c>
      <c r="H2372" s="9">
        <f t="shared" si="37"/>
        <v>0</v>
      </c>
      <c r="I2372" s="6">
        <v>13222</v>
      </c>
      <c r="J2372" s="6">
        <f>VLOOKUP(Table1[[#This Row],[Province]],[1]Sheet1!$A$3:$K$37,7,FALSE)</f>
        <v>5001700</v>
      </c>
      <c r="K2372">
        <v>0</v>
      </c>
      <c r="L2372" s="4">
        <v>0.278781</v>
      </c>
      <c r="M2372" s="4">
        <v>111.475285</v>
      </c>
      <c r="N2372" s="13">
        <v>-1.82</v>
      </c>
      <c r="P2372"/>
      <c r="Q2372" s="12"/>
      <c r="R2372" s="12"/>
    </row>
    <row r="2373" spans="1:18" x14ac:dyDescent="0.2">
      <c r="A2373">
        <v>20</v>
      </c>
      <c r="B2373" t="s">
        <v>12</v>
      </c>
      <c r="C2373">
        <v>2020</v>
      </c>
      <c r="D2373">
        <v>8</v>
      </c>
      <c r="E2373" s="4">
        <v>0</v>
      </c>
      <c r="F2373" s="9">
        <v>0</v>
      </c>
      <c r="G2373" s="6">
        <v>2742</v>
      </c>
      <c r="H2373" s="9">
        <f t="shared" si="37"/>
        <v>0</v>
      </c>
      <c r="I2373" s="6">
        <v>12848</v>
      </c>
      <c r="J2373" s="6">
        <f>VLOOKUP(Table1[[#This Row],[Province]],[1]Sheet1!$A$3:$K$37,7,FALSE)</f>
        <v>5001700</v>
      </c>
      <c r="K2373">
        <v>0</v>
      </c>
      <c r="L2373" s="4">
        <v>0.278781</v>
      </c>
      <c r="M2373" s="4">
        <v>111.475285</v>
      </c>
      <c r="N2373" s="13">
        <v>-1.82</v>
      </c>
      <c r="P2373"/>
      <c r="Q2373" s="12"/>
      <c r="R2373" s="12"/>
    </row>
    <row r="2374" spans="1:18" x14ac:dyDescent="0.2">
      <c r="A2374">
        <v>20</v>
      </c>
      <c r="B2374" t="s">
        <v>12</v>
      </c>
      <c r="C2374">
        <v>2020</v>
      </c>
      <c r="D2374">
        <v>9</v>
      </c>
      <c r="E2374" s="4">
        <v>0</v>
      </c>
      <c r="F2374" s="9">
        <v>0</v>
      </c>
      <c r="G2374" s="6">
        <v>3297</v>
      </c>
      <c r="H2374" s="9">
        <f t="shared" si="37"/>
        <v>0</v>
      </c>
      <c r="I2374" s="6">
        <v>13412</v>
      </c>
      <c r="J2374" s="6">
        <f>VLOOKUP(Table1[[#This Row],[Province]],[1]Sheet1!$A$3:$K$37,7,FALSE)</f>
        <v>5001700</v>
      </c>
      <c r="K2374">
        <v>0</v>
      </c>
      <c r="L2374" s="4">
        <v>0.278781</v>
      </c>
      <c r="M2374" s="4">
        <v>111.475285</v>
      </c>
      <c r="N2374" s="13">
        <v>-1.82</v>
      </c>
      <c r="P2374"/>
      <c r="Q2374" s="12"/>
      <c r="R2374" s="12"/>
    </row>
    <row r="2375" spans="1:18" x14ac:dyDescent="0.2">
      <c r="A2375">
        <v>20</v>
      </c>
      <c r="B2375" t="s">
        <v>12</v>
      </c>
      <c r="C2375">
        <v>2020</v>
      </c>
      <c r="D2375">
        <v>10</v>
      </c>
      <c r="E2375" s="4">
        <v>0</v>
      </c>
      <c r="F2375" s="9">
        <v>0</v>
      </c>
      <c r="G2375" s="6">
        <v>2555</v>
      </c>
      <c r="H2375" s="9">
        <f t="shared" si="37"/>
        <v>0</v>
      </c>
      <c r="I2375" s="6">
        <v>13351</v>
      </c>
      <c r="J2375" s="6">
        <f>VLOOKUP(Table1[[#This Row],[Province]],[1]Sheet1!$A$3:$K$37,7,FALSE)</f>
        <v>5001700</v>
      </c>
      <c r="K2375">
        <v>0</v>
      </c>
      <c r="L2375" s="4">
        <v>0.278781</v>
      </c>
      <c r="M2375" s="4">
        <v>111.475285</v>
      </c>
      <c r="N2375" s="13">
        <v>-1.82</v>
      </c>
      <c r="P2375"/>
      <c r="Q2375" s="12"/>
      <c r="R2375" s="12"/>
    </row>
    <row r="2376" spans="1:18" x14ac:dyDescent="0.2">
      <c r="A2376">
        <v>20</v>
      </c>
      <c r="B2376" t="s">
        <v>12</v>
      </c>
      <c r="C2376">
        <v>2020</v>
      </c>
      <c r="D2376">
        <v>11</v>
      </c>
      <c r="E2376" s="4">
        <v>0</v>
      </c>
      <c r="F2376" s="9">
        <v>0</v>
      </c>
      <c r="G2376" s="6">
        <v>487</v>
      </c>
      <c r="H2376" s="9">
        <f t="shared" si="37"/>
        <v>0</v>
      </c>
      <c r="I2376" s="6">
        <v>12988</v>
      </c>
      <c r="J2376" s="6">
        <f>VLOOKUP(Table1[[#This Row],[Province]],[1]Sheet1!$A$3:$K$37,7,FALSE)</f>
        <v>5001700</v>
      </c>
      <c r="K2376">
        <v>0</v>
      </c>
      <c r="L2376" s="4">
        <v>0.278781</v>
      </c>
      <c r="M2376" s="4">
        <v>111.475285</v>
      </c>
      <c r="N2376" s="13">
        <v>-1.82</v>
      </c>
      <c r="P2376"/>
      <c r="Q2376" s="12"/>
      <c r="R2376" s="12"/>
    </row>
    <row r="2377" spans="1:18" x14ac:dyDescent="0.2">
      <c r="A2377">
        <v>20</v>
      </c>
      <c r="B2377" t="s">
        <v>12</v>
      </c>
      <c r="C2377">
        <v>2020</v>
      </c>
      <c r="D2377">
        <v>12</v>
      </c>
      <c r="E2377" s="4">
        <v>0</v>
      </c>
      <c r="F2377" s="9">
        <v>0</v>
      </c>
      <c r="G2377" s="6">
        <v>3098</v>
      </c>
      <c r="H2377" s="9">
        <f t="shared" si="37"/>
        <v>0</v>
      </c>
      <c r="I2377" s="6">
        <v>13333</v>
      </c>
      <c r="J2377" s="6">
        <f>VLOOKUP(Table1[[#This Row],[Province]],[1]Sheet1!$A$3:$K$37,7,FALSE)</f>
        <v>5001700</v>
      </c>
      <c r="K2377">
        <v>1</v>
      </c>
      <c r="L2377" s="4">
        <v>0.278781</v>
      </c>
      <c r="M2377" s="4">
        <v>111.475285</v>
      </c>
      <c r="N2377" s="13">
        <v>-1.82</v>
      </c>
      <c r="P2377"/>
      <c r="Q2377" s="12"/>
      <c r="R2377" s="12"/>
    </row>
    <row r="2378" spans="1:18" x14ac:dyDescent="0.2">
      <c r="A2378">
        <v>20</v>
      </c>
      <c r="B2378" t="s">
        <v>12</v>
      </c>
      <c r="C2378">
        <v>2021</v>
      </c>
      <c r="D2378">
        <v>1</v>
      </c>
      <c r="E2378" s="4">
        <v>0</v>
      </c>
      <c r="F2378" s="9">
        <v>0</v>
      </c>
      <c r="G2378" s="6">
        <v>4362</v>
      </c>
      <c r="H2378" s="9">
        <f t="shared" si="37"/>
        <v>0</v>
      </c>
      <c r="I2378" s="6">
        <v>13554</v>
      </c>
      <c r="J2378" s="6">
        <f>VLOOKUP(Table1[[#This Row],[Province]],[1]Sheet1!$A$3:$K$37,7,FALSE)</f>
        <v>5001700</v>
      </c>
      <c r="K2378">
        <v>0</v>
      </c>
      <c r="L2378" s="4">
        <v>0.278781</v>
      </c>
      <c r="M2378" s="4">
        <v>111.475285</v>
      </c>
      <c r="N2378" s="13">
        <v>4.8</v>
      </c>
      <c r="P2378"/>
      <c r="Q2378" s="12"/>
      <c r="R2378" s="12"/>
    </row>
    <row r="2379" spans="1:18" x14ac:dyDescent="0.2">
      <c r="A2379">
        <v>20</v>
      </c>
      <c r="B2379" t="s">
        <v>12</v>
      </c>
      <c r="C2379">
        <v>2021</v>
      </c>
      <c r="D2379">
        <v>2</v>
      </c>
      <c r="E2379" s="4">
        <v>0</v>
      </c>
      <c r="F2379" s="9">
        <v>0</v>
      </c>
      <c r="G2379" s="6">
        <v>6377</v>
      </c>
      <c r="H2379" s="9">
        <f t="shared" si="37"/>
        <v>0</v>
      </c>
      <c r="I2379" s="6">
        <v>13125</v>
      </c>
      <c r="J2379" s="6">
        <f>VLOOKUP(Table1[[#This Row],[Province]],[1]Sheet1!$A$3:$K$37,7,FALSE)</f>
        <v>5001700</v>
      </c>
      <c r="K2379">
        <v>0</v>
      </c>
      <c r="L2379" s="4">
        <v>0.278781</v>
      </c>
      <c r="M2379" s="4">
        <v>111.475285</v>
      </c>
      <c r="N2379" s="13">
        <v>4.8</v>
      </c>
      <c r="P2379"/>
      <c r="Q2379" s="12"/>
      <c r="R2379" s="12"/>
    </row>
    <row r="2380" spans="1:18" x14ac:dyDescent="0.2">
      <c r="A2380">
        <v>20</v>
      </c>
      <c r="B2380" t="s">
        <v>12</v>
      </c>
      <c r="C2380">
        <v>2021</v>
      </c>
      <c r="D2380">
        <v>3</v>
      </c>
      <c r="E2380" s="4">
        <v>0</v>
      </c>
      <c r="F2380" s="9">
        <v>0</v>
      </c>
      <c r="G2380" s="6">
        <v>3882</v>
      </c>
      <c r="H2380" s="9">
        <f t="shared" si="37"/>
        <v>0</v>
      </c>
      <c r="I2380" s="6">
        <v>13000</v>
      </c>
      <c r="J2380" s="6">
        <f>VLOOKUP(Table1[[#This Row],[Province]],[1]Sheet1!$A$3:$K$37,7,FALSE)</f>
        <v>5001700</v>
      </c>
      <c r="K2380">
        <v>0</v>
      </c>
      <c r="L2380" s="4">
        <v>0.278781</v>
      </c>
      <c r="M2380" s="4">
        <v>111.475285</v>
      </c>
      <c r="N2380" s="13">
        <v>4.8</v>
      </c>
      <c r="P2380"/>
      <c r="Q2380" s="12"/>
      <c r="R2380" s="12"/>
    </row>
    <row r="2381" spans="1:18" x14ac:dyDescent="0.2">
      <c r="A2381">
        <v>20</v>
      </c>
      <c r="B2381" t="s">
        <v>12</v>
      </c>
      <c r="C2381">
        <v>2021</v>
      </c>
      <c r="D2381">
        <v>4</v>
      </c>
      <c r="E2381" s="4">
        <v>0</v>
      </c>
      <c r="F2381" s="9">
        <v>0</v>
      </c>
      <c r="G2381" s="6">
        <v>3880</v>
      </c>
      <c r="H2381" s="9">
        <f t="shared" si="37"/>
        <v>0</v>
      </c>
      <c r="I2381" s="6">
        <v>12900</v>
      </c>
      <c r="J2381" s="6">
        <f>VLOOKUP(Table1[[#This Row],[Province]],[1]Sheet1!$A$3:$K$37,7,FALSE)</f>
        <v>5001700</v>
      </c>
      <c r="K2381">
        <v>1</v>
      </c>
      <c r="L2381" s="4">
        <v>0.278781</v>
      </c>
      <c r="M2381" s="4">
        <v>111.475285</v>
      </c>
      <c r="N2381" s="13">
        <v>4.8</v>
      </c>
      <c r="P2381"/>
      <c r="Q2381" s="12"/>
      <c r="R2381" s="12"/>
    </row>
    <row r="2382" spans="1:18" x14ac:dyDescent="0.2">
      <c r="A2382">
        <v>20</v>
      </c>
      <c r="B2382" t="s">
        <v>12</v>
      </c>
      <c r="C2382">
        <v>2021</v>
      </c>
      <c r="D2382">
        <v>5</v>
      </c>
      <c r="E2382" s="4">
        <v>0</v>
      </c>
      <c r="F2382" s="9">
        <v>0</v>
      </c>
      <c r="G2382" s="6">
        <v>2954</v>
      </c>
      <c r="H2382" s="9">
        <f t="shared" si="37"/>
        <v>0</v>
      </c>
      <c r="I2382" s="6">
        <v>12840</v>
      </c>
      <c r="J2382" s="6">
        <f>VLOOKUP(Table1[[#This Row],[Province]],[1]Sheet1!$A$3:$K$37,7,FALSE)</f>
        <v>5001700</v>
      </c>
      <c r="K2382">
        <v>0</v>
      </c>
      <c r="L2382" s="4">
        <v>0.278781</v>
      </c>
      <c r="M2382" s="4">
        <v>111.475285</v>
      </c>
      <c r="N2382" s="13">
        <v>4.8</v>
      </c>
      <c r="P2382"/>
      <c r="Q2382" s="12"/>
      <c r="R2382" s="12"/>
    </row>
    <row r="2383" spans="1:18" x14ac:dyDescent="0.2">
      <c r="A2383">
        <v>20</v>
      </c>
      <c r="B2383" t="s">
        <v>12</v>
      </c>
      <c r="C2383">
        <v>2021</v>
      </c>
      <c r="D2383">
        <v>6</v>
      </c>
      <c r="E2383" s="4">
        <v>0</v>
      </c>
      <c r="F2383" s="9">
        <v>0</v>
      </c>
      <c r="G2383" s="6">
        <v>4667</v>
      </c>
      <c r="H2383" s="9">
        <f t="shared" si="37"/>
        <v>0</v>
      </c>
      <c r="I2383" s="6">
        <v>12750</v>
      </c>
      <c r="J2383" s="6">
        <f>VLOOKUP(Table1[[#This Row],[Province]],[1]Sheet1!$A$3:$K$37,7,FALSE)</f>
        <v>5001700</v>
      </c>
      <c r="K2383">
        <v>0</v>
      </c>
      <c r="L2383" s="4">
        <v>0.278781</v>
      </c>
      <c r="M2383" s="4">
        <v>111.475285</v>
      </c>
      <c r="N2383" s="13">
        <v>4.8</v>
      </c>
      <c r="P2383"/>
      <c r="Q2383" s="12"/>
      <c r="R2383" s="12"/>
    </row>
    <row r="2384" spans="1:18" x14ac:dyDescent="0.2">
      <c r="A2384">
        <v>20</v>
      </c>
      <c r="B2384" t="s">
        <v>12</v>
      </c>
      <c r="C2384">
        <v>2021</v>
      </c>
      <c r="D2384">
        <v>7</v>
      </c>
      <c r="E2384" s="4">
        <v>0</v>
      </c>
      <c r="F2384" s="9">
        <v>0</v>
      </c>
      <c r="G2384" s="6">
        <v>2642</v>
      </c>
      <c r="H2384" s="9">
        <f t="shared" si="37"/>
        <v>0</v>
      </c>
      <c r="I2384" s="6">
        <v>12638</v>
      </c>
      <c r="J2384" s="6">
        <f>VLOOKUP(Table1[[#This Row],[Province]],[1]Sheet1!$A$3:$K$37,7,FALSE)</f>
        <v>5001700</v>
      </c>
      <c r="K2384">
        <v>0</v>
      </c>
      <c r="L2384" s="4">
        <v>0.278781</v>
      </c>
      <c r="M2384" s="4">
        <v>111.475285</v>
      </c>
      <c r="N2384" s="13">
        <v>4.8</v>
      </c>
      <c r="P2384"/>
      <c r="Q2384" s="12"/>
      <c r="R2384" s="12"/>
    </row>
    <row r="2385" spans="1:18" x14ac:dyDescent="0.2">
      <c r="A2385">
        <v>20</v>
      </c>
      <c r="B2385" t="s">
        <v>12</v>
      </c>
      <c r="C2385">
        <v>2021</v>
      </c>
      <c r="D2385">
        <v>8</v>
      </c>
      <c r="E2385" s="4">
        <v>0</v>
      </c>
      <c r="F2385" s="9">
        <v>0</v>
      </c>
      <c r="G2385" s="6">
        <v>3229</v>
      </c>
      <c r="H2385" s="9">
        <f t="shared" si="37"/>
        <v>0</v>
      </c>
      <c r="I2385" s="6">
        <v>12580</v>
      </c>
      <c r="J2385" s="6">
        <f>VLOOKUP(Table1[[#This Row],[Province]],[1]Sheet1!$A$3:$K$37,7,FALSE)</f>
        <v>5001700</v>
      </c>
      <c r="K2385">
        <v>0</v>
      </c>
      <c r="L2385" s="4">
        <v>0.278781</v>
      </c>
      <c r="M2385" s="4">
        <v>111.475285</v>
      </c>
      <c r="N2385" s="13">
        <v>4.8</v>
      </c>
      <c r="P2385"/>
      <c r="Q2385" s="12"/>
      <c r="R2385" s="12"/>
    </row>
    <row r="2386" spans="1:18" x14ac:dyDescent="0.2">
      <c r="A2386">
        <v>20</v>
      </c>
      <c r="B2386" t="s">
        <v>12</v>
      </c>
      <c r="C2386">
        <v>2021</v>
      </c>
      <c r="D2386">
        <v>9</v>
      </c>
      <c r="E2386" s="4">
        <v>0</v>
      </c>
      <c r="F2386" s="9">
        <v>0</v>
      </c>
      <c r="G2386" s="6">
        <v>5275</v>
      </c>
      <c r="H2386" s="9">
        <f t="shared" si="37"/>
        <v>0</v>
      </c>
      <c r="I2386" s="6">
        <v>12600</v>
      </c>
      <c r="J2386" s="6">
        <f>VLOOKUP(Table1[[#This Row],[Province]],[1]Sheet1!$A$3:$K$37,7,FALSE)</f>
        <v>5001700</v>
      </c>
      <c r="K2386">
        <v>0</v>
      </c>
      <c r="L2386" s="4">
        <v>0.278781</v>
      </c>
      <c r="M2386" s="4">
        <v>111.475285</v>
      </c>
      <c r="N2386" s="13">
        <v>4.8</v>
      </c>
      <c r="P2386"/>
      <c r="Q2386" s="12"/>
      <c r="R2386" s="12"/>
    </row>
    <row r="2387" spans="1:18" x14ac:dyDescent="0.2">
      <c r="A2387">
        <v>20</v>
      </c>
      <c r="B2387" t="s">
        <v>12</v>
      </c>
      <c r="C2387">
        <v>2021</v>
      </c>
      <c r="D2387">
        <v>10</v>
      </c>
      <c r="E2387" s="4">
        <v>0</v>
      </c>
      <c r="F2387" s="9">
        <v>0</v>
      </c>
      <c r="G2387" s="6">
        <v>2949</v>
      </c>
      <c r="H2387" s="9">
        <f t="shared" si="37"/>
        <v>0</v>
      </c>
      <c r="I2387" s="6">
        <v>12665</v>
      </c>
      <c r="J2387" s="6">
        <f>VLOOKUP(Table1[[#This Row],[Province]],[1]Sheet1!$A$3:$K$37,7,FALSE)</f>
        <v>5001700</v>
      </c>
      <c r="K2387">
        <v>0</v>
      </c>
      <c r="L2387" s="4">
        <v>0.278781</v>
      </c>
      <c r="M2387" s="4">
        <v>111.475285</v>
      </c>
      <c r="N2387" s="13">
        <v>4.8</v>
      </c>
      <c r="P2387"/>
      <c r="Q2387" s="12"/>
      <c r="R2387" s="12"/>
    </row>
    <row r="2388" spans="1:18" x14ac:dyDescent="0.2">
      <c r="A2388">
        <v>20</v>
      </c>
      <c r="B2388" t="s">
        <v>12</v>
      </c>
      <c r="C2388">
        <v>2021</v>
      </c>
      <c r="D2388">
        <v>11</v>
      </c>
      <c r="E2388" s="4">
        <v>0</v>
      </c>
      <c r="F2388" s="9">
        <v>0</v>
      </c>
      <c r="G2388" s="6">
        <v>3692</v>
      </c>
      <c r="H2388" s="9">
        <f t="shared" si="37"/>
        <v>0</v>
      </c>
      <c r="I2388" s="6">
        <v>12710</v>
      </c>
      <c r="J2388" s="6">
        <f>VLOOKUP(Table1[[#This Row],[Province]],[1]Sheet1!$A$3:$K$37,7,FALSE)</f>
        <v>5001700</v>
      </c>
      <c r="K2388">
        <v>0</v>
      </c>
      <c r="L2388" s="4">
        <v>0.278781</v>
      </c>
      <c r="M2388" s="4">
        <v>111.475285</v>
      </c>
      <c r="N2388" s="13">
        <v>4.8</v>
      </c>
      <c r="P2388"/>
      <c r="Q2388" s="12"/>
      <c r="R2388" s="12"/>
    </row>
    <row r="2389" spans="1:18" x14ac:dyDescent="0.2">
      <c r="A2389">
        <v>20</v>
      </c>
      <c r="B2389" t="s">
        <v>12</v>
      </c>
      <c r="C2389">
        <v>2021</v>
      </c>
      <c r="D2389">
        <v>12</v>
      </c>
      <c r="E2389" s="4">
        <v>0</v>
      </c>
      <c r="F2389" s="9">
        <v>0</v>
      </c>
      <c r="G2389" s="6">
        <v>4851</v>
      </c>
      <c r="H2389" s="9">
        <f t="shared" si="37"/>
        <v>0</v>
      </c>
      <c r="I2389" s="6">
        <v>13225</v>
      </c>
      <c r="J2389" s="6">
        <f>VLOOKUP(Table1[[#This Row],[Province]],[1]Sheet1!$A$3:$K$37,7,FALSE)</f>
        <v>5001700</v>
      </c>
      <c r="K2389">
        <v>1</v>
      </c>
      <c r="L2389" s="4">
        <v>0.278781</v>
      </c>
      <c r="M2389" s="4">
        <v>111.475285</v>
      </c>
      <c r="N2389" s="13">
        <v>4.8</v>
      </c>
      <c r="P2389"/>
      <c r="Q2389" s="12"/>
      <c r="R2389" s="12"/>
    </row>
    <row r="2390" spans="1:18" x14ac:dyDescent="0.2">
      <c r="A2390">
        <v>20</v>
      </c>
      <c r="B2390" t="s">
        <v>12</v>
      </c>
      <c r="C2390">
        <v>2022</v>
      </c>
      <c r="D2390">
        <v>1</v>
      </c>
      <c r="E2390" s="6">
        <v>0</v>
      </c>
      <c r="F2390" s="9">
        <v>0</v>
      </c>
      <c r="G2390" s="6">
        <v>3170</v>
      </c>
      <c r="H2390" s="9">
        <f t="shared" si="37"/>
        <v>0</v>
      </c>
      <c r="I2390" s="6">
        <v>14000</v>
      </c>
      <c r="J2390" s="6">
        <f>VLOOKUP(Table1[[#This Row],[Province]],[1]Sheet1!$A$3:$K$37,7,FALSE)</f>
        <v>5001700</v>
      </c>
      <c r="K2390">
        <v>0</v>
      </c>
      <c r="L2390" s="4">
        <v>0.278781</v>
      </c>
      <c r="M2390" s="4">
        <v>111.475285</v>
      </c>
      <c r="N2390" s="13">
        <v>5.07</v>
      </c>
      <c r="P2390"/>
      <c r="Q2390" s="12"/>
      <c r="R2390" s="12"/>
    </row>
    <row r="2391" spans="1:18" x14ac:dyDescent="0.2">
      <c r="A2391">
        <v>20</v>
      </c>
      <c r="B2391" t="s">
        <v>12</v>
      </c>
      <c r="C2391">
        <v>2022</v>
      </c>
      <c r="D2391">
        <v>2</v>
      </c>
      <c r="E2391" s="6">
        <v>0</v>
      </c>
      <c r="F2391" s="9">
        <v>0</v>
      </c>
      <c r="G2391" s="6">
        <v>8042</v>
      </c>
      <c r="H2391" s="9">
        <f t="shared" si="37"/>
        <v>0</v>
      </c>
      <c r="I2391" s="6">
        <v>14378</v>
      </c>
      <c r="J2391" s="6">
        <f>VLOOKUP(Table1[[#This Row],[Province]],[1]Sheet1!$A$3:$K$37,7,FALSE)</f>
        <v>5001700</v>
      </c>
      <c r="K2391">
        <v>0</v>
      </c>
      <c r="L2391" s="4">
        <v>0.278781</v>
      </c>
      <c r="M2391" s="4">
        <v>111.475285</v>
      </c>
      <c r="N2391" s="13">
        <v>5.07</v>
      </c>
      <c r="P2391"/>
      <c r="Q2391" s="12"/>
      <c r="R2391" s="12"/>
    </row>
    <row r="2392" spans="1:18" x14ac:dyDescent="0.2">
      <c r="A2392">
        <v>20</v>
      </c>
      <c r="B2392" t="s">
        <v>12</v>
      </c>
      <c r="C2392">
        <v>2022</v>
      </c>
      <c r="D2392">
        <v>3</v>
      </c>
      <c r="E2392" s="6">
        <v>0</v>
      </c>
      <c r="F2392" s="9">
        <v>0</v>
      </c>
      <c r="G2392" s="6">
        <v>3090</v>
      </c>
      <c r="H2392" s="9">
        <f t="shared" si="37"/>
        <v>0</v>
      </c>
      <c r="I2392" s="6">
        <v>14432</v>
      </c>
      <c r="J2392" s="6">
        <f>VLOOKUP(Table1[[#This Row],[Province]],[1]Sheet1!$A$3:$K$37,7,FALSE)</f>
        <v>5001700</v>
      </c>
      <c r="K2392">
        <v>0</v>
      </c>
      <c r="L2392" s="4">
        <v>0.278781</v>
      </c>
      <c r="M2392" s="4">
        <v>111.475285</v>
      </c>
      <c r="N2392" s="13">
        <v>5.07</v>
      </c>
      <c r="P2392"/>
      <c r="Q2392" s="12"/>
      <c r="R2392" s="12"/>
    </row>
    <row r="2393" spans="1:18" x14ac:dyDescent="0.2">
      <c r="A2393">
        <v>20</v>
      </c>
      <c r="B2393" t="s">
        <v>12</v>
      </c>
      <c r="C2393">
        <v>2022</v>
      </c>
      <c r="D2393">
        <v>4</v>
      </c>
      <c r="E2393" s="6">
        <v>0</v>
      </c>
      <c r="F2393" s="9">
        <v>0</v>
      </c>
      <c r="G2393" s="6">
        <v>6669</v>
      </c>
      <c r="H2393" s="9">
        <f t="shared" si="37"/>
        <v>0</v>
      </c>
      <c r="I2393" s="6">
        <v>14584</v>
      </c>
      <c r="J2393" s="6">
        <f>VLOOKUP(Table1[[#This Row],[Province]],[1]Sheet1!$A$3:$K$37,7,FALSE)</f>
        <v>5001700</v>
      </c>
      <c r="K2393">
        <v>1</v>
      </c>
      <c r="L2393" s="4">
        <v>0.278781</v>
      </c>
      <c r="M2393" s="4">
        <v>111.475285</v>
      </c>
      <c r="N2393" s="13">
        <v>5.07</v>
      </c>
      <c r="P2393"/>
      <c r="Q2393" s="12"/>
      <c r="R2393" s="12"/>
    </row>
    <row r="2394" spans="1:18" x14ac:dyDescent="0.2">
      <c r="A2394">
        <v>20</v>
      </c>
      <c r="B2394" t="s">
        <v>12</v>
      </c>
      <c r="C2394">
        <v>2022</v>
      </c>
      <c r="D2394">
        <v>5</v>
      </c>
      <c r="E2394" s="6">
        <v>0</v>
      </c>
      <c r="F2394" s="9">
        <v>0</v>
      </c>
      <c r="G2394" s="6">
        <v>3188</v>
      </c>
      <c r="H2394" s="9">
        <f t="shared" si="37"/>
        <v>0</v>
      </c>
      <c r="I2394" s="6">
        <v>14300</v>
      </c>
      <c r="J2394" s="6">
        <f>VLOOKUP(Table1[[#This Row],[Province]],[1]Sheet1!$A$3:$K$37,7,FALSE)</f>
        <v>5001700</v>
      </c>
      <c r="K2394">
        <v>0</v>
      </c>
      <c r="L2394" s="4">
        <v>0.278781</v>
      </c>
      <c r="M2394" s="4">
        <v>111.475285</v>
      </c>
      <c r="N2394" s="13">
        <v>5.07</v>
      </c>
      <c r="P2394"/>
      <c r="Q2394" s="12"/>
      <c r="R2394" s="12"/>
    </row>
    <row r="2395" spans="1:18" x14ac:dyDescent="0.2">
      <c r="A2395">
        <v>20</v>
      </c>
      <c r="B2395" t="s">
        <v>12</v>
      </c>
      <c r="C2395">
        <v>2022</v>
      </c>
      <c r="D2395">
        <v>6</v>
      </c>
      <c r="E2395" s="6">
        <v>0</v>
      </c>
      <c r="F2395" s="9">
        <v>0</v>
      </c>
      <c r="G2395" s="6">
        <v>6040</v>
      </c>
      <c r="H2395" s="9">
        <f t="shared" si="37"/>
        <v>0</v>
      </c>
      <c r="I2395" s="6">
        <v>14376</v>
      </c>
      <c r="J2395" s="6">
        <f>VLOOKUP(Table1[[#This Row],[Province]],[1]Sheet1!$A$3:$K$37,7,FALSE)</f>
        <v>5001700</v>
      </c>
      <c r="K2395">
        <v>0</v>
      </c>
      <c r="L2395" s="4">
        <v>0.278781</v>
      </c>
      <c r="M2395" s="4">
        <v>111.475285</v>
      </c>
      <c r="N2395" s="13">
        <v>5.07</v>
      </c>
      <c r="P2395"/>
      <c r="Q2395" s="12"/>
      <c r="R2395" s="12"/>
    </row>
    <row r="2396" spans="1:18" x14ac:dyDescent="0.2">
      <c r="A2396">
        <v>20</v>
      </c>
      <c r="B2396" t="s">
        <v>12</v>
      </c>
      <c r="C2396">
        <v>2022</v>
      </c>
      <c r="D2396">
        <v>7</v>
      </c>
      <c r="E2396" s="6">
        <v>0</v>
      </c>
      <c r="F2396" s="9">
        <v>0</v>
      </c>
      <c r="G2396" s="6">
        <v>4359</v>
      </c>
      <c r="H2396" s="9">
        <f t="shared" si="37"/>
        <v>0</v>
      </c>
      <c r="I2396" s="6">
        <v>14248</v>
      </c>
      <c r="J2396" s="6">
        <f>VLOOKUP(Table1[[#This Row],[Province]],[1]Sheet1!$A$3:$K$37,7,FALSE)</f>
        <v>5001700</v>
      </c>
      <c r="K2396">
        <v>0</v>
      </c>
      <c r="L2396" s="4">
        <v>0.278781</v>
      </c>
      <c r="M2396" s="4">
        <v>111.475285</v>
      </c>
      <c r="N2396" s="13">
        <v>5.07</v>
      </c>
      <c r="P2396"/>
      <c r="Q2396" s="12"/>
      <c r="R2396" s="12"/>
    </row>
    <row r="2397" spans="1:18" x14ac:dyDescent="0.2">
      <c r="A2397">
        <v>20</v>
      </c>
      <c r="B2397" t="s">
        <v>12</v>
      </c>
      <c r="C2397">
        <v>2022</v>
      </c>
      <c r="D2397">
        <v>8</v>
      </c>
      <c r="E2397" s="6">
        <v>0</v>
      </c>
      <c r="F2397" s="9">
        <v>0</v>
      </c>
      <c r="G2397" s="6">
        <v>2580</v>
      </c>
      <c r="H2397" s="9">
        <f t="shared" si="37"/>
        <v>0</v>
      </c>
      <c r="I2397" s="6">
        <v>14173</v>
      </c>
      <c r="J2397" s="6">
        <f>VLOOKUP(Table1[[#This Row],[Province]],[1]Sheet1!$A$3:$K$37,7,FALSE)</f>
        <v>5001700</v>
      </c>
      <c r="K2397">
        <v>0</v>
      </c>
      <c r="L2397" s="4">
        <v>0.278781</v>
      </c>
      <c r="M2397" s="4">
        <v>111.475285</v>
      </c>
      <c r="N2397" s="13">
        <v>5.07</v>
      </c>
      <c r="P2397"/>
      <c r="Q2397" s="12"/>
      <c r="R2397" s="12"/>
    </row>
    <row r="2398" spans="1:18" x14ac:dyDescent="0.2">
      <c r="A2398">
        <v>20</v>
      </c>
      <c r="B2398" t="s">
        <v>12</v>
      </c>
      <c r="C2398">
        <v>2022</v>
      </c>
      <c r="D2398">
        <v>9</v>
      </c>
      <c r="E2398" s="6">
        <v>0</v>
      </c>
      <c r="F2398" s="9">
        <v>0</v>
      </c>
      <c r="G2398" s="6">
        <v>2250</v>
      </c>
      <c r="H2398" s="9">
        <f t="shared" si="37"/>
        <v>0</v>
      </c>
      <c r="I2398" s="6">
        <v>13570</v>
      </c>
      <c r="J2398" s="6">
        <f>VLOOKUP(Table1[[#This Row],[Province]],[1]Sheet1!$A$3:$K$37,7,FALSE)</f>
        <v>5001700</v>
      </c>
      <c r="K2398">
        <v>0</v>
      </c>
      <c r="L2398" s="4">
        <v>0.278781</v>
      </c>
      <c r="M2398" s="4">
        <v>111.475285</v>
      </c>
      <c r="N2398" s="13">
        <v>5.07</v>
      </c>
      <c r="P2398"/>
      <c r="Q2398" s="12"/>
      <c r="R2398" s="12"/>
    </row>
    <row r="2399" spans="1:18" x14ac:dyDescent="0.2">
      <c r="A2399">
        <v>20</v>
      </c>
      <c r="B2399" t="s">
        <v>12</v>
      </c>
      <c r="C2399">
        <v>2022</v>
      </c>
      <c r="D2399">
        <v>10</v>
      </c>
      <c r="E2399" s="6">
        <v>0</v>
      </c>
      <c r="F2399" s="9">
        <v>0</v>
      </c>
      <c r="G2399" s="6">
        <v>1425</v>
      </c>
      <c r="H2399" s="9">
        <f t="shared" si="37"/>
        <v>0</v>
      </c>
      <c r="I2399" s="6">
        <v>13566</v>
      </c>
      <c r="J2399" s="6">
        <f>VLOOKUP(Table1[[#This Row],[Province]],[1]Sheet1!$A$3:$K$37,7,FALSE)</f>
        <v>5001700</v>
      </c>
      <c r="K2399">
        <v>0</v>
      </c>
      <c r="L2399" s="4">
        <v>0.278781</v>
      </c>
      <c r="M2399" s="4">
        <v>111.475285</v>
      </c>
      <c r="N2399" s="13">
        <v>5.07</v>
      </c>
      <c r="P2399"/>
      <c r="Q2399" s="12"/>
      <c r="R2399" s="12"/>
    </row>
    <row r="2400" spans="1:18" x14ac:dyDescent="0.2">
      <c r="A2400">
        <v>20</v>
      </c>
      <c r="B2400" t="s">
        <v>12</v>
      </c>
      <c r="C2400">
        <v>2022</v>
      </c>
      <c r="D2400">
        <v>11</v>
      </c>
      <c r="E2400" s="6">
        <v>0</v>
      </c>
      <c r="F2400" s="9">
        <v>0</v>
      </c>
      <c r="G2400" s="6">
        <v>442</v>
      </c>
      <c r="H2400" s="9">
        <f t="shared" si="37"/>
        <v>0</v>
      </c>
      <c r="I2400" s="6">
        <v>14200</v>
      </c>
      <c r="J2400" s="6">
        <f>VLOOKUP(Table1[[#This Row],[Province]],[1]Sheet1!$A$3:$K$37,7,FALSE)</f>
        <v>5001700</v>
      </c>
      <c r="K2400">
        <v>0</v>
      </c>
      <c r="L2400" s="4">
        <v>0.278781</v>
      </c>
      <c r="M2400" s="4">
        <v>111.475285</v>
      </c>
      <c r="N2400" s="13">
        <v>5.07</v>
      </c>
      <c r="P2400"/>
      <c r="Q2400" s="12"/>
      <c r="R2400" s="12"/>
    </row>
    <row r="2401" spans="1:18" x14ac:dyDescent="0.2">
      <c r="A2401">
        <v>20</v>
      </c>
      <c r="B2401" t="s">
        <v>12</v>
      </c>
      <c r="C2401">
        <v>2022</v>
      </c>
      <c r="D2401">
        <v>12</v>
      </c>
      <c r="E2401" s="6">
        <v>0</v>
      </c>
      <c r="F2401" s="9">
        <v>0</v>
      </c>
      <c r="G2401" s="6">
        <v>2973</v>
      </c>
      <c r="H2401" s="9">
        <f t="shared" si="37"/>
        <v>0</v>
      </c>
      <c r="I2401" s="6">
        <v>14218</v>
      </c>
      <c r="J2401" s="6">
        <f>VLOOKUP(Table1[[#This Row],[Province]],[1]Sheet1!$A$3:$K$37,7,FALSE)</f>
        <v>5001700</v>
      </c>
      <c r="K2401">
        <v>1</v>
      </c>
      <c r="L2401" s="4">
        <v>0.278781</v>
      </c>
      <c r="M2401" s="4">
        <v>111.475285</v>
      </c>
      <c r="N2401" s="13">
        <v>5.07</v>
      </c>
      <c r="P2401"/>
      <c r="Q2401" s="12"/>
      <c r="R2401" s="12"/>
    </row>
    <row r="2402" spans="1:18" x14ac:dyDescent="0.2">
      <c r="A2402">
        <v>21</v>
      </c>
      <c r="B2402" t="s">
        <v>14</v>
      </c>
      <c r="C2402">
        <v>2013</v>
      </c>
      <c r="D2402">
        <v>1</v>
      </c>
      <c r="E2402" s="4">
        <v>0</v>
      </c>
      <c r="F2402" s="9">
        <v>0</v>
      </c>
      <c r="G2402" s="6">
        <v>1622</v>
      </c>
      <c r="H2402" s="9">
        <f t="shared" si="37"/>
        <v>0</v>
      </c>
      <c r="I2402" s="6">
        <v>11997</v>
      </c>
      <c r="J2402" s="6">
        <f>VLOOKUP(Table1[[#This Row],[Province]],[1]Sheet1!$A$3:$K$37,7,FALSE)</f>
        <v>2660200</v>
      </c>
      <c r="K2402">
        <v>0</v>
      </c>
      <c r="L2402" s="4">
        <v>1.6814880000000001</v>
      </c>
      <c r="M2402" s="4">
        <v>113.382355</v>
      </c>
      <c r="N2402" s="6"/>
      <c r="P2402"/>
      <c r="Q2402" s="12"/>
      <c r="R2402" s="12"/>
    </row>
    <row r="2403" spans="1:18" x14ac:dyDescent="0.2">
      <c r="A2403">
        <v>21</v>
      </c>
      <c r="B2403" t="s">
        <v>14</v>
      </c>
      <c r="C2403">
        <v>2013</v>
      </c>
      <c r="D2403">
        <v>2</v>
      </c>
      <c r="E2403" s="4">
        <v>0</v>
      </c>
      <c r="F2403" s="9">
        <v>0</v>
      </c>
      <c r="G2403" s="6">
        <v>1555</v>
      </c>
      <c r="H2403" s="9">
        <f t="shared" si="37"/>
        <v>0</v>
      </c>
      <c r="I2403" s="6">
        <v>11664</v>
      </c>
      <c r="J2403" s="6">
        <f>VLOOKUP(Table1[[#This Row],[Province]],[1]Sheet1!$A$3:$K$37,7,FALSE)</f>
        <v>2660200</v>
      </c>
      <c r="K2403">
        <v>0</v>
      </c>
      <c r="L2403" s="4">
        <v>1.6814880000000001</v>
      </c>
      <c r="M2403" s="4">
        <v>113.382355</v>
      </c>
      <c r="N2403" s="6"/>
      <c r="P2403"/>
      <c r="Q2403" s="12"/>
      <c r="R2403" s="12"/>
    </row>
    <row r="2404" spans="1:18" x14ac:dyDescent="0.2">
      <c r="A2404">
        <v>21</v>
      </c>
      <c r="B2404" t="s">
        <v>14</v>
      </c>
      <c r="C2404">
        <v>2013</v>
      </c>
      <c r="D2404">
        <v>3</v>
      </c>
      <c r="E2404" s="4">
        <v>0</v>
      </c>
      <c r="F2404" s="9">
        <v>0</v>
      </c>
      <c r="G2404" s="6">
        <v>1603</v>
      </c>
      <c r="H2404" s="9">
        <f t="shared" si="37"/>
        <v>0</v>
      </c>
      <c r="I2404" s="6">
        <v>11530</v>
      </c>
      <c r="J2404" s="6">
        <f>VLOOKUP(Table1[[#This Row],[Province]],[1]Sheet1!$A$3:$K$37,7,FALSE)</f>
        <v>2660200</v>
      </c>
      <c r="K2404">
        <v>0</v>
      </c>
      <c r="L2404" s="4">
        <v>1.6814880000000001</v>
      </c>
      <c r="M2404" s="4">
        <v>113.382355</v>
      </c>
      <c r="N2404" s="6"/>
      <c r="P2404"/>
      <c r="Q2404" s="12"/>
      <c r="R2404" s="12"/>
    </row>
    <row r="2405" spans="1:18" x14ac:dyDescent="0.2">
      <c r="A2405">
        <v>21</v>
      </c>
      <c r="B2405" t="s">
        <v>14</v>
      </c>
      <c r="C2405">
        <v>2013</v>
      </c>
      <c r="D2405">
        <v>4</v>
      </c>
      <c r="E2405" s="4">
        <v>0</v>
      </c>
      <c r="F2405" s="9">
        <v>0</v>
      </c>
      <c r="G2405" s="6">
        <v>2083</v>
      </c>
      <c r="H2405" s="9">
        <f t="shared" si="37"/>
        <v>0</v>
      </c>
      <c r="I2405" s="6">
        <v>12623</v>
      </c>
      <c r="J2405" s="6">
        <f>VLOOKUP(Table1[[#This Row],[Province]],[1]Sheet1!$A$3:$K$37,7,FALSE)</f>
        <v>2660200</v>
      </c>
      <c r="K2405">
        <v>0</v>
      </c>
      <c r="L2405" s="4">
        <v>1.6814880000000001</v>
      </c>
      <c r="M2405" s="4">
        <v>113.382355</v>
      </c>
      <c r="N2405" s="6"/>
      <c r="P2405"/>
      <c r="Q2405" s="12"/>
      <c r="R2405" s="12"/>
    </row>
    <row r="2406" spans="1:18" x14ac:dyDescent="0.2">
      <c r="A2406">
        <v>21</v>
      </c>
      <c r="B2406" t="s">
        <v>14</v>
      </c>
      <c r="C2406">
        <v>2013</v>
      </c>
      <c r="D2406">
        <v>5</v>
      </c>
      <c r="E2406" s="4">
        <v>0</v>
      </c>
      <c r="F2406" s="9">
        <v>0</v>
      </c>
      <c r="G2406" s="6">
        <v>2525</v>
      </c>
      <c r="H2406" s="9">
        <f t="shared" si="37"/>
        <v>0</v>
      </c>
      <c r="I2406" s="6">
        <v>12623</v>
      </c>
      <c r="J2406" s="6">
        <f>VLOOKUP(Table1[[#This Row],[Province]],[1]Sheet1!$A$3:$K$37,7,FALSE)</f>
        <v>2660200</v>
      </c>
      <c r="K2406">
        <v>0</v>
      </c>
      <c r="L2406" s="4">
        <v>1.6814880000000001</v>
      </c>
      <c r="M2406" s="4">
        <v>113.382355</v>
      </c>
      <c r="N2406" s="6"/>
      <c r="P2406"/>
      <c r="Q2406" s="12"/>
      <c r="R2406" s="12"/>
    </row>
    <row r="2407" spans="1:18" x14ac:dyDescent="0.2">
      <c r="A2407">
        <v>21</v>
      </c>
      <c r="B2407" t="s">
        <v>14</v>
      </c>
      <c r="C2407">
        <v>2013</v>
      </c>
      <c r="D2407">
        <v>6</v>
      </c>
      <c r="E2407" s="4">
        <v>0</v>
      </c>
      <c r="F2407" s="9">
        <v>0</v>
      </c>
      <c r="G2407" s="6">
        <v>2102</v>
      </c>
      <c r="H2407" s="9">
        <f t="shared" si="37"/>
        <v>0</v>
      </c>
      <c r="I2407" s="6">
        <v>12621</v>
      </c>
      <c r="J2407" s="6">
        <f>VLOOKUP(Table1[[#This Row],[Province]],[1]Sheet1!$A$3:$K$37,7,FALSE)</f>
        <v>2660200</v>
      </c>
      <c r="K2407">
        <v>0</v>
      </c>
      <c r="L2407" s="4">
        <v>1.6814880000000001</v>
      </c>
      <c r="M2407" s="4">
        <v>113.382355</v>
      </c>
      <c r="N2407" s="6"/>
      <c r="P2407"/>
      <c r="Q2407" s="12"/>
      <c r="R2407" s="12"/>
    </row>
    <row r="2408" spans="1:18" x14ac:dyDescent="0.2">
      <c r="A2408">
        <v>21</v>
      </c>
      <c r="B2408" t="s">
        <v>14</v>
      </c>
      <c r="C2408">
        <v>2013</v>
      </c>
      <c r="D2408">
        <v>7</v>
      </c>
      <c r="E2408" s="4">
        <v>0</v>
      </c>
      <c r="F2408" s="9">
        <v>0</v>
      </c>
      <c r="G2408" s="6">
        <v>3648</v>
      </c>
      <c r="H2408" s="9">
        <f t="shared" si="37"/>
        <v>0</v>
      </c>
      <c r="I2408" s="6">
        <v>13613</v>
      </c>
      <c r="J2408" s="6">
        <f>VLOOKUP(Table1[[#This Row],[Province]],[1]Sheet1!$A$3:$K$37,7,FALSE)</f>
        <v>2660200</v>
      </c>
      <c r="K2408">
        <v>1</v>
      </c>
      <c r="L2408" s="4">
        <v>1.6814880000000001</v>
      </c>
      <c r="M2408" s="4">
        <v>113.382355</v>
      </c>
      <c r="N2408" s="6"/>
      <c r="P2408"/>
      <c r="Q2408" s="12"/>
      <c r="R2408" s="12"/>
    </row>
    <row r="2409" spans="1:18" x14ac:dyDescent="0.2">
      <c r="A2409">
        <v>21</v>
      </c>
      <c r="B2409" t="s">
        <v>14</v>
      </c>
      <c r="C2409">
        <v>2013</v>
      </c>
      <c r="D2409">
        <v>8</v>
      </c>
      <c r="E2409" s="4">
        <v>0</v>
      </c>
      <c r="F2409" s="9">
        <v>0</v>
      </c>
      <c r="G2409" s="6">
        <v>1334</v>
      </c>
      <c r="H2409" s="9">
        <f t="shared" si="37"/>
        <v>0</v>
      </c>
      <c r="I2409" s="6">
        <v>12044</v>
      </c>
      <c r="J2409" s="6">
        <f>VLOOKUP(Table1[[#This Row],[Province]],[1]Sheet1!$A$3:$K$37,7,FALSE)</f>
        <v>2660200</v>
      </c>
      <c r="K2409">
        <v>0</v>
      </c>
      <c r="L2409" s="4">
        <v>1.6814880000000001</v>
      </c>
      <c r="M2409" s="4">
        <v>113.382355</v>
      </c>
      <c r="N2409" s="6"/>
      <c r="P2409"/>
      <c r="Q2409" s="12"/>
      <c r="R2409" s="12"/>
    </row>
    <row r="2410" spans="1:18" x14ac:dyDescent="0.2">
      <c r="A2410">
        <v>21</v>
      </c>
      <c r="B2410" t="s">
        <v>14</v>
      </c>
      <c r="C2410">
        <v>2013</v>
      </c>
      <c r="D2410">
        <v>9</v>
      </c>
      <c r="E2410" s="4">
        <v>0</v>
      </c>
      <c r="F2410" s="9">
        <v>0</v>
      </c>
      <c r="G2410" s="6">
        <v>2851</v>
      </c>
      <c r="H2410" s="9">
        <f t="shared" si="37"/>
        <v>0</v>
      </c>
      <c r="I2410" s="6">
        <v>12007</v>
      </c>
      <c r="J2410" s="6">
        <f>VLOOKUP(Table1[[#This Row],[Province]],[1]Sheet1!$A$3:$K$37,7,FALSE)</f>
        <v>2660200</v>
      </c>
      <c r="K2410">
        <v>0</v>
      </c>
      <c r="L2410" s="4">
        <v>1.6814880000000001</v>
      </c>
      <c r="M2410" s="4">
        <v>113.382355</v>
      </c>
      <c r="N2410" s="6"/>
      <c r="P2410"/>
      <c r="Q2410" s="12"/>
      <c r="R2410" s="12"/>
    </row>
    <row r="2411" spans="1:18" x14ac:dyDescent="0.2">
      <c r="A2411">
        <v>21</v>
      </c>
      <c r="B2411" t="s">
        <v>14</v>
      </c>
      <c r="C2411">
        <v>2013</v>
      </c>
      <c r="D2411">
        <v>10</v>
      </c>
      <c r="E2411" s="4">
        <v>0</v>
      </c>
      <c r="F2411" s="9">
        <v>0</v>
      </c>
      <c r="G2411" s="6">
        <v>2333</v>
      </c>
      <c r="H2411" s="9">
        <f t="shared" si="37"/>
        <v>0</v>
      </c>
      <c r="I2411" s="6">
        <v>11607</v>
      </c>
      <c r="J2411" s="6">
        <f>VLOOKUP(Table1[[#This Row],[Province]],[1]Sheet1!$A$3:$K$37,7,FALSE)</f>
        <v>2660200</v>
      </c>
      <c r="K2411">
        <v>0</v>
      </c>
      <c r="L2411" s="4">
        <v>1.6814880000000001</v>
      </c>
      <c r="M2411" s="4">
        <v>113.382355</v>
      </c>
      <c r="N2411" s="6"/>
      <c r="P2411"/>
      <c r="Q2411" s="12"/>
      <c r="R2411" s="12"/>
    </row>
    <row r="2412" spans="1:18" x14ac:dyDescent="0.2">
      <c r="A2412">
        <v>21</v>
      </c>
      <c r="B2412" t="s">
        <v>14</v>
      </c>
      <c r="C2412">
        <v>2013</v>
      </c>
      <c r="D2412">
        <v>11</v>
      </c>
      <c r="E2412" s="4">
        <v>0</v>
      </c>
      <c r="F2412" s="9">
        <v>0</v>
      </c>
      <c r="G2412" s="6">
        <v>1718</v>
      </c>
      <c r="H2412" s="9">
        <f t="shared" si="37"/>
        <v>0</v>
      </c>
      <c r="I2412" s="6">
        <v>11025</v>
      </c>
      <c r="J2412" s="6">
        <f>VLOOKUP(Table1[[#This Row],[Province]],[1]Sheet1!$A$3:$K$37,7,FALSE)</f>
        <v>2660200</v>
      </c>
      <c r="K2412">
        <v>0</v>
      </c>
      <c r="L2412" s="4">
        <v>1.6814880000000001</v>
      </c>
      <c r="M2412" s="4">
        <v>113.382355</v>
      </c>
      <c r="N2412" s="6"/>
      <c r="P2412"/>
      <c r="Q2412" s="12"/>
      <c r="R2412" s="12"/>
    </row>
    <row r="2413" spans="1:18" x14ac:dyDescent="0.2">
      <c r="A2413">
        <v>21</v>
      </c>
      <c r="B2413" t="s">
        <v>14</v>
      </c>
      <c r="C2413">
        <v>2013</v>
      </c>
      <c r="D2413">
        <v>12</v>
      </c>
      <c r="E2413" s="4">
        <v>0</v>
      </c>
      <c r="F2413" s="9">
        <v>0</v>
      </c>
      <c r="G2413" s="6">
        <v>2390</v>
      </c>
      <c r="H2413" s="9">
        <f t="shared" si="37"/>
        <v>0</v>
      </c>
      <c r="I2413" s="6">
        <v>10895</v>
      </c>
      <c r="J2413" s="6">
        <f>VLOOKUP(Table1[[#This Row],[Province]],[1]Sheet1!$A$3:$K$37,7,FALSE)</f>
        <v>2660200</v>
      </c>
      <c r="K2413">
        <v>1</v>
      </c>
      <c r="L2413" s="4">
        <v>1.6814880000000001</v>
      </c>
      <c r="M2413" s="4">
        <v>113.382355</v>
      </c>
      <c r="N2413" s="6"/>
      <c r="P2413"/>
      <c r="Q2413" s="12"/>
      <c r="R2413" s="12"/>
    </row>
    <row r="2414" spans="1:18" x14ac:dyDescent="0.2">
      <c r="A2414">
        <v>21</v>
      </c>
      <c r="B2414" t="s">
        <v>14</v>
      </c>
      <c r="C2414">
        <v>2014</v>
      </c>
      <c r="D2414">
        <v>1</v>
      </c>
      <c r="E2414" s="4">
        <v>0</v>
      </c>
      <c r="F2414" s="9">
        <v>0</v>
      </c>
      <c r="G2414" s="6">
        <v>1691</v>
      </c>
      <c r="H2414" s="9">
        <f t="shared" si="37"/>
        <v>0</v>
      </c>
      <c r="I2414" s="6">
        <v>10421</v>
      </c>
      <c r="J2414" s="6">
        <f>VLOOKUP(Table1[[#This Row],[Province]],[1]Sheet1!$A$3:$K$37,7,FALSE)</f>
        <v>2660200</v>
      </c>
      <c r="K2414">
        <v>0</v>
      </c>
      <c r="L2414" s="4">
        <v>1.6814880000000001</v>
      </c>
      <c r="M2414" s="4">
        <v>113.382355</v>
      </c>
      <c r="N2414" s="6"/>
      <c r="P2414"/>
      <c r="Q2414" s="12"/>
      <c r="R2414" s="12"/>
    </row>
    <row r="2415" spans="1:18" x14ac:dyDescent="0.2">
      <c r="A2415">
        <v>21</v>
      </c>
      <c r="B2415" t="s">
        <v>14</v>
      </c>
      <c r="C2415">
        <v>2014</v>
      </c>
      <c r="D2415">
        <v>2</v>
      </c>
      <c r="E2415" s="4">
        <v>0</v>
      </c>
      <c r="F2415" s="9">
        <v>0</v>
      </c>
      <c r="G2415" s="6">
        <v>1508</v>
      </c>
      <c r="H2415" s="9">
        <f t="shared" si="37"/>
        <v>0</v>
      </c>
      <c r="I2415" s="6">
        <v>10058</v>
      </c>
      <c r="J2415" s="6">
        <f>VLOOKUP(Table1[[#This Row],[Province]],[1]Sheet1!$A$3:$K$37,7,FALSE)</f>
        <v>2660200</v>
      </c>
      <c r="K2415">
        <v>0</v>
      </c>
      <c r="L2415" s="4">
        <v>1.6814880000000001</v>
      </c>
      <c r="M2415" s="4">
        <v>113.382355</v>
      </c>
      <c r="N2415" s="6"/>
      <c r="P2415"/>
      <c r="Q2415" s="12"/>
      <c r="R2415" s="12"/>
    </row>
    <row r="2416" spans="1:18" x14ac:dyDescent="0.2">
      <c r="A2416">
        <v>21</v>
      </c>
      <c r="B2416" t="s">
        <v>14</v>
      </c>
      <c r="C2416">
        <v>2014</v>
      </c>
      <c r="D2416">
        <v>3</v>
      </c>
      <c r="E2416" s="4">
        <v>0</v>
      </c>
      <c r="F2416" s="9">
        <v>0</v>
      </c>
      <c r="G2416" s="6">
        <v>1694</v>
      </c>
      <c r="H2416" s="9">
        <f t="shared" si="37"/>
        <v>0</v>
      </c>
      <c r="I2416" s="6">
        <v>10042</v>
      </c>
      <c r="J2416" s="6">
        <f>VLOOKUP(Table1[[#This Row],[Province]],[1]Sheet1!$A$3:$K$37,7,FALSE)</f>
        <v>2660200</v>
      </c>
      <c r="K2416">
        <v>0</v>
      </c>
      <c r="L2416" s="4">
        <v>1.6814880000000001</v>
      </c>
      <c r="M2416" s="4">
        <v>113.382355</v>
      </c>
      <c r="N2416" s="6"/>
      <c r="P2416"/>
      <c r="Q2416" s="12"/>
      <c r="R2416" s="12"/>
    </row>
    <row r="2417" spans="1:18" x14ac:dyDescent="0.2">
      <c r="A2417">
        <v>21</v>
      </c>
      <c r="B2417" t="s">
        <v>14</v>
      </c>
      <c r="C2417">
        <v>2014</v>
      </c>
      <c r="D2417">
        <v>4</v>
      </c>
      <c r="E2417" s="4">
        <v>0</v>
      </c>
      <c r="F2417" s="9">
        <v>0</v>
      </c>
      <c r="G2417" s="6">
        <v>2182</v>
      </c>
      <c r="H2417" s="9">
        <f t="shared" si="37"/>
        <v>0</v>
      </c>
      <c r="I2417" s="6">
        <v>10042</v>
      </c>
      <c r="J2417" s="6">
        <f>VLOOKUP(Table1[[#This Row],[Province]],[1]Sheet1!$A$3:$K$37,7,FALSE)</f>
        <v>2660200</v>
      </c>
      <c r="K2417">
        <v>0</v>
      </c>
      <c r="L2417" s="4">
        <v>1.6814880000000001</v>
      </c>
      <c r="M2417" s="4">
        <v>113.382355</v>
      </c>
      <c r="N2417" s="6"/>
      <c r="P2417"/>
      <c r="Q2417" s="12"/>
      <c r="R2417" s="12"/>
    </row>
    <row r="2418" spans="1:18" x14ac:dyDescent="0.2">
      <c r="A2418">
        <v>21</v>
      </c>
      <c r="B2418" t="s">
        <v>14</v>
      </c>
      <c r="C2418">
        <v>2014</v>
      </c>
      <c r="D2418">
        <v>5</v>
      </c>
      <c r="E2418" s="4">
        <v>0</v>
      </c>
      <c r="F2418" s="9">
        <v>0</v>
      </c>
      <c r="G2418" s="6">
        <v>2443</v>
      </c>
      <c r="H2418" s="9">
        <f t="shared" si="37"/>
        <v>0</v>
      </c>
      <c r="I2418" s="6">
        <v>10028</v>
      </c>
      <c r="J2418" s="6">
        <f>VLOOKUP(Table1[[#This Row],[Province]],[1]Sheet1!$A$3:$K$37,7,FALSE)</f>
        <v>2660200</v>
      </c>
      <c r="K2418">
        <v>0</v>
      </c>
      <c r="L2418" s="4">
        <v>1.6814880000000001</v>
      </c>
      <c r="M2418" s="4">
        <v>113.382355</v>
      </c>
      <c r="N2418" s="6"/>
      <c r="P2418"/>
      <c r="Q2418" s="12"/>
      <c r="R2418" s="12"/>
    </row>
    <row r="2419" spans="1:18" x14ac:dyDescent="0.2">
      <c r="A2419">
        <v>21</v>
      </c>
      <c r="B2419" t="s">
        <v>14</v>
      </c>
      <c r="C2419">
        <v>2014</v>
      </c>
      <c r="D2419">
        <v>6</v>
      </c>
      <c r="E2419" s="4">
        <v>0</v>
      </c>
      <c r="F2419" s="9">
        <v>0</v>
      </c>
      <c r="G2419" s="6">
        <v>3477</v>
      </c>
      <c r="H2419" s="9">
        <f t="shared" si="37"/>
        <v>0</v>
      </c>
      <c r="I2419" s="6">
        <v>10155</v>
      </c>
      <c r="J2419" s="6">
        <f>VLOOKUP(Table1[[#This Row],[Province]],[1]Sheet1!$A$3:$K$37,7,FALSE)</f>
        <v>2660200</v>
      </c>
      <c r="K2419">
        <v>1</v>
      </c>
      <c r="L2419" s="4">
        <v>1.6814880000000001</v>
      </c>
      <c r="M2419" s="4">
        <v>113.382355</v>
      </c>
      <c r="N2419" s="6"/>
      <c r="P2419"/>
      <c r="Q2419" s="12"/>
      <c r="R2419" s="12"/>
    </row>
    <row r="2420" spans="1:18" x14ac:dyDescent="0.2">
      <c r="A2420">
        <v>21</v>
      </c>
      <c r="B2420" t="s">
        <v>14</v>
      </c>
      <c r="C2420">
        <v>2014</v>
      </c>
      <c r="D2420">
        <v>7</v>
      </c>
      <c r="E2420" s="4">
        <v>0</v>
      </c>
      <c r="F2420" s="9">
        <v>0</v>
      </c>
      <c r="G2420" s="6">
        <v>2182</v>
      </c>
      <c r="H2420" s="9">
        <f t="shared" si="37"/>
        <v>0</v>
      </c>
      <c r="I2420" s="6">
        <v>10176</v>
      </c>
      <c r="J2420" s="6">
        <f>VLOOKUP(Table1[[#This Row],[Province]],[1]Sheet1!$A$3:$K$37,7,FALSE)</f>
        <v>2660200</v>
      </c>
      <c r="K2420">
        <v>0</v>
      </c>
      <c r="L2420" s="4">
        <v>1.6814880000000001</v>
      </c>
      <c r="M2420" s="4">
        <v>113.382355</v>
      </c>
      <c r="N2420" s="6"/>
      <c r="P2420"/>
      <c r="Q2420" s="12"/>
      <c r="R2420" s="12"/>
    </row>
    <row r="2421" spans="1:18" x14ac:dyDescent="0.2">
      <c r="A2421">
        <v>21</v>
      </c>
      <c r="B2421" t="s">
        <v>14</v>
      </c>
      <c r="C2421">
        <v>2014</v>
      </c>
      <c r="D2421">
        <v>8</v>
      </c>
      <c r="E2421" s="4">
        <v>0</v>
      </c>
      <c r="F2421" s="9">
        <v>0</v>
      </c>
      <c r="G2421" s="6">
        <v>2103</v>
      </c>
      <c r="H2421" s="9">
        <f t="shared" si="37"/>
        <v>0</v>
      </c>
      <c r="I2421" s="6">
        <v>10142</v>
      </c>
      <c r="J2421" s="6">
        <f>VLOOKUP(Table1[[#This Row],[Province]],[1]Sheet1!$A$3:$K$37,7,FALSE)</f>
        <v>2660200</v>
      </c>
      <c r="K2421">
        <v>0</v>
      </c>
      <c r="L2421" s="4">
        <v>1.6814880000000001</v>
      </c>
      <c r="M2421" s="4">
        <v>113.382355</v>
      </c>
      <c r="N2421" s="6"/>
      <c r="P2421"/>
      <c r="Q2421" s="12"/>
      <c r="R2421" s="12"/>
    </row>
    <row r="2422" spans="1:18" x14ac:dyDescent="0.2">
      <c r="A2422">
        <v>21</v>
      </c>
      <c r="B2422" t="s">
        <v>14</v>
      </c>
      <c r="C2422">
        <v>2014</v>
      </c>
      <c r="D2422">
        <v>9</v>
      </c>
      <c r="E2422" s="4">
        <v>0</v>
      </c>
      <c r="F2422" s="9">
        <v>0</v>
      </c>
      <c r="G2422" s="6">
        <v>2117</v>
      </c>
      <c r="H2422" s="9">
        <f t="shared" si="37"/>
        <v>0</v>
      </c>
      <c r="I2422" s="6">
        <v>10152</v>
      </c>
      <c r="J2422" s="6">
        <f>VLOOKUP(Table1[[#This Row],[Province]],[1]Sheet1!$A$3:$K$37,8,FALSE)</f>
        <v>2714900</v>
      </c>
      <c r="K2422">
        <v>0</v>
      </c>
      <c r="L2422" s="4">
        <v>1.6814880000000001</v>
      </c>
      <c r="M2422" s="4">
        <v>113.382355</v>
      </c>
      <c r="N2422" s="6"/>
      <c r="P2422"/>
      <c r="Q2422" s="12"/>
      <c r="R2422" s="12"/>
    </row>
    <row r="2423" spans="1:18" x14ac:dyDescent="0.2">
      <c r="A2423">
        <v>21</v>
      </c>
      <c r="B2423" t="s">
        <v>14</v>
      </c>
      <c r="C2423">
        <v>2014</v>
      </c>
      <c r="D2423">
        <v>10</v>
      </c>
      <c r="E2423" s="4">
        <v>0</v>
      </c>
      <c r="F2423" s="9">
        <v>0</v>
      </c>
      <c r="G2423" s="6">
        <v>3140</v>
      </c>
      <c r="H2423" s="9">
        <f t="shared" si="37"/>
        <v>0</v>
      </c>
      <c r="I2423" s="6">
        <v>10109</v>
      </c>
      <c r="J2423" s="6">
        <f>VLOOKUP(Table1[[#This Row],[Province]],[1]Sheet1!$A$3:$K$37,8,FALSE)</f>
        <v>2714900</v>
      </c>
      <c r="K2423">
        <v>0</v>
      </c>
      <c r="L2423" s="4">
        <v>1.6814880000000001</v>
      </c>
      <c r="M2423" s="4">
        <v>113.382355</v>
      </c>
      <c r="N2423" s="6"/>
      <c r="P2423"/>
      <c r="Q2423" s="12"/>
      <c r="R2423" s="12"/>
    </row>
    <row r="2424" spans="1:18" x14ac:dyDescent="0.2">
      <c r="A2424">
        <v>21</v>
      </c>
      <c r="B2424" t="s">
        <v>14</v>
      </c>
      <c r="C2424">
        <v>2014</v>
      </c>
      <c r="D2424">
        <v>11</v>
      </c>
      <c r="E2424" s="4">
        <v>0</v>
      </c>
      <c r="F2424" s="9">
        <v>0</v>
      </c>
      <c r="G2424" s="6">
        <v>2506</v>
      </c>
      <c r="H2424" s="9">
        <f t="shared" si="37"/>
        <v>0</v>
      </c>
      <c r="I2424" s="6">
        <v>9992</v>
      </c>
      <c r="J2424" s="6">
        <f>VLOOKUP(Table1[[#This Row],[Province]],[1]Sheet1!$A$3:$K$37,8,FALSE)</f>
        <v>2714900</v>
      </c>
      <c r="K2424">
        <v>0</v>
      </c>
      <c r="L2424" s="4">
        <v>1.6814880000000001</v>
      </c>
      <c r="M2424" s="4">
        <v>113.382355</v>
      </c>
      <c r="N2424" s="6"/>
      <c r="P2424"/>
      <c r="Q2424" s="12"/>
      <c r="R2424" s="12"/>
    </row>
    <row r="2425" spans="1:18" x14ac:dyDescent="0.2">
      <c r="A2425">
        <v>21</v>
      </c>
      <c r="B2425" t="s">
        <v>14</v>
      </c>
      <c r="C2425">
        <v>2014</v>
      </c>
      <c r="D2425">
        <v>12</v>
      </c>
      <c r="E2425" s="4">
        <v>0</v>
      </c>
      <c r="F2425" s="9">
        <v>0</v>
      </c>
      <c r="G2425" s="6">
        <v>2922</v>
      </c>
      <c r="H2425" s="9">
        <f t="shared" si="37"/>
        <v>0</v>
      </c>
      <c r="I2425" s="6">
        <v>10127</v>
      </c>
      <c r="J2425" s="6">
        <f>VLOOKUP(Table1[[#This Row],[Province]],[1]Sheet1!$A$3:$K$37,8,FALSE)</f>
        <v>2714900</v>
      </c>
      <c r="K2425">
        <v>1</v>
      </c>
      <c r="L2425" s="4">
        <v>1.6814880000000001</v>
      </c>
      <c r="M2425" s="4">
        <v>113.382355</v>
      </c>
      <c r="N2425" s="6"/>
      <c r="P2425"/>
      <c r="Q2425" s="12"/>
      <c r="R2425" s="12"/>
    </row>
    <row r="2426" spans="1:18" x14ac:dyDescent="0.2">
      <c r="A2426">
        <v>21</v>
      </c>
      <c r="B2426" t="s">
        <v>14</v>
      </c>
      <c r="C2426">
        <v>2015</v>
      </c>
      <c r="D2426">
        <v>1</v>
      </c>
      <c r="E2426" s="4">
        <v>0</v>
      </c>
      <c r="F2426" s="9">
        <v>0</v>
      </c>
      <c r="G2426" s="6">
        <v>1451</v>
      </c>
      <c r="H2426" s="9">
        <f t="shared" si="37"/>
        <v>0</v>
      </c>
      <c r="I2426" s="6">
        <v>10071</v>
      </c>
      <c r="J2426" s="6">
        <f>VLOOKUP(Table1[[#This Row],[Province]],[1]Sheet1!$A$3:$K$37,8,FALSE)</f>
        <v>2714900</v>
      </c>
      <c r="K2426">
        <v>0</v>
      </c>
      <c r="L2426" s="4">
        <v>1.6814880000000001</v>
      </c>
      <c r="M2426" s="4">
        <v>113.382355</v>
      </c>
      <c r="N2426" s="6"/>
      <c r="P2426"/>
      <c r="Q2426" s="12"/>
      <c r="R2426" s="12"/>
    </row>
    <row r="2427" spans="1:18" x14ac:dyDescent="0.2">
      <c r="A2427">
        <v>21</v>
      </c>
      <c r="B2427" t="s">
        <v>14</v>
      </c>
      <c r="C2427">
        <v>2015</v>
      </c>
      <c r="D2427">
        <v>2</v>
      </c>
      <c r="E2427" s="4">
        <v>0</v>
      </c>
      <c r="F2427" s="9">
        <v>0</v>
      </c>
      <c r="G2427" s="6">
        <v>3659</v>
      </c>
      <c r="H2427" s="9">
        <f t="shared" si="37"/>
        <v>0</v>
      </c>
      <c r="I2427" s="6">
        <v>10472</v>
      </c>
      <c r="J2427" s="6">
        <f>VLOOKUP(Table1[[#This Row],[Province]],[1]Sheet1!$A$3:$K$37,8,FALSE)</f>
        <v>2714900</v>
      </c>
      <c r="K2427">
        <v>0</v>
      </c>
      <c r="L2427" s="4">
        <v>1.6814880000000001</v>
      </c>
      <c r="M2427" s="4">
        <v>113.382355</v>
      </c>
      <c r="N2427" s="6"/>
      <c r="P2427"/>
      <c r="Q2427" s="12"/>
      <c r="R2427" s="12"/>
    </row>
    <row r="2428" spans="1:18" x14ac:dyDescent="0.2">
      <c r="A2428">
        <v>21</v>
      </c>
      <c r="B2428" t="s">
        <v>14</v>
      </c>
      <c r="C2428">
        <v>2015</v>
      </c>
      <c r="D2428">
        <v>3</v>
      </c>
      <c r="E2428" s="4">
        <v>0</v>
      </c>
      <c r="F2428" s="9">
        <v>0</v>
      </c>
      <c r="G2428" s="6">
        <v>1660</v>
      </c>
      <c r="H2428" s="9">
        <f t="shared" si="37"/>
        <v>0</v>
      </c>
      <c r="I2428" s="6">
        <v>10644</v>
      </c>
      <c r="J2428" s="6">
        <f>VLOOKUP(Table1[[#This Row],[Province]],[1]Sheet1!$A$3:$K$37,8,FALSE)</f>
        <v>2714900</v>
      </c>
      <c r="K2428">
        <v>0</v>
      </c>
      <c r="L2428" s="4">
        <v>1.6814880000000001</v>
      </c>
      <c r="M2428" s="4">
        <v>113.382355</v>
      </c>
      <c r="N2428" s="6"/>
      <c r="P2428"/>
      <c r="Q2428" s="12"/>
      <c r="R2428" s="12"/>
    </row>
    <row r="2429" spans="1:18" x14ac:dyDescent="0.2">
      <c r="A2429">
        <v>21</v>
      </c>
      <c r="B2429" t="s">
        <v>14</v>
      </c>
      <c r="C2429">
        <v>2015</v>
      </c>
      <c r="D2429">
        <v>4</v>
      </c>
      <c r="E2429" s="4">
        <v>0</v>
      </c>
      <c r="F2429" s="9">
        <v>0</v>
      </c>
      <c r="G2429" s="6">
        <v>2751</v>
      </c>
      <c r="H2429" s="9">
        <f t="shared" si="37"/>
        <v>0</v>
      </c>
      <c r="I2429" s="6">
        <v>11619</v>
      </c>
      <c r="J2429" s="6">
        <f>VLOOKUP(Table1[[#This Row],[Province]],[1]Sheet1!$A$3:$K$37,8,FALSE)</f>
        <v>2714900</v>
      </c>
      <c r="K2429">
        <v>0</v>
      </c>
      <c r="L2429" s="4">
        <v>1.6814880000000001</v>
      </c>
      <c r="M2429" s="4">
        <v>113.382355</v>
      </c>
      <c r="N2429" s="6"/>
      <c r="P2429"/>
      <c r="Q2429" s="12"/>
      <c r="R2429" s="12"/>
    </row>
    <row r="2430" spans="1:18" x14ac:dyDescent="0.2">
      <c r="A2430">
        <v>21</v>
      </c>
      <c r="B2430" t="s">
        <v>14</v>
      </c>
      <c r="C2430">
        <v>2015</v>
      </c>
      <c r="D2430">
        <v>5</v>
      </c>
      <c r="E2430" s="4">
        <v>0</v>
      </c>
      <c r="F2430" s="9">
        <v>0</v>
      </c>
      <c r="G2430" s="6">
        <v>2636</v>
      </c>
      <c r="H2430" s="9">
        <f t="shared" si="37"/>
        <v>0</v>
      </c>
      <c r="I2430" s="6">
        <v>12356</v>
      </c>
      <c r="J2430" s="6">
        <f>VLOOKUP(Table1[[#This Row],[Province]],[1]Sheet1!$A$3:$K$37,8,FALSE)</f>
        <v>2714900</v>
      </c>
      <c r="K2430">
        <v>0</v>
      </c>
      <c r="L2430" s="4">
        <v>1.6814880000000001</v>
      </c>
      <c r="M2430" s="4">
        <v>113.382355</v>
      </c>
      <c r="N2430" s="6"/>
      <c r="P2430"/>
      <c r="Q2430" s="12"/>
      <c r="R2430" s="12"/>
    </row>
    <row r="2431" spans="1:18" x14ac:dyDescent="0.2">
      <c r="A2431">
        <v>21</v>
      </c>
      <c r="B2431" t="s">
        <v>14</v>
      </c>
      <c r="C2431">
        <v>2015</v>
      </c>
      <c r="D2431">
        <v>6</v>
      </c>
      <c r="E2431" s="4">
        <v>0</v>
      </c>
      <c r="F2431" s="9">
        <v>0</v>
      </c>
      <c r="G2431" s="6">
        <v>2995</v>
      </c>
      <c r="H2431" s="9">
        <f t="shared" si="37"/>
        <v>0</v>
      </c>
      <c r="I2431" s="6">
        <v>12984</v>
      </c>
      <c r="J2431" s="6">
        <f>VLOOKUP(Table1[[#This Row],[Province]],[1]Sheet1!$A$3:$K$37,8,FALSE)</f>
        <v>2714900</v>
      </c>
      <c r="K2431">
        <v>1</v>
      </c>
      <c r="L2431" s="4">
        <v>1.6814880000000001</v>
      </c>
      <c r="M2431" s="4">
        <v>113.382355</v>
      </c>
      <c r="N2431" s="6"/>
      <c r="P2431"/>
      <c r="Q2431" s="12"/>
      <c r="R2431" s="12"/>
    </row>
    <row r="2432" spans="1:18" x14ac:dyDescent="0.2">
      <c r="A2432">
        <v>21</v>
      </c>
      <c r="B2432" t="s">
        <v>14</v>
      </c>
      <c r="C2432">
        <v>2015</v>
      </c>
      <c r="D2432">
        <v>7</v>
      </c>
      <c r="E2432" s="4">
        <v>0</v>
      </c>
      <c r="F2432" s="9">
        <v>0</v>
      </c>
      <c r="G2432" s="6">
        <v>2045</v>
      </c>
      <c r="H2432" s="9">
        <f t="shared" si="37"/>
        <v>0</v>
      </c>
      <c r="I2432" s="6">
        <v>12855</v>
      </c>
      <c r="J2432" s="6">
        <f>VLOOKUP(Table1[[#This Row],[Province]],[1]Sheet1!$A$3:$K$37,8,FALSE)</f>
        <v>2714900</v>
      </c>
      <c r="K2432">
        <v>0</v>
      </c>
      <c r="L2432" s="4">
        <v>1.6814880000000001</v>
      </c>
      <c r="M2432" s="4">
        <v>113.382355</v>
      </c>
      <c r="N2432" s="6"/>
      <c r="P2432"/>
      <c r="Q2432" s="12"/>
      <c r="R2432" s="12"/>
    </row>
    <row r="2433" spans="1:18" x14ac:dyDescent="0.2">
      <c r="A2433">
        <v>21</v>
      </c>
      <c r="B2433" t="s">
        <v>14</v>
      </c>
      <c r="C2433">
        <v>2015</v>
      </c>
      <c r="D2433">
        <v>8</v>
      </c>
      <c r="E2433" s="4">
        <v>0</v>
      </c>
      <c r="F2433" s="9">
        <v>0</v>
      </c>
      <c r="G2433" s="6">
        <v>2024</v>
      </c>
      <c r="H2433" s="9">
        <f t="shared" si="37"/>
        <v>0</v>
      </c>
      <c r="I2433" s="6">
        <v>12383</v>
      </c>
      <c r="J2433" s="6">
        <f>VLOOKUP(Table1[[#This Row],[Province]],[1]Sheet1!$A$3:$K$37,8,FALSE)</f>
        <v>2714900</v>
      </c>
      <c r="K2433">
        <v>0</v>
      </c>
      <c r="L2433" s="4">
        <v>1.6814880000000001</v>
      </c>
      <c r="M2433" s="4">
        <v>113.382355</v>
      </c>
      <c r="N2433" s="6"/>
      <c r="P2433"/>
      <c r="Q2433" s="12"/>
      <c r="R2433" s="12"/>
    </row>
    <row r="2434" spans="1:18" x14ac:dyDescent="0.2">
      <c r="A2434">
        <v>21</v>
      </c>
      <c r="B2434" t="s">
        <v>14</v>
      </c>
      <c r="C2434">
        <v>2015</v>
      </c>
      <c r="D2434">
        <v>9</v>
      </c>
      <c r="E2434" s="4">
        <v>0</v>
      </c>
      <c r="F2434" s="9">
        <v>0</v>
      </c>
      <c r="G2434" s="6">
        <v>2716</v>
      </c>
      <c r="H2434" s="9">
        <f t="shared" ref="H2434:H2497" si="38">F2434+E2434</f>
        <v>0</v>
      </c>
      <c r="I2434" s="6">
        <v>11965</v>
      </c>
      <c r="J2434" s="6">
        <f>VLOOKUP(Table1[[#This Row],[Province]],[1]Sheet1!$A$3:$K$37,8,FALSE)</f>
        <v>2714900</v>
      </c>
      <c r="K2434">
        <v>0</v>
      </c>
      <c r="L2434" s="4">
        <v>1.6814880000000001</v>
      </c>
      <c r="M2434" s="4">
        <v>113.382355</v>
      </c>
      <c r="N2434" s="6"/>
      <c r="P2434"/>
      <c r="Q2434" s="12"/>
      <c r="R2434" s="12"/>
    </row>
    <row r="2435" spans="1:18" x14ac:dyDescent="0.2">
      <c r="A2435">
        <v>21</v>
      </c>
      <c r="B2435" t="s">
        <v>14</v>
      </c>
      <c r="C2435">
        <v>2015</v>
      </c>
      <c r="D2435">
        <v>10</v>
      </c>
      <c r="E2435" s="4">
        <v>0</v>
      </c>
      <c r="F2435" s="9">
        <v>0</v>
      </c>
      <c r="G2435" s="6">
        <v>1810</v>
      </c>
      <c r="H2435" s="9">
        <f t="shared" si="38"/>
        <v>0</v>
      </c>
      <c r="I2435" s="6">
        <v>11938</v>
      </c>
      <c r="J2435" s="6">
        <f>VLOOKUP(Table1[[#This Row],[Province]],[1]Sheet1!$A$3:$K$37,8,FALSE)</f>
        <v>2714900</v>
      </c>
      <c r="K2435">
        <v>0</v>
      </c>
      <c r="L2435" s="4">
        <v>1.6814880000000001</v>
      </c>
      <c r="M2435" s="4">
        <v>113.382355</v>
      </c>
      <c r="N2435" s="6"/>
      <c r="P2435"/>
      <c r="Q2435" s="12"/>
      <c r="R2435" s="12"/>
    </row>
    <row r="2436" spans="1:18" x14ac:dyDescent="0.2">
      <c r="A2436">
        <v>21</v>
      </c>
      <c r="B2436" t="s">
        <v>14</v>
      </c>
      <c r="C2436">
        <v>2015</v>
      </c>
      <c r="D2436">
        <v>11</v>
      </c>
      <c r="E2436" s="4">
        <v>0</v>
      </c>
      <c r="F2436" s="9">
        <v>0</v>
      </c>
      <c r="G2436" s="6">
        <v>2387</v>
      </c>
      <c r="H2436" s="9">
        <f t="shared" si="38"/>
        <v>0</v>
      </c>
      <c r="I2436" s="6">
        <v>12011</v>
      </c>
      <c r="J2436" s="6">
        <f>VLOOKUP(Table1[[#This Row],[Province]],[1]Sheet1!$A$3:$K$37,8,FALSE)</f>
        <v>2714900</v>
      </c>
      <c r="K2436">
        <v>0</v>
      </c>
      <c r="L2436" s="4">
        <v>1.6814880000000001</v>
      </c>
      <c r="M2436" s="4">
        <v>113.382355</v>
      </c>
      <c r="N2436" s="6"/>
      <c r="P2436"/>
      <c r="Q2436" s="12"/>
      <c r="R2436" s="12"/>
    </row>
    <row r="2437" spans="1:18" x14ac:dyDescent="0.2">
      <c r="A2437">
        <v>21</v>
      </c>
      <c r="B2437" t="s">
        <v>14</v>
      </c>
      <c r="C2437">
        <v>2015</v>
      </c>
      <c r="D2437">
        <v>12</v>
      </c>
      <c r="E2437" s="4">
        <v>0</v>
      </c>
      <c r="F2437" s="9">
        <v>0</v>
      </c>
      <c r="G2437" s="6">
        <v>2558</v>
      </c>
      <c r="H2437" s="9">
        <f t="shared" si="38"/>
        <v>0</v>
      </c>
      <c r="I2437" s="6">
        <v>12378</v>
      </c>
      <c r="J2437" s="6">
        <f>VLOOKUP(Table1[[#This Row],[Province]],[1]Sheet1!$A$3:$K$37,8,FALSE)</f>
        <v>2714900</v>
      </c>
      <c r="K2437">
        <v>1</v>
      </c>
      <c r="L2437" s="4">
        <v>1.6814880000000001</v>
      </c>
      <c r="M2437" s="4">
        <v>113.382355</v>
      </c>
      <c r="N2437" s="6"/>
      <c r="P2437"/>
      <c r="Q2437" s="12"/>
      <c r="R2437" s="12"/>
    </row>
    <row r="2438" spans="1:18" x14ac:dyDescent="0.2">
      <c r="A2438">
        <v>21</v>
      </c>
      <c r="B2438" t="s">
        <v>14</v>
      </c>
      <c r="C2438">
        <v>2016</v>
      </c>
      <c r="D2438">
        <v>1</v>
      </c>
      <c r="E2438" s="4">
        <v>0</v>
      </c>
      <c r="F2438" s="9">
        <v>0</v>
      </c>
      <c r="G2438" s="6">
        <v>2787</v>
      </c>
      <c r="H2438" s="9">
        <f t="shared" si="38"/>
        <v>0</v>
      </c>
      <c r="I2438" s="6">
        <v>12945</v>
      </c>
      <c r="J2438" s="6">
        <f>VLOOKUP(Table1[[#This Row],[Province]],[1]Sheet1!$A$3:$K$37,8,FALSE)</f>
        <v>2714900</v>
      </c>
      <c r="K2438">
        <v>0</v>
      </c>
      <c r="L2438" s="4">
        <v>1.6814880000000001</v>
      </c>
      <c r="M2438" s="4">
        <v>113.382355</v>
      </c>
      <c r="N2438" s="13">
        <v>6.35</v>
      </c>
      <c r="P2438"/>
      <c r="Q2438" s="12"/>
      <c r="R2438" s="12"/>
    </row>
    <row r="2439" spans="1:18" x14ac:dyDescent="0.2">
      <c r="A2439">
        <v>21</v>
      </c>
      <c r="B2439" t="s">
        <v>14</v>
      </c>
      <c r="C2439">
        <v>2016</v>
      </c>
      <c r="D2439">
        <v>2</v>
      </c>
      <c r="E2439" s="4">
        <v>0</v>
      </c>
      <c r="F2439" s="9">
        <v>0</v>
      </c>
      <c r="G2439" s="6">
        <v>2598</v>
      </c>
      <c r="H2439" s="9">
        <f t="shared" si="38"/>
        <v>0</v>
      </c>
      <c r="I2439" s="6">
        <v>12767</v>
      </c>
      <c r="J2439" s="6">
        <f>VLOOKUP(Table1[[#This Row],[Province]],[1]Sheet1!$A$3:$K$37,8,FALSE)</f>
        <v>2714900</v>
      </c>
      <c r="K2439">
        <v>0</v>
      </c>
      <c r="L2439" s="4">
        <v>1.6814880000000001</v>
      </c>
      <c r="M2439" s="4">
        <v>113.382355</v>
      </c>
      <c r="N2439" s="13">
        <v>6.35</v>
      </c>
      <c r="P2439"/>
      <c r="Q2439" s="12"/>
      <c r="R2439" s="12"/>
    </row>
    <row r="2440" spans="1:18" x14ac:dyDescent="0.2">
      <c r="A2440">
        <v>21</v>
      </c>
      <c r="B2440" t="s">
        <v>14</v>
      </c>
      <c r="C2440">
        <v>2016</v>
      </c>
      <c r="D2440">
        <v>3</v>
      </c>
      <c r="E2440" s="4">
        <v>0</v>
      </c>
      <c r="F2440" s="9">
        <v>0</v>
      </c>
      <c r="G2440" s="6">
        <v>2679</v>
      </c>
      <c r="H2440" s="9">
        <f t="shared" si="38"/>
        <v>0</v>
      </c>
      <c r="I2440" s="6">
        <v>12542</v>
      </c>
      <c r="J2440" s="6">
        <f>VLOOKUP(Table1[[#This Row],[Province]],[1]Sheet1!$A$3:$K$37,8,FALSE)</f>
        <v>2714900</v>
      </c>
      <c r="K2440">
        <v>0</v>
      </c>
      <c r="L2440" s="4">
        <v>1.6814880000000001</v>
      </c>
      <c r="M2440" s="4">
        <v>113.382355</v>
      </c>
      <c r="N2440" s="13">
        <v>6.35</v>
      </c>
      <c r="P2440"/>
      <c r="Q2440" s="12"/>
      <c r="R2440" s="12"/>
    </row>
    <row r="2441" spans="1:18" x14ac:dyDescent="0.2">
      <c r="A2441">
        <v>21</v>
      </c>
      <c r="B2441" t="s">
        <v>14</v>
      </c>
      <c r="C2441">
        <v>2016</v>
      </c>
      <c r="D2441">
        <v>4</v>
      </c>
      <c r="E2441" s="4">
        <v>0</v>
      </c>
      <c r="F2441" s="9">
        <v>0</v>
      </c>
      <c r="G2441" s="6">
        <v>2389</v>
      </c>
      <c r="H2441" s="9">
        <f t="shared" si="38"/>
        <v>0</v>
      </c>
      <c r="I2441" s="6">
        <v>12781</v>
      </c>
      <c r="J2441" s="6">
        <f>VLOOKUP(Table1[[#This Row],[Province]],[1]Sheet1!$A$3:$K$37,8,FALSE)</f>
        <v>2714900</v>
      </c>
      <c r="K2441">
        <v>0</v>
      </c>
      <c r="L2441" s="4">
        <v>1.6814880000000001</v>
      </c>
      <c r="M2441" s="4">
        <v>113.382355</v>
      </c>
      <c r="N2441" s="13">
        <v>6.35</v>
      </c>
      <c r="P2441"/>
      <c r="Q2441" s="12"/>
      <c r="R2441" s="12"/>
    </row>
    <row r="2442" spans="1:18" x14ac:dyDescent="0.2">
      <c r="A2442">
        <v>21</v>
      </c>
      <c r="B2442" t="s">
        <v>14</v>
      </c>
      <c r="C2442">
        <v>2016</v>
      </c>
      <c r="D2442">
        <v>5</v>
      </c>
      <c r="E2442" s="4">
        <v>0</v>
      </c>
      <c r="F2442" s="9">
        <v>0</v>
      </c>
      <c r="G2442" s="6">
        <v>1627</v>
      </c>
      <c r="H2442" s="9">
        <f t="shared" si="38"/>
        <v>0</v>
      </c>
      <c r="I2442" s="6">
        <v>15350</v>
      </c>
      <c r="J2442" s="6">
        <f>VLOOKUP(Table1[[#This Row],[Province]],[1]Sheet1!$A$3:$K$37,8,FALSE)</f>
        <v>2714900</v>
      </c>
      <c r="K2442">
        <v>0</v>
      </c>
      <c r="L2442" s="4">
        <v>1.6814880000000001</v>
      </c>
      <c r="M2442" s="4">
        <v>113.382355</v>
      </c>
      <c r="N2442" s="13">
        <v>6.35</v>
      </c>
      <c r="P2442"/>
      <c r="Q2442" s="12"/>
      <c r="R2442" s="12"/>
    </row>
    <row r="2443" spans="1:18" x14ac:dyDescent="0.2">
      <c r="A2443">
        <v>21</v>
      </c>
      <c r="B2443" t="s">
        <v>14</v>
      </c>
      <c r="C2443">
        <v>2016</v>
      </c>
      <c r="D2443">
        <v>6</v>
      </c>
      <c r="E2443" s="4">
        <v>0</v>
      </c>
      <c r="F2443" s="9">
        <v>0</v>
      </c>
      <c r="G2443" s="6">
        <v>2632</v>
      </c>
      <c r="H2443" s="9">
        <f t="shared" si="38"/>
        <v>0</v>
      </c>
      <c r="I2443" s="6">
        <v>16576</v>
      </c>
      <c r="J2443" s="6">
        <f>VLOOKUP(Table1[[#This Row],[Province]],[1]Sheet1!$A$3:$K$37,8,FALSE)</f>
        <v>2714900</v>
      </c>
      <c r="K2443">
        <v>1</v>
      </c>
      <c r="L2443" s="4">
        <v>1.6814880000000001</v>
      </c>
      <c r="M2443" s="4">
        <v>113.382355</v>
      </c>
      <c r="N2443" s="13">
        <v>6.35</v>
      </c>
      <c r="P2443"/>
      <c r="Q2443" s="12"/>
      <c r="R2443" s="12"/>
    </row>
    <row r="2444" spans="1:18" x14ac:dyDescent="0.2">
      <c r="A2444">
        <v>21</v>
      </c>
      <c r="B2444" t="s">
        <v>14</v>
      </c>
      <c r="C2444">
        <v>2016</v>
      </c>
      <c r="D2444">
        <v>7</v>
      </c>
      <c r="E2444" s="4">
        <v>0</v>
      </c>
      <c r="F2444" s="9">
        <v>0</v>
      </c>
      <c r="G2444" s="6">
        <v>2511</v>
      </c>
      <c r="H2444" s="9">
        <f t="shared" si="38"/>
        <v>0</v>
      </c>
      <c r="I2444" s="6">
        <v>16490</v>
      </c>
      <c r="J2444" s="6">
        <f>VLOOKUP(Table1[[#This Row],[Province]],[1]Sheet1!$A$3:$K$37,8,FALSE)</f>
        <v>2714900</v>
      </c>
      <c r="K2444">
        <v>0</v>
      </c>
      <c r="L2444" s="4">
        <v>1.6814880000000001</v>
      </c>
      <c r="M2444" s="4">
        <v>113.382355</v>
      </c>
      <c r="N2444" s="13">
        <v>6.35</v>
      </c>
      <c r="P2444"/>
      <c r="Q2444" s="12"/>
      <c r="R2444" s="12"/>
    </row>
    <row r="2445" spans="1:18" x14ac:dyDescent="0.2">
      <c r="A2445">
        <v>21</v>
      </c>
      <c r="B2445" t="s">
        <v>14</v>
      </c>
      <c r="C2445">
        <v>2016</v>
      </c>
      <c r="D2445">
        <v>8</v>
      </c>
      <c r="E2445" s="4">
        <v>0</v>
      </c>
      <c r="F2445" s="9">
        <v>0</v>
      </c>
      <c r="G2445" s="6">
        <v>2481</v>
      </c>
      <c r="H2445" s="9">
        <f t="shared" si="38"/>
        <v>0</v>
      </c>
      <c r="I2445" s="6">
        <v>14432</v>
      </c>
      <c r="J2445" s="6">
        <f>VLOOKUP(Table1[[#This Row],[Province]],[1]Sheet1!$A$3:$K$37,8,FALSE)</f>
        <v>2714900</v>
      </c>
      <c r="K2445">
        <v>0</v>
      </c>
      <c r="L2445" s="4">
        <v>1.6814880000000001</v>
      </c>
      <c r="M2445" s="4">
        <v>113.382355</v>
      </c>
      <c r="N2445" s="13">
        <v>6.35</v>
      </c>
      <c r="P2445"/>
      <c r="Q2445" s="12"/>
      <c r="R2445" s="12"/>
    </row>
    <row r="2446" spans="1:18" x14ac:dyDescent="0.2">
      <c r="A2446">
        <v>21</v>
      </c>
      <c r="B2446" t="s">
        <v>14</v>
      </c>
      <c r="C2446">
        <v>2016</v>
      </c>
      <c r="D2446">
        <v>9</v>
      </c>
      <c r="E2446" s="4">
        <v>0</v>
      </c>
      <c r="F2446" s="9">
        <v>0</v>
      </c>
      <c r="G2446" s="6">
        <v>959</v>
      </c>
      <c r="H2446" s="9">
        <f t="shared" si="38"/>
        <v>0</v>
      </c>
      <c r="I2446" s="6">
        <v>13658</v>
      </c>
      <c r="J2446" s="6">
        <f>VLOOKUP(Table1[[#This Row],[Province]],[1]Sheet1!$A$3:$K$37,8,FALSE)</f>
        <v>2714900</v>
      </c>
      <c r="K2446">
        <v>0</v>
      </c>
      <c r="L2446" s="4">
        <v>1.6814880000000001</v>
      </c>
      <c r="M2446" s="4">
        <v>113.382355</v>
      </c>
      <c r="N2446" s="13">
        <v>6.35</v>
      </c>
      <c r="P2446"/>
      <c r="Q2446" s="12"/>
      <c r="R2446" s="12"/>
    </row>
    <row r="2447" spans="1:18" x14ac:dyDescent="0.2">
      <c r="A2447">
        <v>21</v>
      </c>
      <c r="B2447" t="s">
        <v>14</v>
      </c>
      <c r="C2447">
        <v>2016</v>
      </c>
      <c r="D2447">
        <v>10</v>
      </c>
      <c r="E2447" s="4">
        <v>0</v>
      </c>
      <c r="F2447" s="9">
        <v>0</v>
      </c>
      <c r="G2447" s="6">
        <v>4190</v>
      </c>
      <c r="H2447" s="9">
        <f t="shared" si="38"/>
        <v>0</v>
      </c>
      <c r="I2447" s="6">
        <v>13194</v>
      </c>
      <c r="J2447" s="6">
        <f>VLOOKUP(Table1[[#This Row],[Province]],[1]Sheet1!$A$3:$K$37,8,FALSE)</f>
        <v>2714900</v>
      </c>
      <c r="K2447">
        <v>0</v>
      </c>
      <c r="L2447" s="4">
        <v>1.6814880000000001</v>
      </c>
      <c r="M2447" s="4">
        <v>113.382355</v>
      </c>
      <c r="N2447" s="13">
        <v>6.35</v>
      </c>
      <c r="P2447"/>
      <c r="Q2447" s="12"/>
      <c r="R2447" s="12"/>
    </row>
    <row r="2448" spans="1:18" x14ac:dyDescent="0.2">
      <c r="A2448">
        <v>21</v>
      </c>
      <c r="B2448" t="s">
        <v>14</v>
      </c>
      <c r="C2448">
        <v>2016</v>
      </c>
      <c r="D2448">
        <v>11</v>
      </c>
      <c r="E2448" s="4">
        <v>0</v>
      </c>
      <c r="F2448" s="9">
        <v>0</v>
      </c>
      <c r="G2448" s="6">
        <v>1186</v>
      </c>
      <c r="H2448" s="9">
        <f t="shared" si="38"/>
        <v>0</v>
      </c>
      <c r="I2448" s="6">
        <v>12956</v>
      </c>
      <c r="J2448" s="6">
        <f>VLOOKUP(Table1[[#This Row],[Province]],[1]Sheet1!$A$3:$K$37,8,FALSE)</f>
        <v>2714900</v>
      </c>
      <c r="K2448">
        <v>0</v>
      </c>
      <c r="L2448" s="4">
        <v>1.6814880000000001</v>
      </c>
      <c r="M2448" s="4">
        <v>113.382355</v>
      </c>
      <c r="N2448" s="13">
        <v>6.35</v>
      </c>
      <c r="P2448"/>
      <c r="Q2448" s="12"/>
      <c r="R2448" s="12"/>
    </row>
    <row r="2449" spans="1:18" x14ac:dyDescent="0.2">
      <c r="A2449">
        <v>21</v>
      </c>
      <c r="B2449" t="s">
        <v>14</v>
      </c>
      <c r="C2449">
        <v>2016</v>
      </c>
      <c r="D2449">
        <v>12</v>
      </c>
      <c r="E2449" s="4">
        <v>0</v>
      </c>
      <c r="F2449" s="9">
        <v>0</v>
      </c>
      <c r="G2449" s="6">
        <v>1187</v>
      </c>
      <c r="H2449" s="9">
        <f t="shared" si="38"/>
        <v>0</v>
      </c>
      <c r="I2449" s="6">
        <v>13083</v>
      </c>
      <c r="J2449" s="6">
        <f>VLOOKUP(Table1[[#This Row],[Province]],[1]Sheet1!$A$3:$K$37,8,FALSE)</f>
        <v>2714900</v>
      </c>
      <c r="K2449">
        <v>1</v>
      </c>
      <c r="L2449" s="4">
        <v>1.6814880000000001</v>
      </c>
      <c r="M2449" s="4">
        <v>113.382355</v>
      </c>
      <c r="N2449" s="13">
        <v>6.35</v>
      </c>
      <c r="P2449"/>
      <c r="Q2449" s="12"/>
      <c r="R2449" s="12"/>
    </row>
    <row r="2450" spans="1:18" x14ac:dyDescent="0.2">
      <c r="A2450">
        <v>21</v>
      </c>
      <c r="B2450" t="s">
        <v>14</v>
      </c>
      <c r="C2450">
        <v>2017</v>
      </c>
      <c r="D2450">
        <v>1</v>
      </c>
      <c r="E2450" s="4">
        <v>0</v>
      </c>
      <c r="F2450" s="9">
        <v>0</v>
      </c>
      <c r="G2450" s="6">
        <v>2353</v>
      </c>
      <c r="H2450" s="9">
        <f t="shared" si="38"/>
        <v>0</v>
      </c>
      <c r="I2450" s="6">
        <v>13124</v>
      </c>
      <c r="J2450" s="6">
        <f>VLOOKUP(Table1[[#This Row],[Province]],[1]Sheet1!$A$3:$K$37,8,FALSE)</f>
        <v>2714900</v>
      </c>
      <c r="K2450">
        <v>0</v>
      </c>
      <c r="L2450" s="4">
        <v>1.6814880000000001</v>
      </c>
      <c r="M2450" s="4">
        <v>113.382355</v>
      </c>
      <c r="N2450" s="13">
        <v>6.73</v>
      </c>
      <c r="P2450"/>
      <c r="Q2450" s="12"/>
      <c r="R2450" s="12"/>
    </row>
    <row r="2451" spans="1:18" x14ac:dyDescent="0.2">
      <c r="A2451">
        <v>21</v>
      </c>
      <c r="B2451" t="s">
        <v>14</v>
      </c>
      <c r="C2451">
        <v>2017</v>
      </c>
      <c r="D2451">
        <v>2</v>
      </c>
      <c r="E2451" s="4">
        <v>0</v>
      </c>
      <c r="F2451" s="9">
        <v>0</v>
      </c>
      <c r="G2451" s="6">
        <v>1352</v>
      </c>
      <c r="H2451" s="9">
        <f t="shared" si="38"/>
        <v>0</v>
      </c>
      <c r="I2451" s="6">
        <v>12900</v>
      </c>
      <c r="J2451" s="6">
        <f>VLOOKUP(Table1[[#This Row],[Province]],[1]Sheet1!$A$3:$K$37,8,FALSE)</f>
        <v>2714900</v>
      </c>
      <c r="K2451">
        <v>0</v>
      </c>
      <c r="L2451" s="4">
        <v>1.6814880000000001</v>
      </c>
      <c r="M2451" s="4">
        <v>113.382355</v>
      </c>
      <c r="N2451" s="13">
        <v>6.73</v>
      </c>
      <c r="P2451"/>
      <c r="Q2451" s="12"/>
      <c r="R2451" s="12"/>
    </row>
    <row r="2452" spans="1:18" x14ac:dyDescent="0.2">
      <c r="A2452">
        <v>21</v>
      </c>
      <c r="B2452" t="s">
        <v>14</v>
      </c>
      <c r="C2452">
        <v>2017</v>
      </c>
      <c r="D2452">
        <v>3</v>
      </c>
      <c r="E2452" s="4">
        <v>0</v>
      </c>
      <c r="F2452" s="9">
        <v>0</v>
      </c>
      <c r="G2452" s="6">
        <v>1056</v>
      </c>
      <c r="H2452" s="9">
        <f t="shared" si="38"/>
        <v>0</v>
      </c>
      <c r="I2452" s="6">
        <v>12599</v>
      </c>
      <c r="J2452" s="6">
        <f>VLOOKUP(Table1[[#This Row],[Province]],[1]Sheet1!$A$3:$K$37,8,FALSE)</f>
        <v>2714900</v>
      </c>
      <c r="K2452">
        <v>0</v>
      </c>
      <c r="L2452" s="4">
        <v>1.6814880000000001</v>
      </c>
      <c r="M2452" s="4">
        <v>113.382355</v>
      </c>
      <c r="N2452" s="13">
        <v>6.73</v>
      </c>
      <c r="P2452"/>
      <c r="Q2452" s="12"/>
      <c r="R2452" s="12"/>
    </row>
    <row r="2453" spans="1:18" x14ac:dyDescent="0.2">
      <c r="A2453">
        <v>21</v>
      </c>
      <c r="B2453" t="s">
        <v>14</v>
      </c>
      <c r="C2453">
        <v>2017</v>
      </c>
      <c r="D2453">
        <v>4</v>
      </c>
      <c r="E2453" s="4">
        <v>0</v>
      </c>
      <c r="F2453" s="9">
        <v>0</v>
      </c>
      <c r="G2453" s="6">
        <v>754</v>
      </c>
      <c r="H2453" s="9">
        <f t="shared" si="38"/>
        <v>0</v>
      </c>
      <c r="I2453" s="6">
        <v>12549</v>
      </c>
      <c r="J2453" s="6">
        <f>VLOOKUP(Table1[[#This Row],[Province]],[1]Sheet1!$A$3:$K$37,8,FALSE)</f>
        <v>2714900</v>
      </c>
      <c r="K2453">
        <v>0</v>
      </c>
      <c r="L2453" s="4">
        <v>1.6814880000000001</v>
      </c>
      <c r="M2453" s="4">
        <v>113.382355</v>
      </c>
      <c r="N2453" s="13">
        <v>6.73</v>
      </c>
      <c r="P2453"/>
      <c r="Q2453" s="12"/>
      <c r="R2453" s="12"/>
    </row>
    <row r="2454" spans="1:18" x14ac:dyDescent="0.2">
      <c r="A2454">
        <v>21</v>
      </c>
      <c r="B2454" t="s">
        <v>14</v>
      </c>
      <c r="C2454">
        <v>2017</v>
      </c>
      <c r="D2454">
        <v>5</v>
      </c>
      <c r="E2454" s="4">
        <v>0</v>
      </c>
      <c r="F2454" s="9">
        <v>0</v>
      </c>
      <c r="G2454" s="6">
        <v>727</v>
      </c>
      <c r="H2454" s="9">
        <f t="shared" si="38"/>
        <v>0</v>
      </c>
      <c r="I2454" s="6">
        <v>12682</v>
      </c>
      <c r="J2454" s="6">
        <f>VLOOKUP(Table1[[#This Row],[Province]],[1]Sheet1!$A$3:$K$37,8,FALSE)</f>
        <v>2714900</v>
      </c>
      <c r="K2454">
        <v>1</v>
      </c>
      <c r="L2454" s="4">
        <v>1.6814880000000001</v>
      </c>
      <c r="M2454" s="4">
        <v>113.382355</v>
      </c>
      <c r="N2454" s="13">
        <v>6.73</v>
      </c>
      <c r="P2454"/>
      <c r="Q2454" s="12"/>
      <c r="R2454" s="12"/>
    </row>
    <row r="2455" spans="1:18" x14ac:dyDescent="0.2">
      <c r="A2455">
        <v>21</v>
      </c>
      <c r="B2455" t="s">
        <v>14</v>
      </c>
      <c r="C2455">
        <v>2017</v>
      </c>
      <c r="D2455">
        <v>6</v>
      </c>
      <c r="E2455" s="4">
        <v>0</v>
      </c>
      <c r="F2455" s="9">
        <v>0</v>
      </c>
      <c r="G2455" s="6">
        <v>1344</v>
      </c>
      <c r="H2455" s="9">
        <f t="shared" si="38"/>
        <v>0</v>
      </c>
      <c r="I2455" s="6">
        <v>12607</v>
      </c>
      <c r="J2455" s="6">
        <f>VLOOKUP(Table1[[#This Row],[Province]],[1]Sheet1!$A$3:$K$37,8,FALSE)</f>
        <v>2714900</v>
      </c>
      <c r="K2455">
        <v>0</v>
      </c>
      <c r="L2455" s="4">
        <v>1.6814880000000001</v>
      </c>
      <c r="M2455" s="4">
        <v>113.382355</v>
      </c>
      <c r="N2455" s="13">
        <v>6.73</v>
      </c>
      <c r="P2455"/>
      <c r="Q2455" s="12"/>
      <c r="R2455" s="12"/>
    </row>
    <row r="2456" spans="1:18" x14ac:dyDescent="0.2">
      <c r="A2456">
        <v>21</v>
      </c>
      <c r="B2456" t="s">
        <v>14</v>
      </c>
      <c r="C2456">
        <v>2017</v>
      </c>
      <c r="D2456">
        <v>7</v>
      </c>
      <c r="E2456" s="4">
        <v>0</v>
      </c>
      <c r="F2456" s="9">
        <v>0</v>
      </c>
      <c r="G2456" s="6">
        <v>1497</v>
      </c>
      <c r="H2456" s="9">
        <f t="shared" si="38"/>
        <v>0</v>
      </c>
      <c r="I2456" s="6">
        <v>12508</v>
      </c>
      <c r="J2456" s="6">
        <f>VLOOKUP(Table1[[#This Row],[Province]],[1]Sheet1!$A$3:$K$37,8,FALSE)</f>
        <v>2714900</v>
      </c>
      <c r="K2456">
        <v>0</v>
      </c>
      <c r="L2456" s="4">
        <v>1.6814880000000001</v>
      </c>
      <c r="M2456" s="4">
        <v>113.382355</v>
      </c>
      <c r="N2456" s="13">
        <v>6.73</v>
      </c>
      <c r="P2456"/>
      <c r="Q2456" s="12"/>
      <c r="R2456" s="12"/>
    </row>
    <row r="2457" spans="1:18" x14ac:dyDescent="0.2">
      <c r="A2457">
        <v>21</v>
      </c>
      <c r="B2457" t="s">
        <v>14</v>
      </c>
      <c r="C2457">
        <v>2017</v>
      </c>
      <c r="D2457">
        <v>8</v>
      </c>
      <c r="E2457" s="4">
        <v>0</v>
      </c>
      <c r="F2457" s="9">
        <v>0</v>
      </c>
      <c r="G2457" s="6">
        <v>2869</v>
      </c>
      <c r="H2457" s="9">
        <f t="shared" si="38"/>
        <v>0</v>
      </c>
      <c r="I2457" s="6">
        <v>12455</v>
      </c>
      <c r="J2457" s="6">
        <f>VLOOKUP(Table1[[#This Row],[Province]],[1]Sheet1!$A$3:$K$37,8,FALSE)</f>
        <v>2714900</v>
      </c>
      <c r="K2457">
        <v>0</v>
      </c>
      <c r="L2457" s="4">
        <v>1.6814880000000001</v>
      </c>
      <c r="M2457" s="4">
        <v>113.382355</v>
      </c>
      <c r="N2457" s="13">
        <v>6.73</v>
      </c>
      <c r="P2457"/>
      <c r="Q2457" s="12"/>
      <c r="R2457" s="12"/>
    </row>
    <row r="2458" spans="1:18" x14ac:dyDescent="0.2">
      <c r="A2458">
        <v>21</v>
      </c>
      <c r="B2458" t="s">
        <v>14</v>
      </c>
      <c r="C2458">
        <v>2017</v>
      </c>
      <c r="D2458">
        <v>9</v>
      </c>
      <c r="E2458" s="4">
        <v>0</v>
      </c>
      <c r="F2458" s="9">
        <v>0</v>
      </c>
      <c r="G2458" s="6">
        <v>2780</v>
      </c>
      <c r="H2458" s="9">
        <f t="shared" si="38"/>
        <v>0</v>
      </c>
      <c r="I2458" s="6">
        <v>11911</v>
      </c>
      <c r="J2458" s="6">
        <f>VLOOKUP(Table1[[#This Row],[Province]],[1]Sheet1!$A$3:$K$37,8,FALSE)</f>
        <v>2714900</v>
      </c>
      <c r="K2458">
        <v>0</v>
      </c>
      <c r="L2458" s="4">
        <v>1.6814880000000001</v>
      </c>
      <c r="M2458" s="4">
        <v>113.382355</v>
      </c>
      <c r="N2458" s="13">
        <v>6.73</v>
      </c>
      <c r="P2458"/>
      <c r="Q2458" s="12"/>
      <c r="R2458" s="12"/>
    </row>
    <row r="2459" spans="1:18" x14ac:dyDescent="0.2">
      <c r="A2459">
        <v>21</v>
      </c>
      <c r="B2459" t="s">
        <v>14</v>
      </c>
      <c r="C2459">
        <v>2017</v>
      </c>
      <c r="D2459">
        <v>10</v>
      </c>
      <c r="E2459" s="4">
        <v>0</v>
      </c>
      <c r="F2459" s="9">
        <v>0</v>
      </c>
      <c r="G2459" s="6">
        <v>3608</v>
      </c>
      <c r="H2459" s="9">
        <f t="shared" si="38"/>
        <v>0</v>
      </c>
      <c r="I2459" s="6">
        <v>11659</v>
      </c>
      <c r="J2459" s="6">
        <f>VLOOKUP(Table1[[#This Row],[Province]],[1]Sheet1!$A$3:$K$37,8,FALSE)</f>
        <v>2714900</v>
      </c>
      <c r="K2459">
        <v>0</v>
      </c>
      <c r="L2459" s="4">
        <v>1.6814880000000001</v>
      </c>
      <c r="M2459" s="4">
        <v>113.382355</v>
      </c>
      <c r="N2459" s="13">
        <v>6.73</v>
      </c>
      <c r="P2459"/>
      <c r="Q2459" s="12"/>
      <c r="R2459" s="12"/>
    </row>
    <row r="2460" spans="1:18" x14ac:dyDescent="0.2">
      <c r="A2460">
        <v>21</v>
      </c>
      <c r="B2460" t="s">
        <v>14</v>
      </c>
      <c r="C2460">
        <v>2017</v>
      </c>
      <c r="D2460">
        <v>11</v>
      </c>
      <c r="E2460" s="4">
        <v>0</v>
      </c>
      <c r="F2460" s="9">
        <v>0</v>
      </c>
      <c r="G2460" s="6">
        <v>943</v>
      </c>
      <c r="H2460" s="9">
        <f t="shared" si="38"/>
        <v>0</v>
      </c>
      <c r="I2460" s="6">
        <v>11977</v>
      </c>
      <c r="J2460" s="6">
        <f>VLOOKUP(Table1[[#This Row],[Province]],[1]Sheet1!$A$3:$K$37,8,FALSE)</f>
        <v>2714900</v>
      </c>
      <c r="K2460">
        <v>0</v>
      </c>
      <c r="L2460" s="4">
        <v>1.6814880000000001</v>
      </c>
      <c r="M2460" s="4">
        <v>113.382355</v>
      </c>
      <c r="N2460" s="13">
        <v>6.73</v>
      </c>
      <c r="P2460"/>
      <c r="Q2460" s="12"/>
      <c r="R2460" s="12"/>
    </row>
    <row r="2461" spans="1:18" x14ac:dyDescent="0.2">
      <c r="A2461">
        <v>21</v>
      </c>
      <c r="B2461" t="s">
        <v>14</v>
      </c>
      <c r="C2461">
        <v>2017</v>
      </c>
      <c r="D2461">
        <v>12</v>
      </c>
      <c r="E2461" s="4">
        <v>0</v>
      </c>
      <c r="F2461" s="9">
        <v>0</v>
      </c>
      <c r="G2461" s="6">
        <v>1757</v>
      </c>
      <c r="H2461" s="9">
        <f t="shared" si="38"/>
        <v>0</v>
      </c>
      <c r="I2461" s="6">
        <v>11907</v>
      </c>
      <c r="J2461" s="6">
        <f>VLOOKUP(Table1[[#This Row],[Province]],[1]Sheet1!$A$3:$K$37,8,FALSE)</f>
        <v>2714900</v>
      </c>
      <c r="K2461">
        <v>1</v>
      </c>
      <c r="L2461" s="4">
        <v>1.6814880000000001</v>
      </c>
      <c r="M2461" s="4">
        <v>113.382355</v>
      </c>
      <c r="N2461" s="13">
        <v>6.73</v>
      </c>
      <c r="P2461"/>
      <c r="Q2461" s="12"/>
      <c r="R2461" s="12"/>
    </row>
    <row r="2462" spans="1:18" x14ac:dyDescent="0.2">
      <c r="A2462">
        <v>21</v>
      </c>
      <c r="B2462" t="s">
        <v>14</v>
      </c>
      <c r="C2462">
        <v>2018</v>
      </c>
      <c r="D2462">
        <v>1</v>
      </c>
      <c r="E2462" s="4">
        <v>0</v>
      </c>
      <c r="F2462" s="9">
        <v>0</v>
      </c>
      <c r="G2462" s="6">
        <v>328</v>
      </c>
      <c r="H2462" s="9">
        <f t="shared" si="38"/>
        <v>0</v>
      </c>
      <c r="I2462" s="6">
        <v>11607</v>
      </c>
      <c r="J2462" s="6">
        <f>VLOOKUP(Table1[[#This Row],[Province]],[1]Sheet1!$A$3:$K$37,8,FALSE)</f>
        <v>2714900</v>
      </c>
      <c r="K2462">
        <v>0</v>
      </c>
      <c r="L2462" s="4">
        <v>1.6814880000000001</v>
      </c>
      <c r="M2462" s="4">
        <v>113.382355</v>
      </c>
      <c r="N2462" s="13">
        <v>5.61</v>
      </c>
      <c r="P2462"/>
      <c r="Q2462" s="12"/>
      <c r="R2462" s="12"/>
    </row>
    <row r="2463" spans="1:18" x14ac:dyDescent="0.2">
      <c r="A2463">
        <v>21</v>
      </c>
      <c r="B2463" t="s">
        <v>14</v>
      </c>
      <c r="C2463">
        <v>2018</v>
      </c>
      <c r="D2463">
        <v>2</v>
      </c>
      <c r="E2463" s="4">
        <v>0</v>
      </c>
      <c r="F2463" s="9">
        <v>0</v>
      </c>
      <c r="G2463" s="6">
        <v>654</v>
      </c>
      <c r="H2463" s="9">
        <f t="shared" si="38"/>
        <v>0</v>
      </c>
      <c r="I2463" s="6">
        <v>11391</v>
      </c>
      <c r="J2463" s="6">
        <f>VLOOKUP(Table1[[#This Row],[Province]],[1]Sheet1!$A$3:$K$37,8,FALSE)</f>
        <v>2714900</v>
      </c>
      <c r="K2463">
        <v>0</v>
      </c>
      <c r="L2463" s="4">
        <v>1.6814880000000001</v>
      </c>
      <c r="M2463" s="4">
        <v>113.382355</v>
      </c>
      <c r="N2463" s="13">
        <v>5.61</v>
      </c>
      <c r="P2463"/>
      <c r="Q2463" s="12"/>
      <c r="R2463" s="12"/>
    </row>
    <row r="2464" spans="1:18" x14ac:dyDescent="0.2">
      <c r="A2464">
        <v>21</v>
      </c>
      <c r="B2464" t="s">
        <v>14</v>
      </c>
      <c r="C2464">
        <v>2018</v>
      </c>
      <c r="D2464">
        <v>3</v>
      </c>
      <c r="E2464" s="4">
        <v>0</v>
      </c>
      <c r="F2464" s="9">
        <v>0</v>
      </c>
      <c r="G2464" s="6">
        <v>2024</v>
      </c>
      <c r="H2464" s="9">
        <f t="shared" si="38"/>
        <v>0</v>
      </c>
      <c r="I2464" s="6">
        <v>11476</v>
      </c>
      <c r="J2464" s="6">
        <f>VLOOKUP(Table1[[#This Row],[Province]],[1]Sheet1!$A$3:$K$37,8,FALSE)</f>
        <v>2714900</v>
      </c>
      <c r="K2464">
        <v>0</v>
      </c>
      <c r="L2464" s="4">
        <v>1.6814880000000001</v>
      </c>
      <c r="M2464" s="4">
        <v>113.382355</v>
      </c>
      <c r="N2464" s="13">
        <v>5.61</v>
      </c>
      <c r="P2464"/>
      <c r="Q2464" s="12"/>
      <c r="R2464" s="12"/>
    </row>
    <row r="2465" spans="1:18" x14ac:dyDescent="0.2">
      <c r="A2465">
        <v>21</v>
      </c>
      <c r="B2465" t="s">
        <v>14</v>
      </c>
      <c r="C2465">
        <v>2018</v>
      </c>
      <c r="D2465">
        <v>4</v>
      </c>
      <c r="E2465" s="4">
        <v>0</v>
      </c>
      <c r="F2465" s="9">
        <v>0</v>
      </c>
      <c r="G2465" s="6">
        <v>1063</v>
      </c>
      <c r="H2465" s="9">
        <f t="shared" si="38"/>
        <v>0</v>
      </c>
      <c r="I2465" s="6">
        <v>11508</v>
      </c>
      <c r="J2465" s="6">
        <f>VLOOKUP(Table1[[#This Row],[Province]],[1]Sheet1!$A$3:$K$37,8,FALSE)</f>
        <v>2714900</v>
      </c>
      <c r="K2465">
        <v>0</v>
      </c>
      <c r="L2465" s="4">
        <v>1.6814880000000001</v>
      </c>
      <c r="M2465" s="4">
        <v>113.382355</v>
      </c>
      <c r="N2465" s="13">
        <v>5.61</v>
      </c>
      <c r="P2465"/>
      <c r="Q2465" s="12"/>
      <c r="R2465" s="12"/>
    </row>
    <row r="2466" spans="1:18" x14ac:dyDescent="0.2">
      <c r="A2466">
        <v>21</v>
      </c>
      <c r="B2466" t="s">
        <v>14</v>
      </c>
      <c r="C2466">
        <v>2018</v>
      </c>
      <c r="D2466">
        <v>5</v>
      </c>
      <c r="E2466" s="4">
        <v>0</v>
      </c>
      <c r="F2466" s="9">
        <v>0</v>
      </c>
      <c r="G2466" s="6">
        <v>3530</v>
      </c>
      <c r="H2466" s="9">
        <f t="shared" si="38"/>
        <v>0</v>
      </c>
      <c r="I2466" s="6">
        <v>11741</v>
      </c>
      <c r="J2466" s="6">
        <f>VLOOKUP(Table1[[#This Row],[Province]],[1]Sheet1!$A$3:$K$37,8,FALSE)</f>
        <v>2714900</v>
      </c>
      <c r="K2466">
        <v>1</v>
      </c>
      <c r="L2466" s="4">
        <v>1.6814880000000001</v>
      </c>
      <c r="M2466" s="4">
        <v>113.382355</v>
      </c>
      <c r="N2466" s="13">
        <v>5.61</v>
      </c>
      <c r="P2466"/>
      <c r="Q2466" s="12"/>
      <c r="R2466" s="12"/>
    </row>
    <row r="2467" spans="1:18" x14ac:dyDescent="0.2">
      <c r="A2467">
        <v>21</v>
      </c>
      <c r="B2467" t="s">
        <v>14</v>
      </c>
      <c r="C2467">
        <v>2018</v>
      </c>
      <c r="D2467">
        <v>6</v>
      </c>
      <c r="E2467" s="4">
        <v>0</v>
      </c>
      <c r="F2467" s="9">
        <v>0</v>
      </c>
      <c r="G2467" s="6">
        <v>1963</v>
      </c>
      <c r="H2467" s="9">
        <f t="shared" si="38"/>
        <v>0</v>
      </c>
      <c r="I2467" s="6">
        <v>11770</v>
      </c>
      <c r="J2467" s="6">
        <f>VLOOKUP(Table1[[#This Row],[Province]],[1]Sheet1!$A$3:$K$37,8,FALSE)</f>
        <v>2714900</v>
      </c>
      <c r="K2467">
        <v>0</v>
      </c>
      <c r="L2467" s="4">
        <v>1.6814880000000001</v>
      </c>
      <c r="M2467" s="4">
        <v>113.382355</v>
      </c>
      <c r="N2467" s="13">
        <v>5.61</v>
      </c>
      <c r="P2467"/>
      <c r="Q2467" s="12"/>
      <c r="R2467" s="12"/>
    </row>
    <row r="2468" spans="1:18" x14ac:dyDescent="0.2">
      <c r="A2468">
        <v>21</v>
      </c>
      <c r="B2468" t="s">
        <v>14</v>
      </c>
      <c r="C2468">
        <v>2018</v>
      </c>
      <c r="D2468">
        <v>7</v>
      </c>
      <c r="E2468" s="4">
        <v>0</v>
      </c>
      <c r="F2468" s="9">
        <v>0</v>
      </c>
      <c r="G2468" s="6">
        <v>2717</v>
      </c>
      <c r="H2468" s="9">
        <f t="shared" si="38"/>
        <v>0</v>
      </c>
      <c r="I2468" s="6">
        <v>11743</v>
      </c>
      <c r="J2468" s="6">
        <f>VLOOKUP(Table1[[#This Row],[Province]],[1]Sheet1!$A$3:$K$37,8,FALSE)</f>
        <v>2714900</v>
      </c>
      <c r="K2468">
        <v>0</v>
      </c>
      <c r="L2468" s="4">
        <v>1.6814880000000001</v>
      </c>
      <c r="M2468" s="4">
        <v>113.382355</v>
      </c>
      <c r="N2468" s="13">
        <v>5.61</v>
      </c>
      <c r="P2468"/>
      <c r="Q2468" s="12"/>
      <c r="R2468" s="12"/>
    </row>
    <row r="2469" spans="1:18" x14ac:dyDescent="0.2">
      <c r="A2469">
        <v>21</v>
      </c>
      <c r="B2469" t="s">
        <v>14</v>
      </c>
      <c r="C2469">
        <v>2018</v>
      </c>
      <c r="D2469">
        <v>8</v>
      </c>
      <c r="E2469" s="4">
        <v>0</v>
      </c>
      <c r="F2469" s="9">
        <v>0</v>
      </c>
      <c r="G2469" s="6">
        <v>3529</v>
      </c>
      <c r="H2469" s="9">
        <f t="shared" si="38"/>
        <v>0</v>
      </c>
      <c r="I2469" s="6">
        <v>11870</v>
      </c>
      <c r="J2469" s="6">
        <f>VLOOKUP(Table1[[#This Row],[Province]],[1]Sheet1!$A$3:$K$37,8,FALSE)</f>
        <v>2714900</v>
      </c>
      <c r="K2469">
        <v>0</v>
      </c>
      <c r="L2469" s="4">
        <v>1.6814880000000001</v>
      </c>
      <c r="M2469" s="4">
        <v>113.382355</v>
      </c>
      <c r="N2469" s="13">
        <v>5.61</v>
      </c>
      <c r="P2469"/>
      <c r="Q2469" s="12"/>
      <c r="R2469" s="12"/>
    </row>
    <row r="2470" spans="1:18" x14ac:dyDescent="0.2">
      <c r="A2470">
        <v>21</v>
      </c>
      <c r="B2470" t="s">
        <v>14</v>
      </c>
      <c r="C2470">
        <v>2018</v>
      </c>
      <c r="D2470">
        <v>9</v>
      </c>
      <c r="E2470" s="4">
        <v>0</v>
      </c>
      <c r="F2470" s="9">
        <v>0</v>
      </c>
      <c r="G2470" s="6">
        <v>2897</v>
      </c>
      <c r="H2470" s="9">
        <f t="shared" si="38"/>
        <v>0</v>
      </c>
      <c r="I2470" s="6">
        <v>12055</v>
      </c>
      <c r="J2470" s="6">
        <f>VLOOKUP(Table1[[#This Row],[Province]],[1]Sheet1!$A$3:$K$37,8,FALSE)</f>
        <v>2714900</v>
      </c>
      <c r="K2470">
        <v>0</v>
      </c>
      <c r="L2470" s="4">
        <v>1.6814880000000001</v>
      </c>
      <c r="M2470" s="4">
        <v>113.382355</v>
      </c>
      <c r="N2470" s="13">
        <v>5.61</v>
      </c>
      <c r="P2470"/>
      <c r="Q2470" s="12"/>
      <c r="R2470" s="12"/>
    </row>
    <row r="2471" spans="1:18" x14ac:dyDescent="0.2">
      <c r="A2471">
        <v>21</v>
      </c>
      <c r="B2471" t="s">
        <v>14</v>
      </c>
      <c r="C2471">
        <v>2018</v>
      </c>
      <c r="D2471">
        <v>10</v>
      </c>
      <c r="E2471" s="4">
        <v>0</v>
      </c>
      <c r="F2471" s="9">
        <v>0</v>
      </c>
      <c r="G2471" s="6">
        <v>3195</v>
      </c>
      <c r="H2471" s="9">
        <f t="shared" si="38"/>
        <v>0</v>
      </c>
      <c r="I2471" s="6">
        <v>12102</v>
      </c>
      <c r="J2471" s="6">
        <f>VLOOKUP(Table1[[#This Row],[Province]],[1]Sheet1!$A$3:$K$37,8,FALSE)</f>
        <v>2714900</v>
      </c>
      <c r="K2471">
        <v>0</v>
      </c>
      <c r="L2471" s="4">
        <v>1.6814880000000001</v>
      </c>
      <c r="M2471" s="4">
        <v>113.382355</v>
      </c>
      <c r="N2471" s="13">
        <v>5.61</v>
      </c>
      <c r="P2471"/>
      <c r="Q2471" s="12"/>
      <c r="R2471" s="12"/>
    </row>
    <row r="2472" spans="1:18" x14ac:dyDescent="0.2">
      <c r="A2472">
        <v>21</v>
      </c>
      <c r="B2472" t="s">
        <v>14</v>
      </c>
      <c r="C2472">
        <v>2018</v>
      </c>
      <c r="D2472">
        <v>11</v>
      </c>
      <c r="E2472" s="4">
        <v>0</v>
      </c>
      <c r="F2472" s="9">
        <v>0</v>
      </c>
      <c r="G2472" s="6">
        <v>2978</v>
      </c>
      <c r="H2472" s="9">
        <f t="shared" si="38"/>
        <v>0</v>
      </c>
      <c r="I2472" s="6">
        <v>11250</v>
      </c>
      <c r="J2472" s="6">
        <f>VLOOKUP(Table1[[#This Row],[Province]],[1]Sheet1!$A$3:$K$37,8,FALSE)</f>
        <v>2714900</v>
      </c>
      <c r="K2472">
        <v>0</v>
      </c>
      <c r="L2472" s="4">
        <v>1.6814880000000001</v>
      </c>
      <c r="M2472" s="4">
        <v>113.382355</v>
      </c>
      <c r="N2472" s="13">
        <v>5.61</v>
      </c>
      <c r="P2472"/>
      <c r="Q2472" s="12"/>
      <c r="R2472" s="12"/>
    </row>
    <row r="2473" spans="1:18" x14ac:dyDescent="0.2">
      <c r="A2473">
        <v>21</v>
      </c>
      <c r="B2473" t="s">
        <v>14</v>
      </c>
      <c r="C2473">
        <v>2018</v>
      </c>
      <c r="D2473">
        <v>12</v>
      </c>
      <c r="E2473" s="4">
        <v>0</v>
      </c>
      <c r="F2473" s="9">
        <v>0</v>
      </c>
      <c r="G2473" s="6">
        <v>3295</v>
      </c>
      <c r="H2473" s="9">
        <f t="shared" si="38"/>
        <v>0</v>
      </c>
      <c r="I2473" s="6">
        <v>11684</v>
      </c>
      <c r="J2473" s="6">
        <f>VLOOKUP(Table1[[#This Row],[Province]],[1]Sheet1!$A$3:$K$37,8,FALSE)</f>
        <v>2714900</v>
      </c>
      <c r="K2473">
        <v>1</v>
      </c>
      <c r="L2473" s="4">
        <v>1.6814880000000001</v>
      </c>
      <c r="M2473" s="4">
        <v>113.382355</v>
      </c>
      <c r="N2473" s="13">
        <v>5.61</v>
      </c>
      <c r="P2473"/>
      <c r="Q2473" s="12"/>
      <c r="R2473" s="12"/>
    </row>
    <row r="2474" spans="1:18" x14ac:dyDescent="0.2">
      <c r="A2474">
        <v>21</v>
      </c>
      <c r="B2474" t="s">
        <v>14</v>
      </c>
      <c r="C2474">
        <v>2019</v>
      </c>
      <c r="D2474">
        <v>1</v>
      </c>
      <c r="E2474" s="4">
        <v>0</v>
      </c>
      <c r="F2474" s="9">
        <v>0</v>
      </c>
      <c r="G2474" s="6">
        <v>2169</v>
      </c>
      <c r="H2474" s="9">
        <f t="shared" si="38"/>
        <v>0</v>
      </c>
      <c r="I2474" s="6">
        <v>11421</v>
      </c>
      <c r="J2474" s="6">
        <f>VLOOKUP(Table1[[#This Row],[Province]],[1]Sheet1!$A$3:$K$37,8,FALSE)</f>
        <v>2714900</v>
      </c>
      <c r="K2474">
        <v>0</v>
      </c>
      <c r="L2474" s="4">
        <v>1.6814880000000001</v>
      </c>
      <c r="M2474" s="4">
        <v>113.382355</v>
      </c>
      <c r="N2474" s="13">
        <v>6.12</v>
      </c>
      <c r="P2474"/>
      <c r="Q2474" s="12"/>
      <c r="R2474" s="12"/>
    </row>
    <row r="2475" spans="1:18" x14ac:dyDescent="0.2">
      <c r="A2475">
        <v>21</v>
      </c>
      <c r="B2475" t="s">
        <v>14</v>
      </c>
      <c r="C2475">
        <v>2019</v>
      </c>
      <c r="D2475">
        <v>2</v>
      </c>
      <c r="E2475" s="4">
        <v>0</v>
      </c>
      <c r="F2475" s="9">
        <v>0</v>
      </c>
      <c r="G2475" s="6">
        <v>3015</v>
      </c>
      <c r="H2475" s="9">
        <f t="shared" si="38"/>
        <v>0</v>
      </c>
      <c r="I2475" s="6">
        <v>11303</v>
      </c>
      <c r="J2475" s="6">
        <f>VLOOKUP(Table1[[#This Row],[Province]],[1]Sheet1!$A$3:$K$37,8,FALSE)</f>
        <v>2714900</v>
      </c>
      <c r="K2475">
        <v>0</v>
      </c>
      <c r="L2475" s="4">
        <v>1.6814880000000001</v>
      </c>
      <c r="M2475" s="4">
        <v>113.382355</v>
      </c>
      <c r="N2475" s="13">
        <v>6.12</v>
      </c>
      <c r="P2475"/>
      <c r="Q2475" s="12"/>
      <c r="R2475" s="12"/>
    </row>
    <row r="2476" spans="1:18" x14ac:dyDescent="0.2">
      <c r="A2476">
        <v>21</v>
      </c>
      <c r="B2476" t="s">
        <v>14</v>
      </c>
      <c r="C2476">
        <v>2019</v>
      </c>
      <c r="D2476">
        <v>3</v>
      </c>
      <c r="E2476" s="4">
        <v>0</v>
      </c>
      <c r="F2476" s="9">
        <v>0</v>
      </c>
      <c r="G2476" s="6">
        <v>2423</v>
      </c>
      <c r="H2476" s="9">
        <f t="shared" si="38"/>
        <v>0</v>
      </c>
      <c r="I2476" s="6">
        <v>11524</v>
      </c>
      <c r="J2476" s="6">
        <f>VLOOKUP(Table1[[#This Row],[Province]],[1]Sheet1!$A$3:$K$37,8,FALSE)</f>
        <v>2714900</v>
      </c>
      <c r="K2476">
        <v>0</v>
      </c>
      <c r="L2476" s="4">
        <v>1.6814880000000001</v>
      </c>
      <c r="M2476" s="4">
        <v>113.382355</v>
      </c>
      <c r="N2476" s="13">
        <v>6.12</v>
      </c>
      <c r="P2476"/>
      <c r="Q2476" s="12"/>
      <c r="R2476" s="12"/>
    </row>
    <row r="2477" spans="1:18" x14ac:dyDescent="0.2">
      <c r="A2477">
        <v>21</v>
      </c>
      <c r="B2477" t="s">
        <v>14</v>
      </c>
      <c r="C2477">
        <v>2019</v>
      </c>
      <c r="D2477">
        <v>4</v>
      </c>
      <c r="E2477" s="4">
        <v>0</v>
      </c>
      <c r="F2477" s="9">
        <v>0</v>
      </c>
      <c r="G2477" s="6">
        <v>2844</v>
      </c>
      <c r="H2477" s="9">
        <f t="shared" si="38"/>
        <v>0</v>
      </c>
      <c r="I2477" s="6">
        <v>11386</v>
      </c>
      <c r="J2477" s="6">
        <f>VLOOKUP(Table1[[#This Row],[Province]],[1]Sheet1!$A$3:$K$37,8,FALSE)</f>
        <v>2714900</v>
      </c>
      <c r="K2477">
        <v>0</v>
      </c>
      <c r="L2477" s="4">
        <v>1.6814880000000001</v>
      </c>
      <c r="M2477" s="4">
        <v>113.382355</v>
      </c>
      <c r="N2477" s="13">
        <v>6.12</v>
      </c>
      <c r="P2477"/>
      <c r="Q2477" s="12"/>
      <c r="R2477" s="12"/>
    </row>
    <row r="2478" spans="1:18" x14ac:dyDescent="0.2">
      <c r="A2478">
        <v>21</v>
      </c>
      <c r="B2478" t="s">
        <v>14</v>
      </c>
      <c r="C2478">
        <v>2019</v>
      </c>
      <c r="D2478">
        <v>5</v>
      </c>
      <c r="E2478" s="4">
        <v>0</v>
      </c>
      <c r="F2478" s="9">
        <v>0</v>
      </c>
      <c r="G2478" s="6">
        <v>2315</v>
      </c>
      <c r="H2478" s="9">
        <f t="shared" si="38"/>
        <v>0</v>
      </c>
      <c r="I2478" s="6">
        <v>11748</v>
      </c>
      <c r="J2478" s="6">
        <f>VLOOKUP(Table1[[#This Row],[Province]],[1]Sheet1!$A$3:$K$37,8,FALSE)</f>
        <v>2714900</v>
      </c>
      <c r="K2478">
        <v>1</v>
      </c>
      <c r="L2478" s="4">
        <v>1.6814880000000001</v>
      </c>
      <c r="M2478" s="4">
        <v>113.382355</v>
      </c>
      <c r="N2478" s="13">
        <v>6.12</v>
      </c>
      <c r="P2478"/>
      <c r="Q2478" s="12"/>
      <c r="R2478" s="12"/>
    </row>
    <row r="2479" spans="1:18" x14ac:dyDescent="0.2">
      <c r="A2479">
        <v>21</v>
      </c>
      <c r="B2479" t="s">
        <v>14</v>
      </c>
      <c r="C2479">
        <v>2019</v>
      </c>
      <c r="D2479">
        <v>6</v>
      </c>
      <c r="E2479" s="4">
        <v>0</v>
      </c>
      <c r="F2479" s="9">
        <v>0</v>
      </c>
      <c r="G2479" s="6">
        <v>2362</v>
      </c>
      <c r="H2479" s="9">
        <f t="shared" si="38"/>
        <v>0</v>
      </c>
      <c r="I2479" s="6">
        <v>11645</v>
      </c>
      <c r="J2479" s="6">
        <f>VLOOKUP(Table1[[#This Row],[Province]],[1]Sheet1!$A$3:$K$37,8,FALSE)</f>
        <v>2714900</v>
      </c>
      <c r="K2479">
        <v>0</v>
      </c>
      <c r="L2479" s="4">
        <v>1.6814880000000001</v>
      </c>
      <c r="M2479" s="4">
        <v>113.382355</v>
      </c>
      <c r="N2479" s="13">
        <v>6.12</v>
      </c>
      <c r="P2479"/>
      <c r="Q2479" s="12"/>
      <c r="R2479" s="12"/>
    </row>
    <row r="2480" spans="1:18" x14ac:dyDescent="0.2">
      <c r="A2480">
        <v>21</v>
      </c>
      <c r="B2480" t="s">
        <v>14</v>
      </c>
      <c r="C2480">
        <v>2019</v>
      </c>
      <c r="D2480">
        <v>7</v>
      </c>
      <c r="E2480" s="4">
        <v>0</v>
      </c>
      <c r="F2480" s="9">
        <v>0</v>
      </c>
      <c r="G2480" s="6">
        <v>2733</v>
      </c>
      <c r="H2480" s="9">
        <f t="shared" si="38"/>
        <v>0</v>
      </c>
      <c r="I2480" s="6">
        <v>11976</v>
      </c>
      <c r="J2480" s="6">
        <f>VLOOKUP(Table1[[#This Row],[Province]],[1]Sheet1!$A$3:$K$37,8,FALSE)</f>
        <v>2714900</v>
      </c>
      <c r="K2480">
        <v>0</v>
      </c>
      <c r="L2480" s="4">
        <v>1.6814880000000001</v>
      </c>
      <c r="M2480" s="4">
        <v>113.382355</v>
      </c>
      <c r="N2480" s="13">
        <v>6.12</v>
      </c>
      <c r="P2480"/>
      <c r="Q2480" s="12"/>
      <c r="R2480" s="12"/>
    </row>
    <row r="2481" spans="1:18" x14ac:dyDescent="0.2">
      <c r="A2481">
        <v>21</v>
      </c>
      <c r="B2481" t="s">
        <v>14</v>
      </c>
      <c r="C2481">
        <v>2019</v>
      </c>
      <c r="D2481">
        <v>8</v>
      </c>
      <c r="E2481" s="4">
        <v>0</v>
      </c>
      <c r="F2481" s="9">
        <v>0</v>
      </c>
      <c r="G2481" s="6">
        <v>2594</v>
      </c>
      <c r="H2481" s="9">
        <f t="shared" si="38"/>
        <v>0</v>
      </c>
      <c r="I2481" s="6">
        <v>12343</v>
      </c>
      <c r="J2481" s="6">
        <f>VLOOKUP(Table1[[#This Row],[Province]],[1]Sheet1!$A$3:$K$37,8,FALSE)</f>
        <v>2714900</v>
      </c>
      <c r="K2481">
        <v>0</v>
      </c>
      <c r="L2481" s="4">
        <v>1.6814880000000001</v>
      </c>
      <c r="M2481" s="4">
        <v>113.382355</v>
      </c>
      <c r="N2481" s="13">
        <v>6.12</v>
      </c>
      <c r="P2481"/>
      <c r="Q2481" s="12"/>
      <c r="R2481" s="12"/>
    </row>
    <row r="2482" spans="1:18" x14ac:dyDescent="0.2">
      <c r="A2482">
        <v>21</v>
      </c>
      <c r="B2482" t="s">
        <v>14</v>
      </c>
      <c r="C2482">
        <v>2019</v>
      </c>
      <c r="D2482">
        <v>9</v>
      </c>
      <c r="E2482" s="4">
        <v>0</v>
      </c>
      <c r="F2482" s="9">
        <v>0</v>
      </c>
      <c r="G2482" s="6">
        <v>4103</v>
      </c>
      <c r="H2482" s="9">
        <f t="shared" si="38"/>
        <v>0</v>
      </c>
      <c r="I2482" s="6">
        <v>12049</v>
      </c>
      <c r="J2482" s="6">
        <f>VLOOKUP(Table1[[#This Row],[Province]],[1]Sheet1!$A$3:$K$37,8,FALSE)</f>
        <v>2714900</v>
      </c>
      <c r="K2482">
        <v>0</v>
      </c>
      <c r="L2482" s="4">
        <v>1.6814880000000001</v>
      </c>
      <c r="M2482" s="4">
        <v>113.382355</v>
      </c>
      <c r="N2482" s="13">
        <v>6.12</v>
      </c>
      <c r="P2482"/>
      <c r="Q2482" s="12"/>
      <c r="R2482" s="12"/>
    </row>
    <row r="2483" spans="1:18" x14ac:dyDescent="0.2">
      <c r="A2483">
        <v>21</v>
      </c>
      <c r="B2483" t="s">
        <v>14</v>
      </c>
      <c r="C2483">
        <v>2019</v>
      </c>
      <c r="D2483">
        <v>10</v>
      </c>
      <c r="E2483" s="4">
        <v>0</v>
      </c>
      <c r="F2483" s="9">
        <v>0</v>
      </c>
      <c r="G2483" s="6">
        <v>1659</v>
      </c>
      <c r="H2483" s="9">
        <f t="shared" si="38"/>
        <v>0</v>
      </c>
      <c r="I2483" s="6">
        <v>12180</v>
      </c>
      <c r="J2483" s="6">
        <f>VLOOKUP(Table1[[#This Row],[Province]],[1]Sheet1!$A$3:$K$37,8,FALSE)</f>
        <v>2714900</v>
      </c>
      <c r="K2483">
        <v>0</v>
      </c>
      <c r="L2483" s="4">
        <v>1.6814880000000001</v>
      </c>
      <c r="M2483" s="4">
        <v>113.382355</v>
      </c>
      <c r="N2483" s="13">
        <v>6.12</v>
      </c>
      <c r="P2483"/>
      <c r="Q2483" s="12"/>
      <c r="R2483" s="12"/>
    </row>
    <row r="2484" spans="1:18" x14ac:dyDescent="0.2">
      <c r="A2484">
        <v>21</v>
      </c>
      <c r="B2484" t="s">
        <v>14</v>
      </c>
      <c r="C2484">
        <v>2019</v>
      </c>
      <c r="D2484">
        <v>11</v>
      </c>
      <c r="E2484" s="4">
        <v>0</v>
      </c>
      <c r="F2484" s="9">
        <v>0</v>
      </c>
      <c r="G2484" s="6">
        <v>2485</v>
      </c>
      <c r="H2484" s="9">
        <f t="shared" si="38"/>
        <v>0</v>
      </c>
      <c r="I2484" s="6">
        <v>12854</v>
      </c>
      <c r="J2484" s="6">
        <f>VLOOKUP(Table1[[#This Row],[Province]],[1]Sheet1!$A$3:$K$37,8,FALSE)</f>
        <v>2714900</v>
      </c>
      <c r="K2484">
        <v>0</v>
      </c>
      <c r="L2484" s="4">
        <v>1.6814880000000001</v>
      </c>
      <c r="M2484" s="4">
        <v>113.382355</v>
      </c>
      <c r="N2484" s="13">
        <v>6.12</v>
      </c>
      <c r="P2484"/>
      <c r="Q2484" s="12"/>
      <c r="R2484" s="12"/>
    </row>
    <row r="2485" spans="1:18" x14ac:dyDescent="0.2">
      <c r="A2485">
        <v>21</v>
      </c>
      <c r="B2485" t="s">
        <v>14</v>
      </c>
      <c r="C2485">
        <v>2019</v>
      </c>
      <c r="D2485">
        <v>12</v>
      </c>
      <c r="E2485" s="4">
        <v>0</v>
      </c>
      <c r="F2485" s="9">
        <v>0</v>
      </c>
      <c r="G2485" s="6">
        <v>2894</v>
      </c>
      <c r="H2485" s="9">
        <f t="shared" si="38"/>
        <v>0</v>
      </c>
      <c r="I2485" s="6">
        <v>12650</v>
      </c>
      <c r="J2485" s="6">
        <f>VLOOKUP(Table1[[#This Row],[Province]],[1]Sheet1!$A$3:$K$37,8,FALSE)</f>
        <v>2714900</v>
      </c>
      <c r="K2485">
        <v>1</v>
      </c>
      <c r="L2485" s="4">
        <v>1.6814880000000001</v>
      </c>
      <c r="M2485" s="4">
        <v>113.382355</v>
      </c>
      <c r="N2485" s="13">
        <v>6.12</v>
      </c>
      <c r="P2485"/>
      <c r="Q2485" s="12"/>
      <c r="R2485" s="12"/>
    </row>
    <row r="2486" spans="1:18" x14ac:dyDescent="0.2">
      <c r="A2486">
        <v>21</v>
      </c>
      <c r="B2486" t="s">
        <v>14</v>
      </c>
      <c r="C2486">
        <v>2020</v>
      </c>
      <c r="D2486">
        <v>1</v>
      </c>
      <c r="E2486" s="4">
        <v>0</v>
      </c>
      <c r="F2486" s="9">
        <v>0</v>
      </c>
      <c r="G2486" s="6">
        <v>2483</v>
      </c>
      <c r="H2486" s="9">
        <f t="shared" si="38"/>
        <v>0</v>
      </c>
      <c r="I2486" s="6">
        <v>12927</v>
      </c>
      <c r="J2486" s="6">
        <f>VLOOKUP(Table1[[#This Row],[Province]],[1]Sheet1!$A$3:$K$37,8,FALSE)</f>
        <v>2714900</v>
      </c>
      <c r="K2486">
        <v>0</v>
      </c>
      <c r="L2486" s="4">
        <v>1.6814880000000001</v>
      </c>
      <c r="M2486" s="4">
        <v>113.382355</v>
      </c>
      <c r="N2486" s="13">
        <v>-1.41</v>
      </c>
      <c r="P2486"/>
      <c r="Q2486" s="12"/>
      <c r="R2486" s="12"/>
    </row>
    <row r="2487" spans="1:18" x14ac:dyDescent="0.2">
      <c r="A2487">
        <v>21</v>
      </c>
      <c r="B2487" t="s">
        <v>14</v>
      </c>
      <c r="C2487">
        <v>2020</v>
      </c>
      <c r="D2487">
        <v>2</v>
      </c>
      <c r="E2487" s="4">
        <v>0</v>
      </c>
      <c r="F2487" s="9">
        <v>0</v>
      </c>
      <c r="G2487" s="6">
        <v>3225</v>
      </c>
      <c r="H2487" s="9">
        <f t="shared" si="38"/>
        <v>0</v>
      </c>
      <c r="I2487" s="6">
        <v>13934</v>
      </c>
      <c r="J2487" s="6">
        <f>VLOOKUP(Table1[[#This Row],[Province]],[1]Sheet1!$A$3:$K$37,8,FALSE)</f>
        <v>2714900</v>
      </c>
      <c r="K2487">
        <v>0</v>
      </c>
      <c r="L2487" s="4">
        <v>1.6814880000000001</v>
      </c>
      <c r="M2487" s="4">
        <v>113.382355</v>
      </c>
      <c r="N2487" s="13">
        <v>-1.41</v>
      </c>
      <c r="P2487"/>
      <c r="Q2487" s="12"/>
      <c r="R2487" s="12"/>
    </row>
    <row r="2488" spans="1:18" x14ac:dyDescent="0.2">
      <c r="A2488">
        <v>21</v>
      </c>
      <c r="B2488" t="s">
        <v>14</v>
      </c>
      <c r="C2488">
        <v>2020</v>
      </c>
      <c r="D2488">
        <v>3</v>
      </c>
      <c r="E2488" s="4">
        <v>0</v>
      </c>
      <c r="F2488" s="9">
        <v>0</v>
      </c>
      <c r="G2488" s="6">
        <v>3405</v>
      </c>
      <c r="H2488" s="9">
        <f t="shared" si="38"/>
        <v>0</v>
      </c>
      <c r="I2488" s="6">
        <v>16376</v>
      </c>
      <c r="J2488" s="6">
        <f>VLOOKUP(Table1[[#This Row],[Province]],[1]Sheet1!$A$3:$K$37,8,FALSE)</f>
        <v>2714900</v>
      </c>
      <c r="K2488">
        <v>0</v>
      </c>
      <c r="L2488" s="4">
        <v>1.6814880000000001</v>
      </c>
      <c r="M2488" s="4">
        <v>113.382355</v>
      </c>
      <c r="N2488" s="13">
        <v>-1.41</v>
      </c>
      <c r="P2488"/>
      <c r="Q2488" s="12"/>
      <c r="R2488" s="12"/>
    </row>
    <row r="2489" spans="1:18" x14ac:dyDescent="0.2">
      <c r="A2489">
        <v>21</v>
      </c>
      <c r="B2489" t="s">
        <v>14</v>
      </c>
      <c r="C2489">
        <v>2020</v>
      </c>
      <c r="D2489">
        <v>4</v>
      </c>
      <c r="E2489" s="4">
        <v>0</v>
      </c>
      <c r="F2489" s="9">
        <v>0</v>
      </c>
      <c r="G2489" s="6">
        <v>1648</v>
      </c>
      <c r="H2489" s="9">
        <f t="shared" si="38"/>
        <v>0</v>
      </c>
      <c r="I2489" s="6">
        <v>17465</v>
      </c>
      <c r="J2489" s="6">
        <f>VLOOKUP(Table1[[#This Row],[Province]],[1]Sheet1!$A$3:$K$37,8,FALSE)</f>
        <v>2714900</v>
      </c>
      <c r="K2489">
        <v>1</v>
      </c>
      <c r="L2489" s="4">
        <v>1.6814880000000001</v>
      </c>
      <c r="M2489" s="4">
        <v>113.382355</v>
      </c>
      <c r="N2489" s="13">
        <v>-1.41</v>
      </c>
      <c r="P2489"/>
      <c r="Q2489" s="12"/>
      <c r="R2489" s="12"/>
    </row>
    <row r="2490" spans="1:18" x14ac:dyDescent="0.2">
      <c r="A2490">
        <v>21</v>
      </c>
      <c r="B2490" t="s">
        <v>14</v>
      </c>
      <c r="C2490">
        <v>2020</v>
      </c>
      <c r="D2490">
        <v>5</v>
      </c>
      <c r="E2490" s="4">
        <v>0</v>
      </c>
      <c r="F2490" s="9">
        <v>0</v>
      </c>
      <c r="G2490" s="6">
        <v>2196</v>
      </c>
      <c r="H2490" s="9">
        <f t="shared" si="38"/>
        <v>0</v>
      </c>
      <c r="I2490" s="6">
        <v>14000</v>
      </c>
      <c r="J2490" s="6">
        <f>VLOOKUP(Table1[[#This Row],[Province]],[1]Sheet1!$A$3:$K$37,8,FALSE)</f>
        <v>2714900</v>
      </c>
      <c r="K2490">
        <v>0</v>
      </c>
      <c r="L2490" s="4">
        <v>1.6814880000000001</v>
      </c>
      <c r="M2490" s="4">
        <v>113.382355</v>
      </c>
      <c r="N2490" s="13">
        <v>-1.41</v>
      </c>
      <c r="P2490"/>
      <c r="Q2490" s="12"/>
      <c r="R2490" s="12"/>
    </row>
    <row r="2491" spans="1:18" x14ac:dyDescent="0.2">
      <c r="A2491">
        <v>21</v>
      </c>
      <c r="B2491" t="s">
        <v>14</v>
      </c>
      <c r="C2491">
        <v>2020</v>
      </c>
      <c r="D2491">
        <v>5</v>
      </c>
      <c r="E2491" s="4">
        <v>0</v>
      </c>
      <c r="F2491" s="9">
        <v>0</v>
      </c>
      <c r="G2491" s="6">
        <v>1938</v>
      </c>
      <c r="H2491" s="9">
        <f t="shared" si="38"/>
        <v>0</v>
      </c>
      <c r="I2491" s="6">
        <v>17021</v>
      </c>
      <c r="J2491" s="6">
        <f>VLOOKUP(Table1[[#This Row],[Province]],[1]Sheet1!$A$3:$K$37,8,FALSE)</f>
        <v>2714900</v>
      </c>
      <c r="K2491">
        <v>0</v>
      </c>
      <c r="L2491" s="4">
        <v>1.6814880000000001</v>
      </c>
      <c r="M2491" s="4">
        <v>113.382355</v>
      </c>
      <c r="N2491" s="13">
        <v>-1.41</v>
      </c>
      <c r="P2491"/>
      <c r="Q2491" s="12"/>
      <c r="R2491" s="12"/>
    </row>
    <row r="2492" spans="1:18" x14ac:dyDescent="0.2">
      <c r="A2492">
        <v>21</v>
      </c>
      <c r="B2492" t="s">
        <v>14</v>
      </c>
      <c r="C2492">
        <v>2020</v>
      </c>
      <c r="D2492">
        <v>6</v>
      </c>
      <c r="E2492" s="4">
        <v>0</v>
      </c>
      <c r="F2492" s="9">
        <v>0</v>
      </c>
      <c r="G2492" s="6">
        <v>2711</v>
      </c>
      <c r="H2492" s="9">
        <f t="shared" si="38"/>
        <v>0</v>
      </c>
      <c r="I2492" s="6">
        <v>15904</v>
      </c>
      <c r="J2492" s="6">
        <f>VLOOKUP(Table1[[#This Row],[Province]],[1]Sheet1!$A$3:$K$37,8,FALSE)</f>
        <v>2714900</v>
      </c>
      <c r="K2492">
        <v>0</v>
      </c>
      <c r="L2492" s="4">
        <v>1.6814880000000001</v>
      </c>
      <c r="M2492" s="4">
        <v>113.382355</v>
      </c>
      <c r="N2492" s="13">
        <v>-1.41</v>
      </c>
      <c r="P2492"/>
      <c r="Q2492" s="12"/>
      <c r="R2492" s="12"/>
    </row>
    <row r="2493" spans="1:18" x14ac:dyDescent="0.2">
      <c r="A2493">
        <v>21</v>
      </c>
      <c r="B2493" t="s">
        <v>14</v>
      </c>
      <c r="C2493">
        <v>2020</v>
      </c>
      <c r="D2493">
        <v>7</v>
      </c>
      <c r="E2493" s="4">
        <v>0</v>
      </c>
      <c r="F2493" s="9">
        <v>0</v>
      </c>
      <c r="G2493" s="6">
        <v>2397</v>
      </c>
      <c r="H2493" s="9">
        <f t="shared" si="38"/>
        <v>0</v>
      </c>
      <c r="I2493" s="6">
        <v>14173</v>
      </c>
      <c r="J2493" s="6">
        <f>VLOOKUP(Table1[[#This Row],[Province]],[1]Sheet1!$A$3:$K$37,8,FALSE)</f>
        <v>2714900</v>
      </c>
      <c r="K2493">
        <v>0</v>
      </c>
      <c r="L2493" s="4">
        <v>1.6814880000000001</v>
      </c>
      <c r="M2493" s="4">
        <v>113.382355</v>
      </c>
      <c r="N2493" s="13">
        <v>-1.41</v>
      </c>
      <c r="P2493"/>
      <c r="Q2493" s="12"/>
      <c r="R2493" s="12"/>
    </row>
    <row r="2494" spans="1:18" x14ac:dyDescent="0.2">
      <c r="A2494">
        <v>21</v>
      </c>
      <c r="B2494" t="s">
        <v>14</v>
      </c>
      <c r="C2494">
        <v>2020</v>
      </c>
      <c r="D2494">
        <v>8</v>
      </c>
      <c r="E2494" s="4">
        <v>0</v>
      </c>
      <c r="F2494" s="9">
        <v>0</v>
      </c>
      <c r="G2494" s="6">
        <v>1497</v>
      </c>
      <c r="H2494" s="9">
        <f t="shared" si="38"/>
        <v>0</v>
      </c>
      <c r="I2494" s="6">
        <v>13000</v>
      </c>
      <c r="J2494" s="6">
        <f>VLOOKUP(Table1[[#This Row],[Province]],[1]Sheet1!$A$3:$K$37,8,FALSE)</f>
        <v>2714900</v>
      </c>
      <c r="K2494">
        <v>0</v>
      </c>
      <c r="L2494" s="4">
        <v>1.6814880000000001</v>
      </c>
      <c r="M2494" s="4">
        <v>113.382355</v>
      </c>
      <c r="N2494" s="13">
        <v>-1.41</v>
      </c>
      <c r="P2494"/>
      <c r="Q2494" s="12"/>
      <c r="R2494" s="12"/>
    </row>
    <row r="2495" spans="1:18" x14ac:dyDescent="0.2">
      <c r="A2495">
        <v>21</v>
      </c>
      <c r="B2495" t="s">
        <v>14</v>
      </c>
      <c r="C2495">
        <v>2020</v>
      </c>
      <c r="D2495">
        <v>9</v>
      </c>
      <c r="E2495" s="4">
        <v>0</v>
      </c>
      <c r="F2495" s="9">
        <v>0</v>
      </c>
      <c r="G2495" s="6">
        <v>1734</v>
      </c>
      <c r="H2495" s="9">
        <f t="shared" si="38"/>
        <v>0</v>
      </c>
      <c r="I2495" s="6">
        <v>13000</v>
      </c>
      <c r="J2495" s="6">
        <f>VLOOKUP(Table1[[#This Row],[Province]],[1]Sheet1!$A$3:$K$37,8,FALSE)</f>
        <v>2714900</v>
      </c>
      <c r="K2495">
        <v>0</v>
      </c>
      <c r="L2495" s="4">
        <v>1.6814880000000001</v>
      </c>
      <c r="M2495" s="4">
        <v>113.382355</v>
      </c>
      <c r="N2495" s="13">
        <v>-1.41</v>
      </c>
      <c r="P2495"/>
      <c r="Q2495" s="12"/>
      <c r="R2495" s="12"/>
    </row>
    <row r="2496" spans="1:18" x14ac:dyDescent="0.2">
      <c r="A2496">
        <v>21</v>
      </c>
      <c r="B2496" t="s">
        <v>14</v>
      </c>
      <c r="C2496">
        <v>2020</v>
      </c>
      <c r="D2496">
        <v>10</v>
      </c>
      <c r="E2496" s="4">
        <v>0</v>
      </c>
      <c r="F2496" s="9">
        <v>0</v>
      </c>
      <c r="G2496" s="6">
        <v>1412</v>
      </c>
      <c r="H2496" s="9">
        <f t="shared" si="38"/>
        <v>0</v>
      </c>
      <c r="I2496" s="6">
        <v>13000</v>
      </c>
      <c r="J2496" s="6">
        <f>VLOOKUP(Table1[[#This Row],[Province]],[1]Sheet1!$A$3:$K$37,8,FALSE)</f>
        <v>2714900</v>
      </c>
      <c r="K2496">
        <v>0</v>
      </c>
      <c r="L2496" s="4">
        <v>1.6814880000000001</v>
      </c>
      <c r="M2496" s="4">
        <v>113.382355</v>
      </c>
      <c r="N2496" s="13">
        <v>-1.41</v>
      </c>
      <c r="P2496"/>
      <c r="Q2496" s="12"/>
      <c r="R2496" s="12"/>
    </row>
    <row r="2497" spans="1:18" x14ac:dyDescent="0.2">
      <c r="A2497">
        <v>21</v>
      </c>
      <c r="B2497" t="s">
        <v>14</v>
      </c>
      <c r="C2497">
        <v>2020</v>
      </c>
      <c r="D2497">
        <v>12</v>
      </c>
      <c r="E2497" s="4">
        <v>0</v>
      </c>
      <c r="F2497" s="9">
        <v>0</v>
      </c>
      <c r="G2497" s="6">
        <v>1840</v>
      </c>
      <c r="H2497" s="9">
        <f t="shared" si="38"/>
        <v>0</v>
      </c>
      <c r="I2497" s="6">
        <v>13000</v>
      </c>
      <c r="J2497" s="6">
        <f>VLOOKUP(Table1[[#This Row],[Province]],[1]Sheet1!$A$3:$K$37,8,FALSE)</f>
        <v>2714900</v>
      </c>
      <c r="K2497">
        <v>1</v>
      </c>
      <c r="L2497" s="4">
        <v>1.6814880000000001</v>
      </c>
      <c r="M2497" s="4">
        <v>113.382355</v>
      </c>
      <c r="N2497" s="13">
        <v>-1.41</v>
      </c>
      <c r="P2497"/>
      <c r="Q2497" s="12"/>
      <c r="R2497" s="12"/>
    </row>
    <row r="2498" spans="1:18" x14ac:dyDescent="0.2">
      <c r="A2498">
        <v>21</v>
      </c>
      <c r="B2498" t="s">
        <v>14</v>
      </c>
      <c r="C2498">
        <v>2021</v>
      </c>
      <c r="D2498">
        <v>1</v>
      </c>
      <c r="E2498" s="4">
        <v>0</v>
      </c>
      <c r="F2498" s="9">
        <v>0</v>
      </c>
      <c r="G2498" s="6">
        <v>1357</v>
      </c>
      <c r="H2498" s="9">
        <f t="shared" ref="H2498:H2561" si="39">F2498+E2498</f>
        <v>0</v>
      </c>
      <c r="I2498" s="6">
        <v>13000</v>
      </c>
      <c r="J2498" s="6">
        <f>VLOOKUP(Table1[[#This Row],[Province]],[1]Sheet1!$A$3:$K$37,8,FALSE)</f>
        <v>2714900</v>
      </c>
      <c r="K2498">
        <v>0</v>
      </c>
      <c r="L2498" s="4">
        <v>1.6814880000000001</v>
      </c>
      <c r="M2498" s="4">
        <v>113.382355</v>
      </c>
      <c r="N2498" s="13">
        <v>3.59</v>
      </c>
      <c r="P2498"/>
      <c r="Q2498" s="12"/>
      <c r="R2498" s="12"/>
    </row>
    <row r="2499" spans="1:18" x14ac:dyDescent="0.2">
      <c r="A2499">
        <v>21</v>
      </c>
      <c r="B2499" t="s">
        <v>14</v>
      </c>
      <c r="C2499">
        <v>2021</v>
      </c>
      <c r="D2499">
        <v>2</v>
      </c>
      <c r="E2499" s="4">
        <v>0</v>
      </c>
      <c r="F2499" s="9">
        <v>0</v>
      </c>
      <c r="G2499" s="6">
        <v>1632</v>
      </c>
      <c r="H2499" s="9">
        <f t="shared" si="39"/>
        <v>0</v>
      </c>
      <c r="I2499" s="6">
        <v>13000</v>
      </c>
      <c r="J2499" s="6">
        <f>VLOOKUP(Table1[[#This Row],[Province]],[1]Sheet1!$A$3:$K$37,8,FALSE)</f>
        <v>2714900</v>
      </c>
      <c r="K2499">
        <v>0</v>
      </c>
      <c r="L2499" s="4">
        <v>1.6814880000000001</v>
      </c>
      <c r="M2499" s="4">
        <v>113.382355</v>
      </c>
      <c r="N2499" s="13">
        <v>3.59</v>
      </c>
      <c r="P2499"/>
      <c r="Q2499" s="12"/>
      <c r="R2499" s="12"/>
    </row>
    <row r="2500" spans="1:18" x14ac:dyDescent="0.2">
      <c r="A2500">
        <v>21</v>
      </c>
      <c r="B2500" t="s">
        <v>14</v>
      </c>
      <c r="C2500">
        <v>2021</v>
      </c>
      <c r="D2500">
        <v>3</v>
      </c>
      <c r="E2500" s="4">
        <v>0</v>
      </c>
      <c r="F2500" s="9">
        <v>0</v>
      </c>
      <c r="G2500" s="6">
        <v>1265</v>
      </c>
      <c r="H2500" s="9">
        <f t="shared" si="39"/>
        <v>0</v>
      </c>
      <c r="I2500" s="6">
        <v>13000</v>
      </c>
      <c r="J2500" s="6">
        <f>VLOOKUP(Table1[[#This Row],[Province]],[1]Sheet1!$A$3:$K$37,8,FALSE)</f>
        <v>2714900</v>
      </c>
      <c r="K2500">
        <v>0</v>
      </c>
      <c r="L2500" s="4">
        <v>1.6814880000000001</v>
      </c>
      <c r="M2500" s="4">
        <v>113.382355</v>
      </c>
      <c r="N2500" s="13">
        <v>3.59</v>
      </c>
      <c r="P2500"/>
      <c r="Q2500" s="12"/>
      <c r="R2500" s="12"/>
    </row>
    <row r="2501" spans="1:18" x14ac:dyDescent="0.2">
      <c r="A2501">
        <v>21</v>
      </c>
      <c r="B2501" t="s">
        <v>14</v>
      </c>
      <c r="C2501">
        <v>2021</v>
      </c>
      <c r="D2501">
        <v>4</v>
      </c>
      <c r="E2501" s="4">
        <v>0</v>
      </c>
      <c r="F2501" s="9">
        <v>0</v>
      </c>
      <c r="G2501" s="6">
        <v>241</v>
      </c>
      <c r="H2501" s="9">
        <f t="shared" si="39"/>
        <v>0</v>
      </c>
      <c r="I2501" s="6">
        <v>13238</v>
      </c>
      <c r="J2501" s="6">
        <f>VLOOKUP(Table1[[#This Row],[Province]],[1]Sheet1!$A$3:$K$37,8,FALSE)</f>
        <v>2714900</v>
      </c>
      <c r="K2501">
        <v>1</v>
      </c>
      <c r="L2501" s="4">
        <v>1.6814880000000001</v>
      </c>
      <c r="M2501" s="4">
        <v>113.382355</v>
      </c>
      <c r="N2501" s="13">
        <v>3.59</v>
      </c>
      <c r="P2501"/>
      <c r="Q2501" s="12"/>
      <c r="R2501" s="12"/>
    </row>
    <row r="2502" spans="1:18" x14ac:dyDescent="0.2">
      <c r="A2502">
        <v>21</v>
      </c>
      <c r="B2502" t="s">
        <v>14</v>
      </c>
      <c r="C2502">
        <v>2021</v>
      </c>
      <c r="D2502">
        <v>5</v>
      </c>
      <c r="E2502" s="4">
        <v>0</v>
      </c>
      <c r="F2502" s="9">
        <v>0</v>
      </c>
      <c r="G2502" s="6">
        <v>1534</v>
      </c>
      <c r="H2502" s="9">
        <f t="shared" si="39"/>
        <v>0</v>
      </c>
      <c r="I2502" s="6">
        <v>13090</v>
      </c>
      <c r="J2502" s="6">
        <f>VLOOKUP(Table1[[#This Row],[Province]],[1]Sheet1!$A$3:$K$37,8,FALSE)</f>
        <v>2714900</v>
      </c>
      <c r="K2502">
        <v>0</v>
      </c>
      <c r="L2502" s="4">
        <v>1.6814880000000001</v>
      </c>
      <c r="M2502" s="4">
        <v>113.382355</v>
      </c>
      <c r="N2502" s="13">
        <v>3.59</v>
      </c>
      <c r="P2502"/>
      <c r="Q2502" s="12"/>
      <c r="R2502" s="12"/>
    </row>
    <row r="2503" spans="1:18" x14ac:dyDescent="0.2">
      <c r="A2503">
        <v>21</v>
      </c>
      <c r="B2503" t="s">
        <v>14</v>
      </c>
      <c r="C2503">
        <v>2021</v>
      </c>
      <c r="D2503">
        <v>6</v>
      </c>
      <c r="E2503" s="4">
        <v>0</v>
      </c>
      <c r="F2503" s="9">
        <v>0</v>
      </c>
      <c r="G2503" s="6">
        <v>2148</v>
      </c>
      <c r="H2503" s="9">
        <f t="shared" si="39"/>
        <v>0</v>
      </c>
      <c r="I2503" s="6">
        <v>13075</v>
      </c>
      <c r="J2503" s="6">
        <f>VLOOKUP(Table1[[#This Row],[Province]],[1]Sheet1!$A$3:$K$37,8,FALSE)</f>
        <v>2714900</v>
      </c>
      <c r="K2503">
        <v>0</v>
      </c>
      <c r="L2503" s="4">
        <v>1.6814880000000001</v>
      </c>
      <c r="M2503" s="4">
        <v>113.382355</v>
      </c>
      <c r="N2503" s="13">
        <v>3.59</v>
      </c>
      <c r="P2503"/>
      <c r="Q2503" s="12"/>
      <c r="R2503" s="12"/>
    </row>
    <row r="2504" spans="1:18" x14ac:dyDescent="0.2">
      <c r="A2504">
        <v>21</v>
      </c>
      <c r="B2504" t="s">
        <v>14</v>
      </c>
      <c r="C2504">
        <v>2021</v>
      </c>
      <c r="D2504">
        <v>7</v>
      </c>
      <c r="E2504" s="4">
        <v>0</v>
      </c>
      <c r="F2504" s="9">
        <v>0</v>
      </c>
      <c r="G2504" s="6">
        <v>3141</v>
      </c>
      <c r="H2504" s="9">
        <f t="shared" si="39"/>
        <v>0</v>
      </c>
      <c r="I2504" s="6">
        <v>13138</v>
      </c>
      <c r="J2504" s="6">
        <f>VLOOKUP(Table1[[#This Row],[Province]],[1]Sheet1!$A$3:$K$37,8,FALSE)</f>
        <v>2714900</v>
      </c>
      <c r="K2504">
        <v>0</v>
      </c>
      <c r="L2504" s="4">
        <v>1.6814880000000001</v>
      </c>
      <c r="M2504" s="4">
        <v>113.382355</v>
      </c>
      <c r="N2504" s="13">
        <v>3.59</v>
      </c>
      <c r="P2504"/>
      <c r="Q2504" s="12"/>
      <c r="R2504" s="12"/>
    </row>
    <row r="2505" spans="1:18" x14ac:dyDescent="0.2">
      <c r="A2505">
        <v>21</v>
      </c>
      <c r="B2505" t="s">
        <v>14</v>
      </c>
      <c r="C2505">
        <v>2021</v>
      </c>
      <c r="D2505">
        <v>8</v>
      </c>
      <c r="E2505" s="4">
        <v>0</v>
      </c>
      <c r="F2505" s="9">
        <v>0</v>
      </c>
      <c r="G2505" s="6">
        <v>1912</v>
      </c>
      <c r="H2505" s="9">
        <f t="shared" si="39"/>
        <v>0</v>
      </c>
      <c r="I2505" s="6">
        <v>13100</v>
      </c>
      <c r="J2505" s="6">
        <f>VLOOKUP(Table1[[#This Row],[Province]],[1]Sheet1!$A$3:$K$37,8,FALSE)</f>
        <v>2714900</v>
      </c>
      <c r="K2505">
        <v>0</v>
      </c>
      <c r="L2505" s="4">
        <v>1.6814880000000001</v>
      </c>
      <c r="M2505" s="4">
        <v>113.382355</v>
      </c>
      <c r="N2505" s="13">
        <v>3.59</v>
      </c>
      <c r="P2505"/>
      <c r="Q2505" s="12"/>
      <c r="R2505" s="12"/>
    </row>
    <row r="2506" spans="1:18" x14ac:dyDescent="0.2">
      <c r="A2506">
        <v>21</v>
      </c>
      <c r="B2506" t="s">
        <v>14</v>
      </c>
      <c r="C2506">
        <v>2021</v>
      </c>
      <c r="D2506">
        <v>9</v>
      </c>
      <c r="E2506" s="4">
        <v>0</v>
      </c>
      <c r="F2506" s="9">
        <v>0</v>
      </c>
      <c r="G2506" s="6">
        <v>1911</v>
      </c>
      <c r="H2506" s="9">
        <f t="shared" si="39"/>
        <v>0</v>
      </c>
      <c r="I2506" s="6">
        <v>13077</v>
      </c>
      <c r="J2506" s="6">
        <f>VLOOKUP(Table1[[#This Row],[Province]],[1]Sheet1!$A$3:$K$37,8,FALSE)</f>
        <v>2714900</v>
      </c>
      <c r="K2506">
        <v>0</v>
      </c>
      <c r="L2506" s="4">
        <v>1.6814880000000001</v>
      </c>
      <c r="M2506" s="4">
        <v>113.382355</v>
      </c>
      <c r="N2506" s="13">
        <v>3.59</v>
      </c>
      <c r="P2506"/>
      <c r="Q2506" s="12"/>
      <c r="R2506" s="12"/>
    </row>
    <row r="2507" spans="1:18" x14ac:dyDescent="0.2">
      <c r="A2507">
        <v>21</v>
      </c>
      <c r="B2507" t="s">
        <v>14</v>
      </c>
      <c r="C2507">
        <v>2021</v>
      </c>
      <c r="D2507">
        <v>10</v>
      </c>
      <c r="E2507" s="4">
        <v>0</v>
      </c>
      <c r="F2507" s="9">
        <v>0</v>
      </c>
      <c r="G2507" s="6">
        <v>1455</v>
      </c>
      <c r="H2507" s="9">
        <f t="shared" si="39"/>
        <v>0</v>
      </c>
      <c r="I2507" s="6">
        <v>13045</v>
      </c>
      <c r="J2507" s="6">
        <f>VLOOKUP(Table1[[#This Row],[Province]],[1]Sheet1!$A$3:$K$37,8,FALSE)</f>
        <v>2714900</v>
      </c>
      <c r="K2507">
        <v>0</v>
      </c>
      <c r="L2507" s="4">
        <v>1.6814880000000001</v>
      </c>
      <c r="M2507" s="4">
        <v>113.382355</v>
      </c>
      <c r="N2507" s="13">
        <v>3.59</v>
      </c>
      <c r="P2507"/>
      <c r="Q2507" s="12"/>
      <c r="R2507" s="12"/>
    </row>
    <row r="2508" spans="1:18" x14ac:dyDescent="0.2">
      <c r="A2508">
        <v>21</v>
      </c>
      <c r="B2508" t="s">
        <v>14</v>
      </c>
      <c r="C2508">
        <v>2021</v>
      </c>
      <c r="D2508">
        <v>11</v>
      </c>
      <c r="E2508" s="4">
        <v>0</v>
      </c>
      <c r="F2508" s="9">
        <v>0</v>
      </c>
      <c r="G2508" s="6">
        <v>2299</v>
      </c>
      <c r="H2508" s="9">
        <f t="shared" si="39"/>
        <v>0</v>
      </c>
      <c r="I2508" s="6">
        <v>13130</v>
      </c>
      <c r="J2508" s="6">
        <f>VLOOKUP(Table1[[#This Row],[Province]],[1]Sheet1!$A$3:$K$37,8,FALSE)</f>
        <v>2714900</v>
      </c>
      <c r="K2508">
        <v>0</v>
      </c>
      <c r="L2508" s="4">
        <v>1.6814880000000001</v>
      </c>
      <c r="M2508" s="4">
        <v>113.382355</v>
      </c>
      <c r="N2508" s="13">
        <v>3.59</v>
      </c>
      <c r="P2508"/>
      <c r="Q2508" s="12"/>
      <c r="R2508" s="12"/>
    </row>
    <row r="2509" spans="1:18" x14ac:dyDescent="0.2">
      <c r="A2509">
        <v>21</v>
      </c>
      <c r="B2509" t="s">
        <v>14</v>
      </c>
      <c r="C2509">
        <v>2021</v>
      </c>
      <c r="D2509">
        <v>12</v>
      </c>
      <c r="E2509" s="4">
        <v>0</v>
      </c>
      <c r="F2509" s="9">
        <v>0</v>
      </c>
      <c r="G2509" s="6">
        <v>1301</v>
      </c>
      <c r="H2509" s="9">
        <f t="shared" si="39"/>
        <v>0</v>
      </c>
      <c r="I2509" s="6">
        <v>13350</v>
      </c>
      <c r="J2509" s="6">
        <f>VLOOKUP(Table1[[#This Row],[Province]],[1]Sheet1!$A$3:$K$37,8,FALSE)</f>
        <v>2714900</v>
      </c>
      <c r="K2509">
        <v>1</v>
      </c>
      <c r="L2509" s="4">
        <v>1.6814880000000001</v>
      </c>
      <c r="M2509" s="4">
        <v>113.382355</v>
      </c>
      <c r="N2509" s="13">
        <v>3.59</v>
      </c>
      <c r="P2509"/>
      <c r="Q2509" s="12"/>
      <c r="R2509" s="12"/>
    </row>
    <row r="2510" spans="1:18" x14ac:dyDescent="0.2">
      <c r="A2510">
        <v>21</v>
      </c>
      <c r="B2510" t="s">
        <v>14</v>
      </c>
      <c r="C2510">
        <v>2022</v>
      </c>
      <c r="D2510">
        <v>1</v>
      </c>
      <c r="E2510" s="6">
        <v>0</v>
      </c>
      <c r="F2510" s="9">
        <v>0</v>
      </c>
      <c r="G2510" s="6">
        <v>1590</v>
      </c>
      <c r="H2510" s="9">
        <f t="shared" si="39"/>
        <v>0</v>
      </c>
      <c r="I2510" s="6">
        <v>14340</v>
      </c>
      <c r="J2510" s="6">
        <f>VLOOKUP(Table1[[#This Row],[Province]],[1]Sheet1!$A$3:$K$37,8,FALSE)</f>
        <v>2714900</v>
      </c>
      <c r="K2510">
        <v>0</v>
      </c>
      <c r="L2510" s="4">
        <v>1.6814880000000001</v>
      </c>
      <c r="M2510" s="4">
        <v>113.382355</v>
      </c>
      <c r="N2510" s="13">
        <v>6.45</v>
      </c>
      <c r="P2510"/>
      <c r="Q2510" s="12"/>
      <c r="R2510" s="12"/>
    </row>
    <row r="2511" spans="1:18" x14ac:dyDescent="0.2">
      <c r="A2511">
        <v>21</v>
      </c>
      <c r="B2511" t="s">
        <v>14</v>
      </c>
      <c r="C2511">
        <v>2022</v>
      </c>
      <c r="D2511">
        <v>2</v>
      </c>
      <c r="E2511" s="6">
        <v>0</v>
      </c>
      <c r="F2511" s="9">
        <v>0</v>
      </c>
      <c r="G2511" s="6">
        <v>2598</v>
      </c>
      <c r="H2511" s="9">
        <f t="shared" si="39"/>
        <v>0</v>
      </c>
      <c r="I2511" s="6">
        <v>14739</v>
      </c>
      <c r="J2511" s="6">
        <f>VLOOKUP(Table1[[#This Row],[Province]],[1]Sheet1!$A$3:$K$37,8,FALSE)</f>
        <v>2714900</v>
      </c>
      <c r="K2511">
        <v>0</v>
      </c>
      <c r="L2511" s="4">
        <v>1.6814880000000001</v>
      </c>
      <c r="M2511" s="4">
        <v>113.382355</v>
      </c>
      <c r="N2511" s="13">
        <v>6.45</v>
      </c>
      <c r="P2511"/>
      <c r="Q2511" s="12"/>
      <c r="R2511" s="12"/>
    </row>
    <row r="2512" spans="1:18" x14ac:dyDescent="0.2">
      <c r="A2512">
        <v>21</v>
      </c>
      <c r="B2512" t="s">
        <v>14</v>
      </c>
      <c r="C2512">
        <v>2022</v>
      </c>
      <c r="D2512">
        <v>3</v>
      </c>
      <c r="E2512" s="6">
        <v>0</v>
      </c>
      <c r="F2512" s="9">
        <v>0</v>
      </c>
      <c r="G2512" s="6">
        <v>1453</v>
      </c>
      <c r="H2512" s="9">
        <f t="shared" si="39"/>
        <v>0</v>
      </c>
      <c r="I2512" s="6">
        <v>14911</v>
      </c>
      <c r="J2512" s="6">
        <f>VLOOKUP(Table1[[#This Row],[Province]],[1]Sheet1!$A$3:$K$37,8,FALSE)</f>
        <v>2714900</v>
      </c>
      <c r="K2512">
        <v>0</v>
      </c>
      <c r="L2512" s="4">
        <v>1.6814880000000001</v>
      </c>
      <c r="M2512" s="4">
        <v>113.382355</v>
      </c>
      <c r="N2512" s="13">
        <v>6.45</v>
      </c>
      <c r="P2512"/>
      <c r="Q2512" s="12"/>
      <c r="R2512" s="12"/>
    </row>
    <row r="2513" spans="1:18" x14ac:dyDescent="0.2">
      <c r="A2513">
        <v>21</v>
      </c>
      <c r="B2513" t="s">
        <v>14</v>
      </c>
      <c r="C2513">
        <v>2022</v>
      </c>
      <c r="D2513">
        <v>4</v>
      </c>
      <c r="E2513" s="6">
        <v>0</v>
      </c>
      <c r="F2513" s="9">
        <v>0</v>
      </c>
      <c r="G2513" s="6">
        <v>1819</v>
      </c>
      <c r="H2513" s="9">
        <f t="shared" si="39"/>
        <v>0</v>
      </c>
      <c r="I2513" s="6">
        <v>15218</v>
      </c>
      <c r="J2513" s="6">
        <f>VLOOKUP(Table1[[#This Row],[Province]],[1]Sheet1!$A$3:$K$37,8,FALSE)</f>
        <v>2714900</v>
      </c>
      <c r="K2513">
        <v>1</v>
      </c>
      <c r="L2513" s="4">
        <v>1.6814880000000001</v>
      </c>
      <c r="M2513" s="4">
        <v>113.382355</v>
      </c>
      <c r="N2513" s="13">
        <v>6.45</v>
      </c>
      <c r="P2513"/>
      <c r="Q2513" s="12"/>
      <c r="R2513" s="12"/>
    </row>
    <row r="2514" spans="1:18" x14ac:dyDescent="0.2">
      <c r="A2514">
        <v>21</v>
      </c>
      <c r="B2514" t="s">
        <v>14</v>
      </c>
      <c r="C2514">
        <v>2022</v>
      </c>
      <c r="D2514">
        <v>5</v>
      </c>
      <c r="E2514" s="6">
        <v>0</v>
      </c>
      <c r="F2514" s="9">
        <v>0</v>
      </c>
      <c r="G2514" s="6">
        <v>2389</v>
      </c>
      <c r="H2514" s="9">
        <f t="shared" si="39"/>
        <v>0</v>
      </c>
      <c r="I2514" s="6">
        <v>15233</v>
      </c>
      <c r="J2514" s="6">
        <f>VLOOKUP(Table1[[#This Row],[Province]],[1]Sheet1!$A$3:$K$37,8,FALSE)</f>
        <v>2714900</v>
      </c>
      <c r="K2514">
        <v>0</v>
      </c>
      <c r="L2514" s="4">
        <v>1.6814880000000001</v>
      </c>
      <c r="M2514" s="4">
        <v>113.382355</v>
      </c>
      <c r="N2514" s="13">
        <v>6.45</v>
      </c>
      <c r="P2514"/>
      <c r="Q2514" s="12"/>
      <c r="R2514" s="12"/>
    </row>
    <row r="2515" spans="1:18" x14ac:dyDescent="0.2">
      <c r="A2515">
        <v>21</v>
      </c>
      <c r="B2515" t="s">
        <v>14</v>
      </c>
      <c r="C2515">
        <v>2022</v>
      </c>
      <c r="D2515">
        <v>6</v>
      </c>
      <c r="E2515" s="6">
        <v>0</v>
      </c>
      <c r="F2515" s="9">
        <v>0</v>
      </c>
      <c r="G2515" s="6">
        <v>1562</v>
      </c>
      <c r="H2515" s="9">
        <f t="shared" si="39"/>
        <v>0</v>
      </c>
      <c r="I2515" s="6">
        <v>15081</v>
      </c>
      <c r="J2515" s="6">
        <f>VLOOKUP(Table1[[#This Row],[Province]],[1]Sheet1!$A$3:$K$37,8,FALSE)</f>
        <v>2714900</v>
      </c>
      <c r="K2515">
        <v>0</v>
      </c>
      <c r="L2515" s="4">
        <v>1.6814880000000001</v>
      </c>
      <c r="M2515" s="4">
        <v>113.382355</v>
      </c>
      <c r="N2515" s="13">
        <v>6.45</v>
      </c>
      <c r="P2515"/>
      <c r="Q2515" s="12"/>
      <c r="R2515" s="12"/>
    </row>
    <row r="2516" spans="1:18" x14ac:dyDescent="0.2">
      <c r="A2516">
        <v>21</v>
      </c>
      <c r="B2516" t="s">
        <v>14</v>
      </c>
      <c r="C2516">
        <v>2022</v>
      </c>
      <c r="D2516">
        <v>7</v>
      </c>
      <c r="E2516" s="6">
        <v>0</v>
      </c>
      <c r="F2516" s="9">
        <v>0</v>
      </c>
      <c r="G2516" s="6">
        <v>3961</v>
      </c>
      <c r="H2516" s="9">
        <f t="shared" si="39"/>
        <v>0</v>
      </c>
      <c r="I2516" s="6">
        <v>14664</v>
      </c>
      <c r="J2516" s="6">
        <f>VLOOKUP(Table1[[#This Row],[Province]],[1]Sheet1!$A$3:$K$37,8,FALSE)</f>
        <v>2714900</v>
      </c>
      <c r="K2516">
        <v>0</v>
      </c>
      <c r="L2516" s="4">
        <v>1.6814880000000001</v>
      </c>
      <c r="M2516" s="4">
        <v>113.382355</v>
      </c>
      <c r="N2516" s="13">
        <v>6.45</v>
      </c>
      <c r="P2516"/>
      <c r="Q2516" s="12"/>
      <c r="R2516" s="12"/>
    </row>
    <row r="2517" spans="1:18" x14ac:dyDescent="0.2">
      <c r="A2517">
        <v>21</v>
      </c>
      <c r="B2517" t="s">
        <v>14</v>
      </c>
      <c r="C2517">
        <v>2022</v>
      </c>
      <c r="D2517">
        <v>8</v>
      </c>
      <c r="E2517" s="6">
        <v>0</v>
      </c>
      <c r="F2517" s="9">
        <v>0</v>
      </c>
      <c r="G2517" s="6">
        <v>1522</v>
      </c>
      <c r="H2517" s="9">
        <f t="shared" si="39"/>
        <v>0</v>
      </c>
      <c r="I2517" s="6">
        <v>14602</v>
      </c>
      <c r="J2517" s="6">
        <f>VLOOKUP(Table1[[#This Row],[Province]],[1]Sheet1!$A$3:$K$37,8,FALSE)</f>
        <v>2714900</v>
      </c>
      <c r="K2517">
        <v>0</v>
      </c>
      <c r="L2517" s="4">
        <v>1.6814880000000001</v>
      </c>
      <c r="M2517" s="4">
        <v>113.382355</v>
      </c>
      <c r="N2517" s="13">
        <v>6.45</v>
      </c>
      <c r="P2517"/>
      <c r="Q2517" s="12"/>
      <c r="R2517" s="12"/>
    </row>
    <row r="2518" spans="1:18" x14ac:dyDescent="0.2">
      <c r="A2518">
        <v>21</v>
      </c>
      <c r="B2518" t="s">
        <v>14</v>
      </c>
      <c r="C2518">
        <v>2022</v>
      </c>
      <c r="D2518">
        <v>9</v>
      </c>
      <c r="E2518" s="6">
        <v>0</v>
      </c>
      <c r="F2518" s="9">
        <v>0</v>
      </c>
      <c r="G2518" s="6">
        <v>3285</v>
      </c>
      <c r="H2518" s="9">
        <f t="shared" si="39"/>
        <v>0</v>
      </c>
      <c r="I2518" s="6">
        <v>13761</v>
      </c>
      <c r="J2518" s="6">
        <f>VLOOKUP(Table1[[#This Row],[Province]],[1]Sheet1!$A$3:$K$37,8,FALSE)</f>
        <v>2714900</v>
      </c>
      <c r="K2518">
        <v>0</v>
      </c>
      <c r="L2518" s="4">
        <v>1.6814880000000001</v>
      </c>
      <c r="M2518" s="4">
        <v>113.382355</v>
      </c>
      <c r="N2518" s="13">
        <v>6.45</v>
      </c>
      <c r="P2518"/>
      <c r="Q2518" s="12"/>
      <c r="R2518" s="12"/>
    </row>
    <row r="2519" spans="1:18" x14ac:dyDescent="0.2">
      <c r="A2519">
        <v>21</v>
      </c>
      <c r="B2519" t="s">
        <v>14</v>
      </c>
      <c r="C2519">
        <v>2022</v>
      </c>
      <c r="D2519">
        <v>10</v>
      </c>
      <c r="E2519" s="6">
        <v>0</v>
      </c>
      <c r="F2519" s="9">
        <v>0</v>
      </c>
      <c r="G2519" s="6">
        <v>1570</v>
      </c>
      <c r="H2519" s="9">
        <f t="shared" si="39"/>
        <v>0</v>
      </c>
      <c r="I2519" s="6">
        <v>13593</v>
      </c>
      <c r="J2519" s="6">
        <f>VLOOKUP(Table1[[#This Row],[Province]],[1]Sheet1!$A$3:$K$37,8,FALSE)</f>
        <v>2714900</v>
      </c>
      <c r="K2519">
        <v>0</v>
      </c>
      <c r="L2519" s="4">
        <v>1.6814880000000001</v>
      </c>
      <c r="M2519" s="4">
        <v>113.382355</v>
      </c>
      <c r="N2519" s="13">
        <v>6.45</v>
      </c>
      <c r="P2519"/>
      <c r="Q2519" s="12"/>
      <c r="R2519" s="12"/>
    </row>
    <row r="2520" spans="1:18" x14ac:dyDescent="0.2">
      <c r="A2520">
        <v>21</v>
      </c>
      <c r="B2520" t="s">
        <v>14</v>
      </c>
      <c r="C2520">
        <v>2022</v>
      </c>
      <c r="D2520">
        <v>11</v>
      </c>
      <c r="E2520" s="6">
        <v>0</v>
      </c>
      <c r="F2520" s="9">
        <v>0</v>
      </c>
      <c r="G2520" s="6">
        <v>2975</v>
      </c>
      <c r="H2520" s="9">
        <f t="shared" si="39"/>
        <v>0</v>
      </c>
      <c r="I2520" s="6">
        <v>14150</v>
      </c>
      <c r="J2520" s="6">
        <f>VLOOKUP(Table1[[#This Row],[Province]],[1]Sheet1!$A$3:$K$37,8,FALSE)</f>
        <v>2714900</v>
      </c>
      <c r="K2520">
        <v>0</v>
      </c>
      <c r="L2520" s="4">
        <v>1.6814880000000001</v>
      </c>
      <c r="M2520" s="4">
        <v>113.382355</v>
      </c>
      <c r="N2520" s="13">
        <v>6.45</v>
      </c>
      <c r="P2520"/>
      <c r="Q2520" s="12"/>
      <c r="R2520" s="12"/>
    </row>
    <row r="2521" spans="1:18" x14ac:dyDescent="0.2">
      <c r="A2521">
        <v>21</v>
      </c>
      <c r="B2521" t="s">
        <v>14</v>
      </c>
      <c r="C2521">
        <v>2022</v>
      </c>
      <c r="D2521">
        <v>12</v>
      </c>
      <c r="E2521" s="6">
        <v>0</v>
      </c>
      <c r="F2521" s="9">
        <v>0</v>
      </c>
      <c r="G2521" s="6">
        <v>2147</v>
      </c>
      <c r="H2521" s="9">
        <f t="shared" si="39"/>
        <v>0</v>
      </c>
      <c r="I2521" s="6">
        <v>14150</v>
      </c>
      <c r="J2521" s="6">
        <f>VLOOKUP(Table1[[#This Row],[Province]],[1]Sheet1!$A$3:$K$37,8,FALSE)</f>
        <v>2714900</v>
      </c>
      <c r="K2521">
        <v>1</v>
      </c>
      <c r="L2521" s="4">
        <v>1.6814880000000001</v>
      </c>
      <c r="M2521" s="4">
        <v>113.382355</v>
      </c>
      <c r="N2521" s="13">
        <v>6.45</v>
      </c>
      <c r="P2521"/>
      <c r="Q2521" s="12"/>
      <c r="R2521" s="12"/>
    </row>
    <row r="2522" spans="1:18" x14ac:dyDescent="0.2">
      <c r="A2522">
        <v>22</v>
      </c>
      <c r="B2522" t="s">
        <v>13</v>
      </c>
      <c r="C2522">
        <v>2013</v>
      </c>
      <c r="D2522">
        <v>1</v>
      </c>
      <c r="E2522" s="4">
        <v>0</v>
      </c>
      <c r="F2522" s="9">
        <v>0</v>
      </c>
      <c r="G2522" s="6">
        <v>2620</v>
      </c>
      <c r="H2522" s="9">
        <f t="shared" si="39"/>
        <v>0</v>
      </c>
      <c r="I2522" s="6">
        <v>12024</v>
      </c>
      <c r="J2522" s="6">
        <f>VLOOKUP(Table1[[#This Row],[Province]],[1]Sheet1!$A$3:$K$37,8,FALSE)</f>
        <v>4244100</v>
      </c>
      <c r="K2522">
        <v>0</v>
      </c>
      <c r="L2522" s="4">
        <v>3.0926420000000001</v>
      </c>
      <c r="M2522" s="4">
        <v>115.283759</v>
      </c>
      <c r="N2522" s="6"/>
      <c r="P2522"/>
      <c r="Q2522" s="12"/>
      <c r="R2522" s="12"/>
    </row>
    <row r="2523" spans="1:18" x14ac:dyDescent="0.2">
      <c r="A2523">
        <v>22</v>
      </c>
      <c r="B2523" t="s">
        <v>13</v>
      </c>
      <c r="C2523">
        <v>2013</v>
      </c>
      <c r="D2523">
        <v>2</v>
      </c>
      <c r="E2523" s="4">
        <v>0</v>
      </c>
      <c r="F2523" s="9">
        <v>0</v>
      </c>
      <c r="G2523" s="6">
        <v>2511</v>
      </c>
      <c r="H2523" s="9">
        <f t="shared" si="39"/>
        <v>0</v>
      </c>
      <c r="I2523" s="6">
        <v>12000</v>
      </c>
      <c r="J2523" s="6">
        <f>VLOOKUP(Table1[[#This Row],[Province]],[1]Sheet1!$A$3:$K$37,8,FALSE)</f>
        <v>4244100</v>
      </c>
      <c r="K2523">
        <v>0</v>
      </c>
      <c r="L2523" s="4">
        <v>3.0926420000000001</v>
      </c>
      <c r="M2523" s="4">
        <v>115.283759</v>
      </c>
      <c r="N2523" s="6"/>
      <c r="P2523"/>
      <c r="Q2523" s="12"/>
      <c r="R2523" s="12"/>
    </row>
    <row r="2524" spans="1:18" x14ac:dyDescent="0.2">
      <c r="A2524">
        <v>22</v>
      </c>
      <c r="B2524" t="s">
        <v>13</v>
      </c>
      <c r="C2524">
        <v>2013</v>
      </c>
      <c r="D2524">
        <v>3</v>
      </c>
      <c r="E2524" s="4">
        <v>0</v>
      </c>
      <c r="F2524" s="9">
        <v>0</v>
      </c>
      <c r="G2524" s="6">
        <v>2589</v>
      </c>
      <c r="H2524" s="9">
        <f t="shared" si="39"/>
        <v>0</v>
      </c>
      <c r="I2524" s="6">
        <v>12000</v>
      </c>
      <c r="J2524" s="6">
        <f>VLOOKUP(Table1[[#This Row],[Province]],[1]Sheet1!$A$3:$K$37,8,FALSE)</f>
        <v>4244100</v>
      </c>
      <c r="K2524">
        <v>0</v>
      </c>
      <c r="L2524" s="4">
        <v>3.0926420000000001</v>
      </c>
      <c r="M2524" s="4">
        <v>115.283759</v>
      </c>
      <c r="N2524" s="6"/>
      <c r="P2524"/>
      <c r="Q2524" s="12"/>
      <c r="R2524" s="12"/>
    </row>
    <row r="2525" spans="1:18" x14ac:dyDescent="0.2">
      <c r="A2525">
        <v>22</v>
      </c>
      <c r="B2525" t="s">
        <v>13</v>
      </c>
      <c r="C2525">
        <v>2013</v>
      </c>
      <c r="D2525">
        <v>4</v>
      </c>
      <c r="E2525" s="4">
        <v>0</v>
      </c>
      <c r="F2525" s="9">
        <v>0</v>
      </c>
      <c r="G2525" s="6">
        <v>3364</v>
      </c>
      <c r="H2525" s="9">
        <f t="shared" si="39"/>
        <v>0</v>
      </c>
      <c r="I2525" s="6">
        <v>12364</v>
      </c>
      <c r="J2525" s="6">
        <f>VLOOKUP(Table1[[#This Row],[Province]],[1]Sheet1!$A$3:$K$37,8,FALSE)</f>
        <v>4244100</v>
      </c>
      <c r="K2525">
        <v>0</v>
      </c>
      <c r="L2525" s="4">
        <v>3.0926420000000001</v>
      </c>
      <c r="M2525" s="4">
        <v>115.283759</v>
      </c>
      <c r="N2525" s="6"/>
      <c r="P2525"/>
      <c r="Q2525" s="12"/>
      <c r="R2525" s="12"/>
    </row>
    <row r="2526" spans="1:18" x14ac:dyDescent="0.2">
      <c r="A2526">
        <v>22</v>
      </c>
      <c r="B2526" t="s">
        <v>13</v>
      </c>
      <c r="C2526">
        <v>2013</v>
      </c>
      <c r="D2526">
        <v>5</v>
      </c>
      <c r="E2526" s="4">
        <v>0</v>
      </c>
      <c r="F2526" s="9">
        <v>0</v>
      </c>
      <c r="G2526" s="6">
        <v>4077</v>
      </c>
      <c r="H2526" s="9">
        <f t="shared" si="39"/>
        <v>0</v>
      </c>
      <c r="I2526" s="6">
        <v>12727</v>
      </c>
      <c r="J2526" s="6">
        <f>VLOOKUP(Table1[[#This Row],[Province]],[1]Sheet1!$A$3:$K$37,8,FALSE)</f>
        <v>4244100</v>
      </c>
      <c r="K2526">
        <v>0</v>
      </c>
      <c r="L2526" s="4">
        <v>3.0926420000000001</v>
      </c>
      <c r="M2526" s="4">
        <v>115.283759</v>
      </c>
      <c r="N2526" s="6"/>
      <c r="P2526"/>
      <c r="Q2526" s="12"/>
      <c r="R2526" s="12"/>
    </row>
    <row r="2527" spans="1:18" x14ac:dyDescent="0.2">
      <c r="A2527">
        <v>22</v>
      </c>
      <c r="B2527" t="s">
        <v>13</v>
      </c>
      <c r="C2527">
        <v>2013</v>
      </c>
      <c r="D2527">
        <v>6</v>
      </c>
      <c r="E2527" s="4">
        <v>0</v>
      </c>
      <c r="F2527" s="9">
        <v>0</v>
      </c>
      <c r="G2527" s="6">
        <v>3395</v>
      </c>
      <c r="H2527" s="9">
        <f t="shared" si="39"/>
        <v>0</v>
      </c>
      <c r="I2527" s="6">
        <v>12684</v>
      </c>
      <c r="J2527" s="6">
        <f>VLOOKUP(Table1[[#This Row],[Province]],[1]Sheet1!$A$3:$K$37,8,FALSE)</f>
        <v>4244100</v>
      </c>
      <c r="K2527">
        <v>0</v>
      </c>
      <c r="L2527" s="4">
        <v>3.0926420000000001</v>
      </c>
      <c r="M2527" s="4">
        <v>115.283759</v>
      </c>
      <c r="N2527" s="6"/>
      <c r="P2527"/>
      <c r="Q2527" s="12"/>
      <c r="R2527" s="12"/>
    </row>
    <row r="2528" spans="1:18" x14ac:dyDescent="0.2">
      <c r="A2528">
        <v>22</v>
      </c>
      <c r="B2528" t="s">
        <v>13</v>
      </c>
      <c r="C2528">
        <v>2013</v>
      </c>
      <c r="D2528">
        <v>7</v>
      </c>
      <c r="E2528" s="4">
        <v>0</v>
      </c>
      <c r="F2528" s="9">
        <v>0</v>
      </c>
      <c r="G2528" s="6">
        <v>5890</v>
      </c>
      <c r="H2528" s="9">
        <f t="shared" si="39"/>
        <v>0</v>
      </c>
      <c r="I2528" s="6">
        <v>13686</v>
      </c>
      <c r="J2528" s="6">
        <f>VLOOKUP(Table1[[#This Row],[Province]],[1]Sheet1!$A$3:$K$37,8,FALSE)</f>
        <v>4244100</v>
      </c>
      <c r="K2528">
        <v>1</v>
      </c>
      <c r="L2528" s="4">
        <v>3.0926420000000001</v>
      </c>
      <c r="M2528" s="4">
        <v>115.283759</v>
      </c>
      <c r="N2528" s="6"/>
      <c r="P2528"/>
      <c r="Q2528" s="12"/>
      <c r="R2528" s="12"/>
    </row>
    <row r="2529" spans="1:18" x14ac:dyDescent="0.2">
      <c r="A2529">
        <v>22</v>
      </c>
      <c r="B2529" t="s">
        <v>13</v>
      </c>
      <c r="C2529">
        <v>2013</v>
      </c>
      <c r="D2529">
        <v>8</v>
      </c>
      <c r="E2529" s="4">
        <v>0</v>
      </c>
      <c r="F2529" s="9">
        <v>0</v>
      </c>
      <c r="G2529" s="6">
        <v>2155</v>
      </c>
      <c r="H2529" s="9">
        <f t="shared" si="39"/>
        <v>0</v>
      </c>
      <c r="I2529" s="6">
        <v>12500</v>
      </c>
      <c r="J2529" s="6">
        <f>VLOOKUP(Table1[[#This Row],[Province]],[1]Sheet1!$A$3:$K$37,8,FALSE)</f>
        <v>4244100</v>
      </c>
      <c r="K2529">
        <v>0</v>
      </c>
      <c r="L2529" s="4">
        <v>3.0926420000000001</v>
      </c>
      <c r="M2529" s="4">
        <v>115.283759</v>
      </c>
      <c r="N2529" s="6"/>
      <c r="P2529"/>
      <c r="Q2529" s="12"/>
      <c r="R2529" s="12"/>
    </row>
    <row r="2530" spans="1:18" x14ac:dyDescent="0.2">
      <c r="A2530">
        <v>22</v>
      </c>
      <c r="B2530" t="s">
        <v>13</v>
      </c>
      <c r="C2530">
        <v>2013</v>
      </c>
      <c r="D2530">
        <v>9</v>
      </c>
      <c r="E2530" s="4">
        <v>0</v>
      </c>
      <c r="F2530" s="9">
        <v>0</v>
      </c>
      <c r="G2530" s="6">
        <v>4604</v>
      </c>
      <c r="H2530" s="9">
        <f t="shared" si="39"/>
        <v>0</v>
      </c>
      <c r="I2530" s="6">
        <v>12500</v>
      </c>
      <c r="J2530" s="6">
        <f>VLOOKUP(Table1[[#This Row],[Province]],[1]Sheet1!$A$3:$K$37,8,FALSE)</f>
        <v>4244100</v>
      </c>
      <c r="K2530">
        <v>0</v>
      </c>
      <c r="L2530" s="4">
        <v>3.0926420000000001</v>
      </c>
      <c r="M2530" s="4">
        <v>115.283759</v>
      </c>
      <c r="N2530" s="6"/>
      <c r="P2530"/>
      <c r="Q2530" s="12"/>
      <c r="R2530" s="12"/>
    </row>
    <row r="2531" spans="1:18" x14ac:dyDescent="0.2">
      <c r="A2531">
        <v>22</v>
      </c>
      <c r="B2531" t="s">
        <v>13</v>
      </c>
      <c r="C2531">
        <v>2013</v>
      </c>
      <c r="D2531">
        <v>10</v>
      </c>
      <c r="E2531" s="4">
        <v>0</v>
      </c>
      <c r="F2531" s="9">
        <v>0</v>
      </c>
      <c r="G2531" s="6">
        <v>3767</v>
      </c>
      <c r="H2531" s="9">
        <f t="shared" si="39"/>
        <v>0</v>
      </c>
      <c r="I2531" s="6">
        <v>12500</v>
      </c>
      <c r="J2531" s="6">
        <f>VLOOKUP(Table1[[#This Row],[Province]],[1]Sheet1!$A$3:$K$37,8,FALSE)</f>
        <v>4244100</v>
      </c>
      <c r="K2531">
        <v>0</v>
      </c>
      <c r="L2531" s="4">
        <v>3.0926420000000001</v>
      </c>
      <c r="M2531" s="4">
        <v>115.283759</v>
      </c>
      <c r="N2531" s="6"/>
      <c r="P2531"/>
      <c r="Q2531" s="12"/>
      <c r="R2531" s="12"/>
    </row>
    <row r="2532" spans="1:18" x14ac:dyDescent="0.2">
      <c r="A2532">
        <v>22</v>
      </c>
      <c r="B2532" t="s">
        <v>13</v>
      </c>
      <c r="C2532">
        <v>2013</v>
      </c>
      <c r="D2532">
        <v>11</v>
      </c>
      <c r="E2532" s="4">
        <v>0</v>
      </c>
      <c r="F2532" s="9">
        <v>0</v>
      </c>
      <c r="G2532" s="6">
        <v>2775</v>
      </c>
      <c r="H2532" s="9">
        <f t="shared" si="39"/>
        <v>0</v>
      </c>
      <c r="I2532" s="6">
        <v>12388</v>
      </c>
      <c r="J2532" s="6">
        <f>VLOOKUP(Table1[[#This Row],[Province]],[1]Sheet1!$A$3:$K$37,8,FALSE)</f>
        <v>4244100</v>
      </c>
      <c r="K2532">
        <v>0</v>
      </c>
      <c r="L2532" s="4">
        <v>3.0926420000000001</v>
      </c>
      <c r="M2532" s="4">
        <v>115.283759</v>
      </c>
      <c r="N2532" s="6"/>
      <c r="P2532"/>
      <c r="Q2532" s="12"/>
      <c r="R2532" s="12"/>
    </row>
    <row r="2533" spans="1:18" x14ac:dyDescent="0.2">
      <c r="A2533">
        <v>22</v>
      </c>
      <c r="B2533" t="s">
        <v>13</v>
      </c>
      <c r="C2533">
        <v>2013</v>
      </c>
      <c r="D2533">
        <v>12</v>
      </c>
      <c r="E2533" s="4">
        <v>0</v>
      </c>
      <c r="F2533" s="9">
        <v>0</v>
      </c>
      <c r="G2533" s="6">
        <v>3860</v>
      </c>
      <c r="H2533" s="9">
        <f t="shared" si="39"/>
        <v>0</v>
      </c>
      <c r="I2533" s="6">
        <v>11150</v>
      </c>
      <c r="J2533" s="6">
        <f>VLOOKUP(Table1[[#This Row],[Province]],[1]Sheet1!$A$3:$K$37,8,FALSE)</f>
        <v>4244100</v>
      </c>
      <c r="K2533">
        <v>1</v>
      </c>
      <c r="L2533" s="4">
        <v>3.0926420000000001</v>
      </c>
      <c r="M2533" s="4">
        <v>115.283759</v>
      </c>
      <c r="N2533" s="6"/>
      <c r="P2533"/>
      <c r="Q2533" s="12"/>
      <c r="R2533" s="12"/>
    </row>
    <row r="2534" spans="1:18" x14ac:dyDescent="0.2">
      <c r="A2534">
        <v>22</v>
      </c>
      <c r="B2534" t="s">
        <v>13</v>
      </c>
      <c r="C2534">
        <v>2014</v>
      </c>
      <c r="D2534">
        <v>1</v>
      </c>
      <c r="E2534" s="4">
        <v>0</v>
      </c>
      <c r="F2534" s="9">
        <v>0</v>
      </c>
      <c r="G2534" s="6">
        <v>2719</v>
      </c>
      <c r="H2534" s="9">
        <f t="shared" si="39"/>
        <v>0</v>
      </c>
      <c r="I2534" s="6">
        <v>11132</v>
      </c>
      <c r="J2534" s="6">
        <f>VLOOKUP(Table1[[#This Row],[Province]],[1]Sheet1!$A$3:$K$37,8,FALSE)</f>
        <v>4244100</v>
      </c>
      <c r="K2534">
        <v>0</v>
      </c>
      <c r="L2534" s="4">
        <v>3.0926420000000001</v>
      </c>
      <c r="M2534" s="4">
        <v>115.283759</v>
      </c>
      <c r="N2534" s="6"/>
      <c r="P2534"/>
      <c r="Q2534" s="12"/>
      <c r="R2534" s="12"/>
    </row>
    <row r="2535" spans="1:18" x14ac:dyDescent="0.2">
      <c r="A2535">
        <v>22</v>
      </c>
      <c r="B2535" t="s">
        <v>13</v>
      </c>
      <c r="C2535">
        <v>2014</v>
      </c>
      <c r="D2535">
        <v>2</v>
      </c>
      <c r="E2535" s="4">
        <v>0</v>
      </c>
      <c r="F2535" s="9">
        <v>0</v>
      </c>
      <c r="G2535" s="6">
        <v>2426</v>
      </c>
      <c r="H2535" s="9">
        <f t="shared" si="39"/>
        <v>0</v>
      </c>
      <c r="I2535" s="6">
        <v>10575</v>
      </c>
      <c r="J2535" s="6">
        <f>VLOOKUP(Table1[[#This Row],[Province]],[1]Sheet1!$A$3:$K$37,8,FALSE)</f>
        <v>4244100</v>
      </c>
      <c r="K2535">
        <v>0</v>
      </c>
      <c r="L2535" s="4">
        <v>3.0926420000000001</v>
      </c>
      <c r="M2535" s="4">
        <v>115.283759</v>
      </c>
      <c r="N2535" s="6"/>
      <c r="P2535"/>
      <c r="Q2535" s="12"/>
      <c r="R2535" s="12"/>
    </row>
    <row r="2536" spans="1:18" x14ac:dyDescent="0.2">
      <c r="A2536">
        <v>22</v>
      </c>
      <c r="B2536" t="s">
        <v>13</v>
      </c>
      <c r="C2536">
        <v>2014</v>
      </c>
      <c r="D2536">
        <v>3</v>
      </c>
      <c r="E2536" s="4">
        <v>0</v>
      </c>
      <c r="F2536" s="9">
        <v>0</v>
      </c>
      <c r="G2536" s="6">
        <v>2724</v>
      </c>
      <c r="H2536" s="9">
        <f t="shared" si="39"/>
        <v>0</v>
      </c>
      <c r="I2536" s="6">
        <v>10725</v>
      </c>
      <c r="J2536" s="6">
        <f>VLOOKUP(Table1[[#This Row],[Province]],[1]Sheet1!$A$3:$K$37,8,FALSE)</f>
        <v>4244100</v>
      </c>
      <c r="K2536">
        <v>0</v>
      </c>
      <c r="L2536" s="4">
        <v>3.0926420000000001</v>
      </c>
      <c r="M2536" s="4">
        <v>115.283759</v>
      </c>
      <c r="N2536" s="6"/>
      <c r="P2536"/>
      <c r="Q2536" s="12"/>
      <c r="R2536" s="12"/>
    </row>
    <row r="2537" spans="1:18" x14ac:dyDescent="0.2">
      <c r="A2537">
        <v>22</v>
      </c>
      <c r="B2537" t="s">
        <v>13</v>
      </c>
      <c r="C2537">
        <v>2014</v>
      </c>
      <c r="D2537">
        <v>4</v>
      </c>
      <c r="E2537" s="4">
        <v>0</v>
      </c>
      <c r="F2537" s="9">
        <v>0</v>
      </c>
      <c r="G2537" s="6">
        <v>3508</v>
      </c>
      <c r="H2537" s="9">
        <f t="shared" si="39"/>
        <v>0</v>
      </c>
      <c r="I2537" s="6">
        <v>10325</v>
      </c>
      <c r="J2537" s="6">
        <f>VLOOKUP(Table1[[#This Row],[Province]],[1]Sheet1!$A$3:$K$37,8,FALSE)</f>
        <v>4244100</v>
      </c>
      <c r="K2537">
        <v>0</v>
      </c>
      <c r="L2537" s="4">
        <v>3.0926420000000001</v>
      </c>
      <c r="M2537" s="4">
        <v>115.283759</v>
      </c>
      <c r="N2537" s="6"/>
      <c r="P2537"/>
      <c r="Q2537" s="12"/>
      <c r="R2537" s="12"/>
    </row>
    <row r="2538" spans="1:18" x14ac:dyDescent="0.2">
      <c r="A2538">
        <v>22</v>
      </c>
      <c r="B2538" t="s">
        <v>13</v>
      </c>
      <c r="C2538">
        <v>2014</v>
      </c>
      <c r="D2538">
        <v>5</v>
      </c>
      <c r="E2538" s="4">
        <v>0</v>
      </c>
      <c r="F2538" s="9">
        <v>0</v>
      </c>
      <c r="G2538" s="6">
        <v>3930</v>
      </c>
      <c r="H2538" s="9">
        <f t="shared" si="39"/>
        <v>0</v>
      </c>
      <c r="I2538" s="6">
        <v>10417</v>
      </c>
      <c r="J2538" s="6">
        <f>VLOOKUP(Table1[[#This Row],[Province]],[1]Sheet1!$A$3:$K$37,8,FALSE)</f>
        <v>4244100</v>
      </c>
      <c r="K2538">
        <v>0</v>
      </c>
      <c r="L2538" s="4">
        <v>3.0926420000000001</v>
      </c>
      <c r="M2538" s="4">
        <v>115.283759</v>
      </c>
      <c r="N2538" s="6"/>
      <c r="P2538"/>
      <c r="Q2538" s="12"/>
      <c r="R2538" s="12"/>
    </row>
    <row r="2539" spans="1:18" x14ac:dyDescent="0.2">
      <c r="A2539">
        <v>22</v>
      </c>
      <c r="B2539" t="s">
        <v>13</v>
      </c>
      <c r="C2539">
        <v>2014</v>
      </c>
      <c r="D2539">
        <v>6</v>
      </c>
      <c r="E2539" s="4">
        <v>0</v>
      </c>
      <c r="F2539" s="9">
        <v>0</v>
      </c>
      <c r="G2539" s="6">
        <v>5593</v>
      </c>
      <c r="H2539" s="9">
        <f t="shared" si="39"/>
        <v>0</v>
      </c>
      <c r="I2539" s="6">
        <v>10619</v>
      </c>
      <c r="J2539" s="6">
        <f>VLOOKUP(Table1[[#This Row],[Province]],[1]Sheet1!$A$3:$K$37,8,FALSE)</f>
        <v>4244100</v>
      </c>
      <c r="K2539">
        <v>1</v>
      </c>
      <c r="L2539" s="4">
        <v>3.0926420000000001</v>
      </c>
      <c r="M2539" s="4">
        <v>115.283759</v>
      </c>
      <c r="N2539" s="6"/>
      <c r="P2539"/>
      <c r="Q2539" s="12"/>
      <c r="R2539" s="12"/>
    </row>
    <row r="2540" spans="1:18" x14ac:dyDescent="0.2">
      <c r="A2540">
        <v>22</v>
      </c>
      <c r="B2540" t="s">
        <v>13</v>
      </c>
      <c r="C2540">
        <v>2014</v>
      </c>
      <c r="D2540">
        <v>7</v>
      </c>
      <c r="E2540" s="4">
        <v>0</v>
      </c>
      <c r="F2540" s="9">
        <v>0</v>
      </c>
      <c r="G2540" s="6">
        <v>3508</v>
      </c>
      <c r="H2540" s="9">
        <f t="shared" si="39"/>
        <v>0</v>
      </c>
      <c r="I2540" s="6">
        <v>10528</v>
      </c>
      <c r="J2540" s="6">
        <f>VLOOKUP(Table1[[#This Row],[Province]],[1]Sheet1!$A$3:$K$37,8,FALSE)</f>
        <v>4244100</v>
      </c>
      <c r="K2540">
        <v>0</v>
      </c>
      <c r="L2540" s="4">
        <v>3.0926420000000001</v>
      </c>
      <c r="M2540" s="4">
        <v>115.283759</v>
      </c>
      <c r="N2540" s="6"/>
      <c r="P2540"/>
      <c r="Q2540" s="12"/>
      <c r="R2540" s="12"/>
    </row>
    <row r="2541" spans="1:18" x14ac:dyDescent="0.2">
      <c r="A2541">
        <v>22</v>
      </c>
      <c r="B2541" t="s">
        <v>13</v>
      </c>
      <c r="C2541">
        <v>2014</v>
      </c>
      <c r="D2541">
        <v>8</v>
      </c>
      <c r="E2541" s="4">
        <v>0</v>
      </c>
      <c r="F2541" s="9">
        <v>0</v>
      </c>
      <c r="G2541" s="6">
        <v>3382</v>
      </c>
      <c r="H2541" s="9">
        <f t="shared" si="39"/>
        <v>0</v>
      </c>
      <c r="I2541" s="6">
        <v>10800</v>
      </c>
      <c r="J2541" s="6">
        <f>VLOOKUP(Table1[[#This Row],[Province]],[1]Sheet1!$A$3:$K$37,8,FALSE)</f>
        <v>4244100</v>
      </c>
      <c r="K2541">
        <v>0</v>
      </c>
      <c r="L2541" s="4">
        <v>3.0926420000000001</v>
      </c>
      <c r="M2541" s="4">
        <v>115.283759</v>
      </c>
      <c r="N2541" s="6"/>
      <c r="P2541"/>
      <c r="Q2541" s="12"/>
      <c r="R2541" s="12"/>
    </row>
    <row r="2542" spans="1:18" x14ac:dyDescent="0.2">
      <c r="A2542">
        <v>22</v>
      </c>
      <c r="B2542" t="s">
        <v>13</v>
      </c>
      <c r="C2542">
        <v>2014</v>
      </c>
      <c r="D2542">
        <v>9</v>
      </c>
      <c r="E2542" s="4">
        <v>0</v>
      </c>
      <c r="F2542" s="9">
        <v>0</v>
      </c>
      <c r="G2542" s="6">
        <v>3404</v>
      </c>
      <c r="H2542" s="9">
        <f t="shared" si="39"/>
        <v>0</v>
      </c>
      <c r="I2542" s="6">
        <v>11000</v>
      </c>
      <c r="J2542" s="6">
        <f>VLOOKUP(Table1[[#This Row],[Province]],[1]Sheet1!$A$3:$K$37,8,FALSE)</f>
        <v>4244100</v>
      </c>
      <c r="K2542">
        <v>0</v>
      </c>
      <c r="L2542" s="4">
        <v>3.0926420000000001</v>
      </c>
      <c r="M2542" s="4">
        <v>115.283759</v>
      </c>
      <c r="N2542" s="6"/>
      <c r="P2542"/>
      <c r="Q2542" s="12"/>
      <c r="R2542" s="12"/>
    </row>
    <row r="2543" spans="1:18" x14ac:dyDescent="0.2">
      <c r="A2543">
        <v>22</v>
      </c>
      <c r="B2543" t="s">
        <v>13</v>
      </c>
      <c r="C2543">
        <v>2014</v>
      </c>
      <c r="D2543">
        <v>10</v>
      </c>
      <c r="E2543" s="4">
        <v>0</v>
      </c>
      <c r="F2543" s="9">
        <v>0</v>
      </c>
      <c r="G2543" s="6">
        <v>5050</v>
      </c>
      <c r="H2543" s="9">
        <f t="shared" si="39"/>
        <v>0</v>
      </c>
      <c r="I2543" s="6">
        <v>11000</v>
      </c>
      <c r="J2543" s="6">
        <f>VLOOKUP(Table1[[#This Row],[Province]],[1]Sheet1!$A$3:$K$37,8,FALSE)</f>
        <v>4244100</v>
      </c>
      <c r="K2543">
        <v>0</v>
      </c>
      <c r="L2543" s="4">
        <v>3.0926420000000001</v>
      </c>
      <c r="M2543" s="4">
        <v>115.283759</v>
      </c>
      <c r="N2543" s="6"/>
      <c r="P2543"/>
      <c r="Q2543" s="12"/>
      <c r="R2543" s="12"/>
    </row>
    <row r="2544" spans="1:18" x14ac:dyDescent="0.2">
      <c r="A2544">
        <v>22</v>
      </c>
      <c r="B2544" t="s">
        <v>13</v>
      </c>
      <c r="C2544">
        <v>2014</v>
      </c>
      <c r="D2544">
        <v>11</v>
      </c>
      <c r="E2544" s="4">
        <v>0</v>
      </c>
      <c r="F2544" s="9">
        <v>0</v>
      </c>
      <c r="G2544" s="6">
        <v>4029</v>
      </c>
      <c r="H2544" s="9">
        <f t="shared" si="39"/>
        <v>0</v>
      </c>
      <c r="I2544" s="6">
        <v>10375</v>
      </c>
      <c r="J2544" s="6">
        <f>VLOOKUP(Table1[[#This Row],[Province]],[1]Sheet1!$A$3:$K$37,8,FALSE)</f>
        <v>4244100</v>
      </c>
      <c r="K2544">
        <v>0</v>
      </c>
      <c r="L2544" s="4">
        <v>3.0926420000000001</v>
      </c>
      <c r="M2544" s="4">
        <v>115.283759</v>
      </c>
      <c r="N2544" s="6"/>
      <c r="P2544"/>
      <c r="Q2544" s="12"/>
      <c r="R2544" s="12"/>
    </row>
    <row r="2545" spans="1:18" x14ac:dyDescent="0.2">
      <c r="A2545">
        <v>22</v>
      </c>
      <c r="B2545" t="s">
        <v>13</v>
      </c>
      <c r="C2545">
        <v>2014</v>
      </c>
      <c r="D2545">
        <v>12</v>
      </c>
      <c r="E2545" s="4">
        <v>0</v>
      </c>
      <c r="F2545" s="9">
        <v>0</v>
      </c>
      <c r="G2545" s="6">
        <v>4699</v>
      </c>
      <c r="H2545" s="9">
        <f t="shared" si="39"/>
        <v>0</v>
      </c>
      <c r="I2545" s="6">
        <v>10000</v>
      </c>
      <c r="J2545" s="6">
        <f>VLOOKUP(Table1[[#This Row],[Province]],[1]Sheet1!$A$3:$K$37,8,FALSE)</f>
        <v>4244100</v>
      </c>
      <c r="K2545">
        <v>1</v>
      </c>
      <c r="L2545" s="4">
        <v>3.0926420000000001</v>
      </c>
      <c r="M2545" s="4">
        <v>115.283759</v>
      </c>
      <c r="N2545" s="6"/>
      <c r="P2545"/>
      <c r="Q2545" s="12"/>
      <c r="R2545" s="12"/>
    </row>
    <row r="2546" spans="1:18" x14ac:dyDescent="0.2">
      <c r="A2546">
        <v>22</v>
      </c>
      <c r="B2546" t="s">
        <v>13</v>
      </c>
      <c r="C2546">
        <v>2015</v>
      </c>
      <c r="D2546">
        <v>1</v>
      </c>
      <c r="E2546" s="4">
        <v>0</v>
      </c>
      <c r="F2546" s="9">
        <v>0</v>
      </c>
      <c r="G2546" s="6">
        <v>2309</v>
      </c>
      <c r="H2546" s="9">
        <f t="shared" si="39"/>
        <v>0</v>
      </c>
      <c r="I2546" s="6">
        <v>10143</v>
      </c>
      <c r="J2546" s="6">
        <f>VLOOKUP(Table1[[#This Row],[Province]],[1]Sheet1!$A$3:$K$37,8,FALSE)</f>
        <v>4244100</v>
      </c>
      <c r="K2546">
        <v>0</v>
      </c>
      <c r="L2546" s="4">
        <v>3.0926420000000001</v>
      </c>
      <c r="M2546" s="4">
        <v>115.283759</v>
      </c>
      <c r="N2546" s="6"/>
      <c r="P2546"/>
      <c r="Q2546" s="12"/>
      <c r="R2546" s="12"/>
    </row>
    <row r="2547" spans="1:18" x14ac:dyDescent="0.2">
      <c r="A2547">
        <v>22</v>
      </c>
      <c r="B2547" t="s">
        <v>13</v>
      </c>
      <c r="C2547">
        <v>2015</v>
      </c>
      <c r="D2547">
        <v>2</v>
      </c>
      <c r="E2547" s="4">
        <v>0</v>
      </c>
      <c r="F2547" s="9">
        <v>0</v>
      </c>
      <c r="G2547" s="6">
        <v>5825</v>
      </c>
      <c r="H2547" s="9">
        <f t="shared" si="39"/>
        <v>0</v>
      </c>
      <c r="I2547" s="6">
        <v>10500</v>
      </c>
      <c r="J2547" s="6">
        <f>VLOOKUP(Table1[[#This Row],[Province]],[1]Sheet1!$A$3:$K$37,8,FALSE)</f>
        <v>4244100</v>
      </c>
      <c r="K2547">
        <v>0</v>
      </c>
      <c r="L2547" s="4">
        <v>3.0926420000000001</v>
      </c>
      <c r="M2547" s="4">
        <v>115.283759</v>
      </c>
      <c r="N2547" s="6"/>
      <c r="P2547"/>
      <c r="Q2547" s="12"/>
      <c r="R2547" s="12"/>
    </row>
    <row r="2548" spans="1:18" x14ac:dyDescent="0.2">
      <c r="A2548">
        <v>22</v>
      </c>
      <c r="B2548" t="s">
        <v>13</v>
      </c>
      <c r="C2548">
        <v>2015</v>
      </c>
      <c r="D2548">
        <v>3</v>
      </c>
      <c r="E2548" s="4">
        <v>0</v>
      </c>
      <c r="F2548" s="9">
        <v>0</v>
      </c>
      <c r="G2548" s="6">
        <v>2643</v>
      </c>
      <c r="H2548" s="9">
        <f t="shared" si="39"/>
        <v>0</v>
      </c>
      <c r="I2548" s="6">
        <v>10682</v>
      </c>
      <c r="J2548" s="6">
        <f>VLOOKUP(Table1[[#This Row],[Province]],[1]Sheet1!$A$3:$K$37,8,FALSE)</f>
        <v>4244100</v>
      </c>
      <c r="K2548">
        <v>0</v>
      </c>
      <c r="L2548" s="4">
        <v>3.0926420000000001</v>
      </c>
      <c r="M2548" s="4">
        <v>115.283759</v>
      </c>
      <c r="N2548" s="6"/>
      <c r="P2548"/>
      <c r="Q2548" s="12"/>
      <c r="R2548" s="12"/>
    </row>
    <row r="2549" spans="1:18" x14ac:dyDescent="0.2">
      <c r="A2549">
        <v>22</v>
      </c>
      <c r="B2549" t="s">
        <v>13</v>
      </c>
      <c r="C2549">
        <v>2015</v>
      </c>
      <c r="D2549">
        <v>4</v>
      </c>
      <c r="E2549" s="4">
        <v>0</v>
      </c>
      <c r="F2549" s="9">
        <v>0</v>
      </c>
      <c r="G2549" s="6">
        <v>4378</v>
      </c>
      <c r="H2549" s="9">
        <f t="shared" si="39"/>
        <v>0</v>
      </c>
      <c r="I2549" s="6">
        <v>11857</v>
      </c>
      <c r="J2549" s="6">
        <f>VLOOKUP(Table1[[#This Row],[Province]],[1]Sheet1!$A$3:$K$37,8,FALSE)</f>
        <v>4244100</v>
      </c>
      <c r="K2549">
        <v>0</v>
      </c>
      <c r="L2549" s="4">
        <v>3.0926420000000001</v>
      </c>
      <c r="M2549" s="4">
        <v>115.283759</v>
      </c>
      <c r="N2549" s="6"/>
      <c r="P2549"/>
      <c r="Q2549" s="12"/>
      <c r="R2549" s="12"/>
    </row>
    <row r="2550" spans="1:18" x14ac:dyDescent="0.2">
      <c r="A2550">
        <v>22</v>
      </c>
      <c r="B2550" t="s">
        <v>13</v>
      </c>
      <c r="C2550">
        <v>2015</v>
      </c>
      <c r="D2550">
        <v>5</v>
      </c>
      <c r="E2550" s="4">
        <v>0</v>
      </c>
      <c r="F2550" s="9">
        <v>0</v>
      </c>
      <c r="G2550" s="6">
        <v>4195</v>
      </c>
      <c r="H2550" s="9">
        <f t="shared" si="39"/>
        <v>0</v>
      </c>
      <c r="I2550" s="6">
        <v>12395</v>
      </c>
      <c r="J2550" s="6">
        <f>VLOOKUP(Table1[[#This Row],[Province]],[1]Sheet1!$A$3:$K$37,8,FALSE)</f>
        <v>4244100</v>
      </c>
      <c r="K2550">
        <v>0</v>
      </c>
      <c r="L2550" s="4">
        <v>3.0926420000000001</v>
      </c>
      <c r="M2550" s="4">
        <v>115.283759</v>
      </c>
      <c r="N2550" s="6"/>
      <c r="P2550"/>
      <c r="Q2550" s="12"/>
      <c r="R2550" s="12"/>
    </row>
    <row r="2551" spans="1:18" x14ac:dyDescent="0.2">
      <c r="A2551">
        <v>22</v>
      </c>
      <c r="B2551" t="s">
        <v>13</v>
      </c>
      <c r="C2551">
        <v>2015</v>
      </c>
      <c r="D2551">
        <v>6</v>
      </c>
      <c r="E2551" s="4">
        <v>0</v>
      </c>
      <c r="F2551" s="9">
        <v>0</v>
      </c>
      <c r="G2551" s="6">
        <v>4768</v>
      </c>
      <c r="H2551" s="9">
        <f t="shared" si="39"/>
        <v>0</v>
      </c>
      <c r="I2551" s="6">
        <v>13000</v>
      </c>
      <c r="J2551" s="6">
        <f>VLOOKUP(Table1[[#This Row],[Province]],[1]Sheet1!$A$3:$K$37,8,FALSE)</f>
        <v>4244100</v>
      </c>
      <c r="K2551">
        <v>1</v>
      </c>
      <c r="L2551" s="4">
        <v>3.0926420000000001</v>
      </c>
      <c r="M2551" s="4">
        <v>115.283759</v>
      </c>
      <c r="N2551" s="6"/>
      <c r="P2551"/>
      <c r="Q2551" s="12"/>
      <c r="R2551" s="12"/>
    </row>
    <row r="2552" spans="1:18" x14ac:dyDescent="0.2">
      <c r="A2552">
        <v>22</v>
      </c>
      <c r="B2552" t="s">
        <v>13</v>
      </c>
      <c r="C2552">
        <v>2015</v>
      </c>
      <c r="D2552">
        <v>7</v>
      </c>
      <c r="E2552" s="4">
        <v>0</v>
      </c>
      <c r="F2552" s="9">
        <v>0</v>
      </c>
      <c r="G2552" s="6">
        <v>3255</v>
      </c>
      <c r="H2552" s="9">
        <f t="shared" si="39"/>
        <v>0</v>
      </c>
      <c r="I2552" s="6">
        <v>12895</v>
      </c>
      <c r="J2552" s="6">
        <f>VLOOKUP(Table1[[#This Row],[Province]],[1]Sheet1!$A$3:$K$37,8,FALSE)</f>
        <v>4244100</v>
      </c>
      <c r="K2552">
        <v>0</v>
      </c>
      <c r="L2552" s="4">
        <v>3.0926420000000001</v>
      </c>
      <c r="M2552" s="4">
        <v>115.283759</v>
      </c>
      <c r="N2552" s="6"/>
      <c r="P2552"/>
      <c r="Q2552" s="12"/>
      <c r="R2552" s="12"/>
    </row>
    <row r="2553" spans="1:18" x14ac:dyDescent="0.2">
      <c r="A2553">
        <v>22</v>
      </c>
      <c r="B2553" t="s">
        <v>13</v>
      </c>
      <c r="C2553">
        <v>2015</v>
      </c>
      <c r="D2553">
        <v>8</v>
      </c>
      <c r="E2553" s="4">
        <v>0</v>
      </c>
      <c r="F2553" s="9">
        <v>0</v>
      </c>
      <c r="G2553" s="6">
        <v>3221</v>
      </c>
      <c r="H2553" s="9">
        <f t="shared" si="39"/>
        <v>0</v>
      </c>
      <c r="I2553" s="6">
        <v>12500</v>
      </c>
      <c r="J2553" s="6">
        <f>VLOOKUP(Table1[[#This Row],[Province]],[1]Sheet1!$A$3:$K$37,8,FALSE)</f>
        <v>4244100</v>
      </c>
      <c r="K2553">
        <v>0</v>
      </c>
      <c r="L2553" s="4">
        <v>3.0926420000000001</v>
      </c>
      <c r="M2553" s="4">
        <v>115.283759</v>
      </c>
      <c r="N2553" s="6"/>
      <c r="P2553"/>
      <c r="Q2553" s="12"/>
      <c r="R2553" s="12"/>
    </row>
    <row r="2554" spans="1:18" x14ac:dyDescent="0.2">
      <c r="A2554">
        <v>22</v>
      </c>
      <c r="B2554" t="s">
        <v>13</v>
      </c>
      <c r="C2554">
        <v>2015</v>
      </c>
      <c r="D2554">
        <v>9</v>
      </c>
      <c r="E2554" s="4">
        <v>0</v>
      </c>
      <c r="F2554" s="9">
        <v>0</v>
      </c>
      <c r="G2554" s="6">
        <v>4323</v>
      </c>
      <c r="H2554" s="9">
        <f t="shared" si="39"/>
        <v>0</v>
      </c>
      <c r="I2554" s="6">
        <v>12500</v>
      </c>
      <c r="J2554" s="6">
        <f>VLOOKUP(Table1[[#This Row],[Province]],[1]Sheet1!$A$3:$K$37,8,FALSE)</f>
        <v>4244100</v>
      </c>
      <c r="K2554">
        <v>0</v>
      </c>
      <c r="L2554" s="4">
        <v>3.0926420000000001</v>
      </c>
      <c r="M2554" s="4">
        <v>115.283759</v>
      </c>
      <c r="N2554" s="6"/>
      <c r="P2554"/>
      <c r="Q2554" s="12"/>
      <c r="R2554" s="12"/>
    </row>
    <row r="2555" spans="1:18" x14ac:dyDescent="0.2">
      <c r="A2555">
        <v>22</v>
      </c>
      <c r="B2555" t="s">
        <v>13</v>
      </c>
      <c r="C2555">
        <v>2015</v>
      </c>
      <c r="D2555">
        <v>10</v>
      </c>
      <c r="E2555" s="4">
        <v>0</v>
      </c>
      <c r="F2555" s="9">
        <v>0</v>
      </c>
      <c r="G2555" s="6">
        <v>2881</v>
      </c>
      <c r="H2555" s="9">
        <f t="shared" si="39"/>
        <v>0</v>
      </c>
      <c r="I2555" s="6">
        <v>12929</v>
      </c>
      <c r="J2555" s="6">
        <f>VLOOKUP(Table1[[#This Row],[Province]],[1]Sheet1!$A$3:$K$37,8,FALSE)</f>
        <v>4244100</v>
      </c>
      <c r="K2555">
        <v>0</v>
      </c>
      <c r="L2555" s="4">
        <v>3.0926420000000001</v>
      </c>
      <c r="M2555" s="4">
        <v>115.283759</v>
      </c>
      <c r="N2555" s="6"/>
      <c r="P2555"/>
      <c r="Q2555" s="12"/>
      <c r="R2555" s="12"/>
    </row>
    <row r="2556" spans="1:18" x14ac:dyDescent="0.2">
      <c r="A2556">
        <v>22</v>
      </c>
      <c r="B2556" t="s">
        <v>13</v>
      </c>
      <c r="C2556">
        <v>2015</v>
      </c>
      <c r="D2556">
        <v>11</v>
      </c>
      <c r="E2556" s="4">
        <v>0</v>
      </c>
      <c r="F2556" s="9">
        <v>0</v>
      </c>
      <c r="G2556" s="6">
        <v>3799</v>
      </c>
      <c r="H2556" s="9">
        <f t="shared" si="39"/>
        <v>0</v>
      </c>
      <c r="I2556" s="6">
        <v>12952</v>
      </c>
      <c r="J2556" s="6">
        <f>VLOOKUP(Table1[[#This Row],[Province]],[1]Sheet1!$A$3:$K$37,8,FALSE)</f>
        <v>4244100</v>
      </c>
      <c r="K2556">
        <v>0</v>
      </c>
      <c r="L2556" s="4">
        <v>3.0926420000000001</v>
      </c>
      <c r="M2556" s="4">
        <v>115.283759</v>
      </c>
      <c r="N2556" s="6"/>
      <c r="P2556"/>
      <c r="Q2556" s="12"/>
      <c r="R2556" s="12"/>
    </row>
    <row r="2557" spans="1:18" x14ac:dyDescent="0.2">
      <c r="A2557">
        <v>22</v>
      </c>
      <c r="B2557" t="s">
        <v>13</v>
      </c>
      <c r="C2557">
        <v>2015</v>
      </c>
      <c r="D2557">
        <v>12</v>
      </c>
      <c r="E2557" s="4">
        <v>0</v>
      </c>
      <c r="F2557" s="9">
        <v>0</v>
      </c>
      <c r="G2557" s="6">
        <v>4073</v>
      </c>
      <c r="H2557" s="9">
        <f t="shared" si="39"/>
        <v>0</v>
      </c>
      <c r="I2557" s="6">
        <v>12500</v>
      </c>
      <c r="J2557" s="6">
        <f>VLOOKUP(Table1[[#This Row],[Province]],[1]Sheet1!$A$3:$K$37,8,FALSE)</f>
        <v>4244100</v>
      </c>
      <c r="K2557">
        <v>1</v>
      </c>
      <c r="L2557" s="4">
        <v>3.0926420000000001</v>
      </c>
      <c r="M2557" s="4">
        <v>115.283759</v>
      </c>
      <c r="N2557" s="6"/>
      <c r="P2557"/>
      <c r="Q2557" s="12"/>
      <c r="R2557" s="12"/>
    </row>
    <row r="2558" spans="1:18" x14ac:dyDescent="0.2">
      <c r="A2558">
        <v>22</v>
      </c>
      <c r="B2558" t="s">
        <v>13</v>
      </c>
      <c r="C2558">
        <v>2016</v>
      </c>
      <c r="D2558">
        <v>1</v>
      </c>
      <c r="E2558" s="4">
        <v>0</v>
      </c>
      <c r="F2558" s="9">
        <v>0</v>
      </c>
      <c r="G2558" s="6">
        <v>3598</v>
      </c>
      <c r="H2558" s="9">
        <f t="shared" si="39"/>
        <v>0</v>
      </c>
      <c r="I2558" s="6">
        <v>12500</v>
      </c>
      <c r="J2558" s="6">
        <f>VLOOKUP(Table1[[#This Row],[Province]],[1]Sheet1!$A$3:$K$37,8,FALSE)</f>
        <v>4244100</v>
      </c>
      <c r="K2558">
        <v>0</v>
      </c>
      <c r="L2558" s="4">
        <v>3.0926420000000001</v>
      </c>
      <c r="M2558" s="4">
        <v>115.283759</v>
      </c>
      <c r="N2558" s="13">
        <v>4.4000000000000004</v>
      </c>
      <c r="P2558"/>
      <c r="Q2558" s="12"/>
      <c r="R2558" s="12"/>
    </row>
    <row r="2559" spans="1:18" x14ac:dyDescent="0.2">
      <c r="A2559">
        <v>22</v>
      </c>
      <c r="B2559" t="s">
        <v>13</v>
      </c>
      <c r="C2559">
        <v>2016</v>
      </c>
      <c r="D2559">
        <v>2</v>
      </c>
      <c r="E2559" s="4">
        <v>0</v>
      </c>
      <c r="F2559" s="9">
        <v>0</v>
      </c>
      <c r="G2559" s="6">
        <v>2304</v>
      </c>
      <c r="H2559" s="9">
        <f t="shared" si="39"/>
        <v>0</v>
      </c>
      <c r="I2559" s="6">
        <v>12500</v>
      </c>
      <c r="J2559" s="6">
        <f>VLOOKUP(Table1[[#This Row],[Province]],[1]Sheet1!$A$3:$K$37,8,FALSE)</f>
        <v>4244100</v>
      </c>
      <c r="K2559">
        <v>0</v>
      </c>
      <c r="L2559" s="4">
        <v>3.0926420000000001</v>
      </c>
      <c r="M2559" s="4">
        <v>115.283759</v>
      </c>
      <c r="N2559" s="13">
        <v>4.4000000000000004</v>
      </c>
      <c r="P2559"/>
      <c r="Q2559" s="12"/>
      <c r="R2559" s="12"/>
    </row>
    <row r="2560" spans="1:18" x14ac:dyDescent="0.2">
      <c r="A2560">
        <v>22</v>
      </c>
      <c r="B2560" t="s">
        <v>13</v>
      </c>
      <c r="C2560">
        <v>2016</v>
      </c>
      <c r="D2560">
        <v>3</v>
      </c>
      <c r="E2560" s="4">
        <v>0</v>
      </c>
      <c r="F2560" s="9">
        <v>0</v>
      </c>
      <c r="G2560" s="6">
        <v>4032</v>
      </c>
      <c r="H2560" s="9">
        <f t="shared" si="39"/>
        <v>0</v>
      </c>
      <c r="I2560" s="6">
        <v>12500</v>
      </c>
      <c r="J2560" s="6">
        <f>VLOOKUP(Table1[[#This Row],[Province]],[1]Sheet1!$A$3:$K$37,8,FALSE)</f>
        <v>4244100</v>
      </c>
      <c r="K2560">
        <v>0</v>
      </c>
      <c r="L2560" s="4">
        <v>3.0926420000000001</v>
      </c>
      <c r="M2560" s="4">
        <v>115.283759</v>
      </c>
      <c r="N2560" s="13">
        <v>4.4000000000000004</v>
      </c>
      <c r="P2560"/>
      <c r="Q2560" s="12"/>
      <c r="R2560" s="12"/>
    </row>
    <row r="2561" spans="1:18" x14ac:dyDescent="0.2">
      <c r="A2561">
        <v>22</v>
      </c>
      <c r="B2561" t="s">
        <v>13</v>
      </c>
      <c r="C2561">
        <v>2016</v>
      </c>
      <c r="D2561">
        <v>4</v>
      </c>
      <c r="E2561" s="4">
        <v>0</v>
      </c>
      <c r="F2561" s="9">
        <v>0</v>
      </c>
      <c r="G2561" s="6">
        <v>2476</v>
      </c>
      <c r="H2561" s="9">
        <f t="shared" si="39"/>
        <v>0</v>
      </c>
      <c r="I2561" s="6">
        <v>12500</v>
      </c>
      <c r="J2561" s="6">
        <f>VLOOKUP(Table1[[#This Row],[Province]],[1]Sheet1!$A$3:$K$37,8,FALSE)</f>
        <v>4244100</v>
      </c>
      <c r="K2561">
        <v>0</v>
      </c>
      <c r="L2561" s="4">
        <v>3.0926420000000001</v>
      </c>
      <c r="M2561" s="4">
        <v>115.283759</v>
      </c>
      <c r="N2561" s="13">
        <v>4.4000000000000004</v>
      </c>
      <c r="P2561"/>
      <c r="Q2561" s="12"/>
      <c r="R2561" s="12"/>
    </row>
    <row r="2562" spans="1:18" x14ac:dyDescent="0.2">
      <c r="A2562">
        <v>22</v>
      </c>
      <c r="B2562" t="s">
        <v>13</v>
      </c>
      <c r="C2562">
        <v>2016</v>
      </c>
      <c r="D2562">
        <v>5</v>
      </c>
      <c r="E2562" s="4">
        <v>0</v>
      </c>
      <c r="F2562" s="9">
        <v>0</v>
      </c>
      <c r="G2562" s="6">
        <v>3862</v>
      </c>
      <c r="H2562" s="9">
        <f t="shared" ref="H2562:H2625" si="40">F2562+E2562</f>
        <v>0</v>
      </c>
      <c r="I2562" s="6">
        <v>15000</v>
      </c>
      <c r="J2562" s="6">
        <f>VLOOKUP(Table1[[#This Row],[Province]],[1]Sheet1!$A$3:$K$37,8,FALSE)</f>
        <v>4244100</v>
      </c>
      <c r="K2562">
        <v>0</v>
      </c>
      <c r="L2562" s="4">
        <v>3.0926420000000001</v>
      </c>
      <c r="M2562" s="4">
        <v>115.283759</v>
      </c>
      <c r="N2562" s="13">
        <v>4.4000000000000004</v>
      </c>
      <c r="P2562"/>
      <c r="Q2562" s="12"/>
      <c r="R2562" s="12"/>
    </row>
    <row r="2563" spans="1:18" x14ac:dyDescent="0.2">
      <c r="A2563">
        <v>22</v>
      </c>
      <c r="B2563" t="s">
        <v>13</v>
      </c>
      <c r="C2563">
        <v>2016</v>
      </c>
      <c r="D2563">
        <v>6</v>
      </c>
      <c r="E2563" s="4">
        <v>0</v>
      </c>
      <c r="F2563" s="9">
        <v>0</v>
      </c>
      <c r="G2563" s="6">
        <v>4174</v>
      </c>
      <c r="H2563" s="9">
        <f t="shared" si="40"/>
        <v>0</v>
      </c>
      <c r="I2563" s="6">
        <v>16580</v>
      </c>
      <c r="J2563" s="6">
        <f>VLOOKUP(Table1[[#This Row],[Province]],[1]Sheet1!$A$3:$K$37,8,FALSE)</f>
        <v>4244100</v>
      </c>
      <c r="K2563">
        <v>1</v>
      </c>
      <c r="L2563" s="4">
        <v>3.0926420000000001</v>
      </c>
      <c r="M2563" s="4">
        <v>115.283759</v>
      </c>
      <c r="N2563" s="13">
        <v>4.4000000000000004</v>
      </c>
      <c r="P2563"/>
      <c r="Q2563" s="12"/>
      <c r="R2563" s="12"/>
    </row>
    <row r="2564" spans="1:18" x14ac:dyDescent="0.2">
      <c r="A2564">
        <v>22</v>
      </c>
      <c r="B2564" t="s">
        <v>13</v>
      </c>
      <c r="C2564">
        <v>2016</v>
      </c>
      <c r="D2564">
        <v>7</v>
      </c>
      <c r="E2564" s="4">
        <v>0</v>
      </c>
      <c r="F2564" s="9">
        <v>0</v>
      </c>
      <c r="G2564" s="6">
        <v>3982</v>
      </c>
      <c r="H2564" s="9">
        <f t="shared" si="40"/>
        <v>0</v>
      </c>
      <c r="I2564" s="6">
        <v>16750</v>
      </c>
      <c r="J2564" s="6">
        <f>VLOOKUP(Table1[[#This Row],[Province]],[1]Sheet1!$A$3:$K$37,8,FALSE)</f>
        <v>4244100</v>
      </c>
      <c r="K2564">
        <v>0</v>
      </c>
      <c r="L2564" s="4">
        <v>3.0926420000000001</v>
      </c>
      <c r="M2564" s="4">
        <v>115.283759</v>
      </c>
      <c r="N2564" s="13">
        <v>4.4000000000000004</v>
      </c>
      <c r="P2564"/>
      <c r="Q2564" s="12"/>
      <c r="R2564" s="12"/>
    </row>
    <row r="2565" spans="1:18" x14ac:dyDescent="0.2">
      <c r="A2565">
        <v>22</v>
      </c>
      <c r="B2565" t="s">
        <v>13</v>
      </c>
      <c r="C2565">
        <v>2016</v>
      </c>
      <c r="D2565">
        <v>8</v>
      </c>
      <c r="E2565" s="4">
        <v>0</v>
      </c>
      <c r="F2565" s="9">
        <v>0</v>
      </c>
      <c r="G2565" s="6">
        <v>3935</v>
      </c>
      <c r="H2565" s="9">
        <f t="shared" si="40"/>
        <v>0</v>
      </c>
      <c r="I2565" s="6">
        <v>15977</v>
      </c>
      <c r="J2565" s="6">
        <f>VLOOKUP(Table1[[#This Row],[Province]],[1]Sheet1!$A$3:$K$37,8,FALSE)</f>
        <v>4244100</v>
      </c>
      <c r="K2565">
        <v>0</v>
      </c>
      <c r="L2565" s="4">
        <v>3.0926420000000001</v>
      </c>
      <c r="M2565" s="4">
        <v>115.283759</v>
      </c>
      <c r="N2565" s="13">
        <v>4.4000000000000004</v>
      </c>
      <c r="P2565"/>
      <c r="Q2565" s="12"/>
      <c r="R2565" s="12"/>
    </row>
    <row r="2566" spans="1:18" x14ac:dyDescent="0.2">
      <c r="A2566">
        <v>22</v>
      </c>
      <c r="B2566" t="s">
        <v>13</v>
      </c>
      <c r="C2566">
        <v>2016</v>
      </c>
      <c r="D2566">
        <v>9</v>
      </c>
      <c r="E2566" s="4">
        <v>0</v>
      </c>
      <c r="F2566" s="9">
        <v>0</v>
      </c>
      <c r="G2566" s="6">
        <v>1521</v>
      </c>
      <c r="H2566" s="9">
        <f t="shared" si="40"/>
        <v>0</v>
      </c>
      <c r="I2566" s="6">
        <v>14357</v>
      </c>
      <c r="J2566" s="6">
        <f>VLOOKUP(Table1[[#This Row],[Province]],[1]Sheet1!$A$3:$K$37,8,FALSE)</f>
        <v>4244100</v>
      </c>
      <c r="K2566">
        <v>0</v>
      </c>
      <c r="L2566" s="4">
        <v>3.0926420000000001</v>
      </c>
      <c r="M2566" s="4">
        <v>115.283759</v>
      </c>
      <c r="N2566" s="13">
        <v>4.4000000000000004</v>
      </c>
      <c r="P2566"/>
      <c r="Q2566" s="12"/>
      <c r="R2566" s="12"/>
    </row>
    <row r="2567" spans="1:18" x14ac:dyDescent="0.2">
      <c r="A2567">
        <v>22</v>
      </c>
      <c r="B2567" t="s">
        <v>13</v>
      </c>
      <c r="C2567">
        <v>2016</v>
      </c>
      <c r="D2567">
        <v>10</v>
      </c>
      <c r="E2567" s="4">
        <v>0</v>
      </c>
      <c r="F2567" s="9">
        <v>0</v>
      </c>
      <c r="G2567" s="6">
        <v>6644</v>
      </c>
      <c r="H2567" s="9">
        <f t="shared" si="40"/>
        <v>0</v>
      </c>
      <c r="I2567" s="6">
        <v>14119</v>
      </c>
      <c r="J2567" s="6">
        <f>VLOOKUP(Table1[[#This Row],[Province]],[1]Sheet1!$A$3:$K$37,8,FALSE)</f>
        <v>4244100</v>
      </c>
      <c r="K2567">
        <v>0</v>
      </c>
      <c r="L2567" s="4">
        <v>3.0926420000000001</v>
      </c>
      <c r="M2567" s="4">
        <v>115.283759</v>
      </c>
      <c r="N2567" s="13">
        <v>4.4000000000000004</v>
      </c>
      <c r="P2567"/>
      <c r="Q2567" s="12"/>
      <c r="R2567" s="12"/>
    </row>
    <row r="2568" spans="1:18" x14ac:dyDescent="0.2">
      <c r="A2568">
        <v>22</v>
      </c>
      <c r="B2568" t="s">
        <v>13</v>
      </c>
      <c r="C2568">
        <v>2016</v>
      </c>
      <c r="D2568">
        <v>11</v>
      </c>
      <c r="E2568" s="4">
        <v>0</v>
      </c>
      <c r="F2568" s="9">
        <v>0</v>
      </c>
      <c r="G2568" s="6">
        <v>1881</v>
      </c>
      <c r="H2568" s="9">
        <f t="shared" si="40"/>
        <v>0</v>
      </c>
      <c r="I2568" s="6">
        <v>13489</v>
      </c>
      <c r="J2568" s="6">
        <f>VLOOKUP(Table1[[#This Row],[Province]],[1]Sheet1!$A$3:$K$37,8,FALSE)</f>
        <v>4244100</v>
      </c>
      <c r="K2568">
        <v>0</v>
      </c>
      <c r="L2568" s="4">
        <v>3.0926420000000001</v>
      </c>
      <c r="M2568" s="4">
        <v>115.283759</v>
      </c>
      <c r="N2568" s="13">
        <v>4.4000000000000004</v>
      </c>
      <c r="P2568"/>
      <c r="Q2568" s="12"/>
      <c r="R2568" s="12"/>
    </row>
    <row r="2569" spans="1:18" x14ac:dyDescent="0.2">
      <c r="A2569">
        <v>22</v>
      </c>
      <c r="B2569" t="s">
        <v>13</v>
      </c>
      <c r="C2569">
        <v>2016</v>
      </c>
      <c r="D2569">
        <v>12</v>
      </c>
      <c r="E2569" s="4">
        <v>0</v>
      </c>
      <c r="F2569" s="9">
        <v>0</v>
      </c>
      <c r="G2569" s="6">
        <v>1883</v>
      </c>
      <c r="H2569" s="9">
        <f t="shared" si="40"/>
        <v>0</v>
      </c>
      <c r="I2569" s="6">
        <v>13500</v>
      </c>
      <c r="J2569" s="6">
        <f>VLOOKUP(Table1[[#This Row],[Province]],[1]Sheet1!$A$3:$K$37,8,FALSE)</f>
        <v>4244100</v>
      </c>
      <c r="K2569">
        <v>1</v>
      </c>
      <c r="L2569" s="4">
        <v>3.0926420000000001</v>
      </c>
      <c r="M2569" s="4">
        <v>115.283759</v>
      </c>
      <c r="N2569" s="13">
        <v>4.4000000000000004</v>
      </c>
      <c r="P2569"/>
      <c r="Q2569" s="12"/>
      <c r="R2569" s="12"/>
    </row>
    <row r="2570" spans="1:18" x14ac:dyDescent="0.2">
      <c r="A2570">
        <v>22</v>
      </c>
      <c r="B2570" t="s">
        <v>13</v>
      </c>
      <c r="C2570">
        <v>2017</v>
      </c>
      <c r="D2570">
        <v>1</v>
      </c>
      <c r="E2570" s="4">
        <v>0</v>
      </c>
      <c r="F2570" s="9">
        <v>0</v>
      </c>
      <c r="G2570" s="6">
        <v>3731</v>
      </c>
      <c r="H2570" s="9">
        <f t="shared" si="40"/>
        <v>0</v>
      </c>
      <c r="I2570" s="6">
        <v>13048</v>
      </c>
      <c r="J2570" s="6">
        <f>VLOOKUP(Table1[[#This Row],[Province]],[1]Sheet1!$A$3:$K$37,8,FALSE)</f>
        <v>4244100</v>
      </c>
      <c r="K2570">
        <v>0</v>
      </c>
      <c r="L2570" s="4">
        <v>3.0926420000000001</v>
      </c>
      <c r="M2570" s="4">
        <v>115.283759</v>
      </c>
      <c r="N2570" s="13">
        <v>5.28</v>
      </c>
      <c r="P2570"/>
      <c r="Q2570" s="12"/>
      <c r="R2570" s="12"/>
    </row>
    <row r="2571" spans="1:18" x14ac:dyDescent="0.2">
      <c r="A2571">
        <v>22</v>
      </c>
      <c r="B2571" t="s">
        <v>13</v>
      </c>
      <c r="C2571">
        <v>2017</v>
      </c>
      <c r="D2571">
        <v>2</v>
      </c>
      <c r="E2571" s="4">
        <v>0</v>
      </c>
      <c r="F2571" s="9">
        <v>0</v>
      </c>
      <c r="G2571" s="6">
        <v>2144</v>
      </c>
      <c r="H2571" s="9">
        <f t="shared" si="40"/>
        <v>0</v>
      </c>
      <c r="I2571" s="6">
        <v>13000</v>
      </c>
      <c r="J2571" s="6">
        <f>VLOOKUP(Table1[[#This Row],[Province]],[1]Sheet1!$A$3:$K$37,8,FALSE)</f>
        <v>4244100</v>
      </c>
      <c r="K2571">
        <v>0</v>
      </c>
      <c r="L2571" s="4">
        <v>3.0926420000000001</v>
      </c>
      <c r="M2571" s="4">
        <v>115.283759</v>
      </c>
      <c r="N2571" s="13">
        <v>5.28</v>
      </c>
      <c r="P2571"/>
      <c r="Q2571" s="12"/>
      <c r="R2571" s="12"/>
    </row>
    <row r="2572" spans="1:18" x14ac:dyDescent="0.2">
      <c r="A2572">
        <v>22</v>
      </c>
      <c r="B2572" t="s">
        <v>13</v>
      </c>
      <c r="C2572">
        <v>2017</v>
      </c>
      <c r="D2572">
        <v>3</v>
      </c>
      <c r="E2572" s="4">
        <v>0</v>
      </c>
      <c r="F2572" s="9">
        <v>0</v>
      </c>
      <c r="G2572" s="6">
        <v>1675</v>
      </c>
      <c r="H2572" s="9">
        <f t="shared" si="40"/>
        <v>0</v>
      </c>
      <c r="I2572" s="6">
        <v>12835</v>
      </c>
      <c r="J2572" s="6">
        <f>VLOOKUP(Table1[[#This Row],[Province]],[1]Sheet1!$A$3:$K$37,8,FALSE)</f>
        <v>4244100</v>
      </c>
      <c r="K2572">
        <v>0</v>
      </c>
      <c r="L2572" s="4">
        <v>3.0926420000000001</v>
      </c>
      <c r="M2572" s="4">
        <v>115.283759</v>
      </c>
      <c r="N2572" s="13">
        <v>5.28</v>
      </c>
      <c r="P2572"/>
      <c r="Q2572" s="12"/>
      <c r="R2572" s="12"/>
    </row>
    <row r="2573" spans="1:18" x14ac:dyDescent="0.2">
      <c r="A2573">
        <v>22</v>
      </c>
      <c r="B2573" t="s">
        <v>13</v>
      </c>
      <c r="C2573">
        <v>2017</v>
      </c>
      <c r="D2573">
        <v>4</v>
      </c>
      <c r="E2573" s="4">
        <v>0</v>
      </c>
      <c r="F2573" s="9">
        <v>0</v>
      </c>
      <c r="G2573" s="6">
        <v>1196</v>
      </c>
      <c r="H2573" s="9">
        <f t="shared" si="40"/>
        <v>0</v>
      </c>
      <c r="I2573" s="6">
        <v>13000</v>
      </c>
      <c r="J2573" s="6">
        <f>VLOOKUP(Table1[[#This Row],[Province]],[1]Sheet1!$A$3:$K$37,8,FALSE)</f>
        <v>4244100</v>
      </c>
      <c r="K2573">
        <v>0</v>
      </c>
      <c r="L2573" s="4">
        <v>3.0926420000000001</v>
      </c>
      <c r="M2573" s="4">
        <v>115.283759</v>
      </c>
      <c r="N2573" s="13">
        <v>5.28</v>
      </c>
      <c r="P2573"/>
      <c r="Q2573" s="12"/>
      <c r="R2573" s="12"/>
    </row>
    <row r="2574" spans="1:18" x14ac:dyDescent="0.2">
      <c r="A2574">
        <v>22</v>
      </c>
      <c r="B2574" t="s">
        <v>13</v>
      </c>
      <c r="C2574">
        <v>2017</v>
      </c>
      <c r="D2574">
        <v>5</v>
      </c>
      <c r="E2574" s="4">
        <v>0</v>
      </c>
      <c r="F2574" s="9">
        <v>0</v>
      </c>
      <c r="G2574" s="6">
        <v>1152</v>
      </c>
      <c r="H2574" s="9">
        <f t="shared" si="40"/>
        <v>0</v>
      </c>
      <c r="I2574" s="6">
        <v>13000</v>
      </c>
      <c r="J2574" s="6">
        <f>VLOOKUP(Table1[[#This Row],[Province]],[1]Sheet1!$A$3:$K$37,8,FALSE)</f>
        <v>4244100</v>
      </c>
      <c r="K2574">
        <v>1</v>
      </c>
      <c r="L2574" s="4">
        <v>3.0926420000000001</v>
      </c>
      <c r="M2574" s="4">
        <v>115.283759</v>
      </c>
      <c r="N2574" s="13">
        <v>5.28</v>
      </c>
      <c r="P2574"/>
      <c r="Q2574" s="12"/>
      <c r="R2574" s="12"/>
    </row>
    <row r="2575" spans="1:18" x14ac:dyDescent="0.2">
      <c r="A2575">
        <v>22</v>
      </c>
      <c r="B2575" t="s">
        <v>13</v>
      </c>
      <c r="C2575">
        <v>2017</v>
      </c>
      <c r="D2575">
        <v>6</v>
      </c>
      <c r="E2575" s="4">
        <v>0</v>
      </c>
      <c r="F2575" s="9">
        <v>0</v>
      </c>
      <c r="G2575" s="6">
        <v>2132</v>
      </c>
      <c r="H2575" s="9">
        <f t="shared" si="40"/>
        <v>0</v>
      </c>
      <c r="I2575" s="6">
        <v>13000</v>
      </c>
      <c r="J2575" s="6">
        <f>VLOOKUP(Table1[[#This Row],[Province]],[1]Sheet1!$A$3:$K$37,8,FALSE)</f>
        <v>4244100</v>
      </c>
      <c r="K2575">
        <v>0</v>
      </c>
      <c r="L2575" s="4">
        <v>3.0926420000000001</v>
      </c>
      <c r="M2575" s="4">
        <v>115.283759</v>
      </c>
      <c r="N2575" s="13">
        <v>5.28</v>
      </c>
      <c r="P2575"/>
      <c r="Q2575" s="12"/>
      <c r="R2575" s="12"/>
    </row>
    <row r="2576" spans="1:18" x14ac:dyDescent="0.2">
      <c r="A2576">
        <v>22</v>
      </c>
      <c r="B2576" t="s">
        <v>13</v>
      </c>
      <c r="C2576">
        <v>2017</v>
      </c>
      <c r="D2576">
        <v>7</v>
      </c>
      <c r="E2576" s="4">
        <v>0</v>
      </c>
      <c r="F2576" s="9">
        <v>0</v>
      </c>
      <c r="G2576" s="6">
        <v>2373</v>
      </c>
      <c r="H2576" s="9">
        <f t="shared" si="40"/>
        <v>0</v>
      </c>
      <c r="I2576" s="6">
        <v>13000</v>
      </c>
      <c r="J2576" s="6">
        <f>VLOOKUP(Table1[[#This Row],[Province]],[1]Sheet1!$A$3:$K$37,8,FALSE)</f>
        <v>4244100</v>
      </c>
      <c r="K2576">
        <v>0</v>
      </c>
      <c r="L2576" s="4">
        <v>3.0926420000000001</v>
      </c>
      <c r="M2576" s="4">
        <v>115.283759</v>
      </c>
      <c r="N2576" s="13">
        <v>5.28</v>
      </c>
      <c r="P2576"/>
      <c r="Q2576" s="12"/>
      <c r="R2576" s="12"/>
    </row>
    <row r="2577" spans="1:18" x14ac:dyDescent="0.2">
      <c r="A2577">
        <v>22</v>
      </c>
      <c r="B2577" t="s">
        <v>13</v>
      </c>
      <c r="C2577">
        <v>2017</v>
      </c>
      <c r="D2577">
        <v>8</v>
      </c>
      <c r="E2577" s="4">
        <v>0</v>
      </c>
      <c r="F2577" s="9">
        <v>0</v>
      </c>
      <c r="G2577" s="6">
        <v>4549</v>
      </c>
      <c r="H2577" s="9">
        <f t="shared" si="40"/>
        <v>0</v>
      </c>
      <c r="I2577" s="6">
        <v>13000</v>
      </c>
      <c r="J2577" s="6">
        <f>VLOOKUP(Table1[[#This Row],[Province]],[1]Sheet1!$A$3:$K$37,8,FALSE)</f>
        <v>4244100</v>
      </c>
      <c r="K2577">
        <v>0</v>
      </c>
      <c r="L2577" s="4">
        <v>3.0926420000000001</v>
      </c>
      <c r="M2577" s="4">
        <v>115.283759</v>
      </c>
      <c r="N2577" s="13">
        <v>5.28</v>
      </c>
      <c r="P2577"/>
      <c r="Q2577" s="12"/>
      <c r="R2577" s="12"/>
    </row>
    <row r="2578" spans="1:18" x14ac:dyDescent="0.2">
      <c r="A2578">
        <v>22</v>
      </c>
      <c r="B2578" t="s">
        <v>13</v>
      </c>
      <c r="C2578">
        <v>2017</v>
      </c>
      <c r="D2578">
        <v>9</v>
      </c>
      <c r="E2578" s="4">
        <v>0</v>
      </c>
      <c r="F2578" s="9">
        <v>0</v>
      </c>
      <c r="G2578" s="6">
        <v>4408</v>
      </c>
      <c r="H2578" s="9">
        <f t="shared" si="40"/>
        <v>0</v>
      </c>
      <c r="I2578" s="6">
        <v>12958</v>
      </c>
      <c r="J2578" s="6">
        <f>VLOOKUP(Table1[[#This Row],[Province]],[1]Sheet1!$A$3:$K$37,8,FALSE)</f>
        <v>4244100</v>
      </c>
      <c r="K2578">
        <v>0</v>
      </c>
      <c r="L2578" s="4">
        <v>3.0926420000000001</v>
      </c>
      <c r="M2578" s="4">
        <v>115.283759</v>
      </c>
      <c r="N2578" s="13">
        <v>5.28</v>
      </c>
      <c r="P2578"/>
      <c r="Q2578" s="12"/>
      <c r="R2578" s="12"/>
    </row>
    <row r="2579" spans="1:18" x14ac:dyDescent="0.2">
      <c r="A2579">
        <v>22</v>
      </c>
      <c r="B2579" t="s">
        <v>13</v>
      </c>
      <c r="C2579">
        <v>2017</v>
      </c>
      <c r="D2579">
        <v>10</v>
      </c>
      <c r="E2579" s="4">
        <v>0</v>
      </c>
      <c r="F2579" s="9">
        <v>0</v>
      </c>
      <c r="G2579" s="6">
        <v>5722</v>
      </c>
      <c r="H2579" s="9">
        <f t="shared" si="40"/>
        <v>0</v>
      </c>
      <c r="I2579" s="6">
        <v>12625</v>
      </c>
      <c r="J2579" s="6">
        <f>VLOOKUP(Table1[[#This Row],[Province]],[1]Sheet1!$A$3:$K$37,8,FALSE)</f>
        <v>4244100</v>
      </c>
      <c r="K2579">
        <v>0</v>
      </c>
      <c r="L2579" s="4">
        <v>3.0926420000000001</v>
      </c>
      <c r="M2579" s="4">
        <v>115.283759</v>
      </c>
      <c r="N2579" s="13">
        <v>5.28</v>
      </c>
      <c r="P2579"/>
      <c r="Q2579" s="12"/>
      <c r="R2579" s="12"/>
    </row>
    <row r="2580" spans="1:18" x14ac:dyDescent="0.2">
      <c r="A2580">
        <v>22</v>
      </c>
      <c r="B2580" t="s">
        <v>13</v>
      </c>
      <c r="C2580">
        <v>2017</v>
      </c>
      <c r="D2580">
        <v>11</v>
      </c>
      <c r="E2580" s="4">
        <v>0</v>
      </c>
      <c r="F2580" s="9">
        <v>0</v>
      </c>
      <c r="G2580" s="6">
        <v>1495</v>
      </c>
      <c r="H2580" s="9">
        <f t="shared" si="40"/>
        <v>0</v>
      </c>
      <c r="I2580" s="6">
        <v>12511</v>
      </c>
      <c r="J2580" s="6">
        <f>VLOOKUP(Table1[[#This Row],[Province]],[1]Sheet1!$A$3:$K$37,8,FALSE)</f>
        <v>4244100</v>
      </c>
      <c r="K2580">
        <v>0</v>
      </c>
      <c r="L2580" s="4">
        <v>3.0926420000000001</v>
      </c>
      <c r="M2580" s="4">
        <v>115.283759</v>
      </c>
      <c r="N2580" s="13">
        <v>5.28</v>
      </c>
      <c r="P2580"/>
      <c r="Q2580" s="12"/>
      <c r="R2580" s="12"/>
    </row>
    <row r="2581" spans="1:18" x14ac:dyDescent="0.2">
      <c r="A2581">
        <v>22</v>
      </c>
      <c r="B2581" t="s">
        <v>13</v>
      </c>
      <c r="C2581">
        <v>2017</v>
      </c>
      <c r="D2581">
        <v>12</v>
      </c>
      <c r="E2581" s="4">
        <v>0</v>
      </c>
      <c r="F2581" s="9">
        <v>0</v>
      </c>
      <c r="G2581" s="6">
        <v>2786</v>
      </c>
      <c r="H2581" s="9">
        <f t="shared" si="40"/>
        <v>0</v>
      </c>
      <c r="I2581" s="6">
        <v>12556</v>
      </c>
      <c r="J2581" s="6">
        <f>VLOOKUP(Table1[[#This Row],[Province]],[1]Sheet1!$A$3:$K$37,8,FALSE)</f>
        <v>4244100</v>
      </c>
      <c r="K2581">
        <v>1</v>
      </c>
      <c r="L2581" s="4">
        <v>3.0926420000000001</v>
      </c>
      <c r="M2581" s="4">
        <v>115.283759</v>
      </c>
      <c r="N2581" s="13">
        <v>5.28</v>
      </c>
      <c r="P2581"/>
      <c r="Q2581" s="12"/>
      <c r="R2581" s="12"/>
    </row>
    <row r="2582" spans="1:18" x14ac:dyDescent="0.2">
      <c r="A2582">
        <v>22</v>
      </c>
      <c r="B2582" t="s">
        <v>13</v>
      </c>
      <c r="C2582">
        <v>2018</v>
      </c>
      <c r="D2582">
        <v>1</v>
      </c>
      <c r="E2582" s="4">
        <v>0</v>
      </c>
      <c r="F2582" s="9">
        <v>0</v>
      </c>
      <c r="G2582" s="6">
        <v>2028</v>
      </c>
      <c r="H2582" s="9">
        <f t="shared" si="40"/>
        <v>0</v>
      </c>
      <c r="I2582" s="6">
        <v>12273</v>
      </c>
      <c r="J2582" s="6">
        <f>VLOOKUP(Table1[[#This Row],[Province]],[1]Sheet1!$A$3:$K$37,8,FALSE)</f>
        <v>4244100</v>
      </c>
      <c r="K2582">
        <v>0</v>
      </c>
      <c r="L2582" s="4">
        <v>3.0926420000000001</v>
      </c>
      <c r="M2582" s="4">
        <v>115.283759</v>
      </c>
      <c r="N2582" s="13">
        <v>5.08</v>
      </c>
      <c r="P2582"/>
      <c r="Q2582" s="12"/>
      <c r="R2582" s="12"/>
    </row>
    <row r="2583" spans="1:18" x14ac:dyDescent="0.2">
      <c r="A2583">
        <v>22</v>
      </c>
      <c r="B2583" t="s">
        <v>13</v>
      </c>
      <c r="C2583">
        <v>2018</v>
      </c>
      <c r="D2583">
        <v>2</v>
      </c>
      <c r="E2583" s="4">
        <v>0</v>
      </c>
      <c r="F2583" s="9">
        <v>0</v>
      </c>
      <c r="G2583" s="6">
        <v>1769</v>
      </c>
      <c r="H2583" s="9">
        <f t="shared" si="40"/>
        <v>0</v>
      </c>
      <c r="I2583" s="6">
        <v>12211</v>
      </c>
      <c r="J2583" s="6">
        <f>VLOOKUP(Table1[[#This Row],[Province]],[1]Sheet1!$A$3:$K$37,8,FALSE)</f>
        <v>4244100</v>
      </c>
      <c r="K2583">
        <v>0</v>
      </c>
      <c r="L2583" s="4">
        <v>3.0926420000000001</v>
      </c>
      <c r="M2583" s="4">
        <v>115.283759</v>
      </c>
      <c r="N2583" s="13">
        <v>5.08</v>
      </c>
      <c r="P2583"/>
      <c r="Q2583" s="12"/>
      <c r="R2583" s="12"/>
    </row>
    <row r="2584" spans="1:18" x14ac:dyDescent="0.2">
      <c r="A2584">
        <v>22</v>
      </c>
      <c r="B2584" t="s">
        <v>13</v>
      </c>
      <c r="C2584">
        <v>2018</v>
      </c>
      <c r="D2584">
        <v>3</v>
      </c>
      <c r="E2584" s="4">
        <v>0</v>
      </c>
      <c r="F2584" s="9">
        <v>0</v>
      </c>
      <c r="G2584" s="6">
        <v>1120</v>
      </c>
      <c r="H2584" s="9">
        <f t="shared" si="40"/>
        <v>0</v>
      </c>
      <c r="I2584" s="6">
        <v>12000</v>
      </c>
      <c r="J2584" s="6">
        <f>VLOOKUP(Table1[[#This Row],[Province]],[1]Sheet1!$A$3:$K$37,8,FALSE)</f>
        <v>4244100</v>
      </c>
      <c r="K2584">
        <v>0</v>
      </c>
      <c r="L2584" s="4">
        <v>3.0926420000000001</v>
      </c>
      <c r="M2584" s="4">
        <v>115.283759</v>
      </c>
      <c r="N2584" s="13">
        <v>5.08</v>
      </c>
      <c r="P2584"/>
      <c r="Q2584" s="12"/>
      <c r="R2584" s="12"/>
    </row>
    <row r="2585" spans="1:18" x14ac:dyDescent="0.2">
      <c r="A2585">
        <v>22</v>
      </c>
      <c r="B2585" t="s">
        <v>13</v>
      </c>
      <c r="C2585">
        <v>2018</v>
      </c>
      <c r="D2585">
        <v>4</v>
      </c>
      <c r="E2585" s="4">
        <v>0</v>
      </c>
      <c r="F2585" s="9">
        <v>0</v>
      </c>
      <c r="G2585" s="6">
        <v>348</v>
      </c>
      <c r="H2585" s="9">
        <f t="shared" si="40"/>
        <v>0</v>
      </c>
      <c r="I2585" s="6">
        <v>12000</v>
      </c>
      <c r="J2585" s="6">
        <f>VLOOKUP(Table1[[#This Row],[Province]],[1]Sheet1!$A$3:$K$37,8,FALSE)</f>
        <v>4244100</v>
      </c>
      <c r="K2585">
        <v>0</v>
      </c>
      <c r="L2585" s="4">
        <v>3.0926420000000001</v>
      </c>
      <c r="M2585" s="4">
        <v>115.283759</v>
      </c>
      <c r="N2585" s="13">
        <v>5.08</v>
      </c>
      <c r="P2585"/>
      <c r="Q2585" s="12"/>
      <c r="R2585" s="12"/>
    </row>
    <row r="2586" spans="1:18" x14ac:dyDescent="0.2">
      <c r="A2586">
        <v>22</v>
      </c>
      <c r="B2586" t="s">
        <v>13</v>
      </c>
      <c r="C2586">
        <v>2018</v>
      </c>
      <c r="D2586">
        <v>5</v>
      </c>
      <c r="E2586" s="4">
        <v>0</v>
      </c>
      <c r="F2586" s="9">
        <v>0</v>
      </c>
      <c r="G2586" s="6">
        <v>2337</v>
      </c>
      <c r="H2586" s="9">
        <f t="shared" si="40"/>
        <v>0</v>
      </c>
      <c r="I2586" s="6">
        <v>11672</v>
      </c>
      <c r="J2586" s="6">
        <f>VLOOKUP(Table1[[#This Row],[Province]],[1]Sheet1!$A$3:$K$37,8,FALSE)</f>
        <v>4244100</v>
      </c>
      <c r="K2586">
        <v>1</v>
      </c>
      <c r="L2586" s="4">
        <v>3.0926420000000001</v>
      </c>
      <c r="M2586" s="4">
        <v>115.283759</v>
      </c>
      <c r="N2586" s="13">
        <v>5.08</v>
      </c>
      <c r="P2586"/>
      <c r="Q2586" s="12"/>
      <c r="R2586" s="12"/>
    </row>
    <row r="2587" spans="1:18" x14ac:dyDescent="0.2">
      <c r="A2587">
        <v>22</v>
      </c>
      <c r="B2587" t="s">
        <v>13</v>
      </c>
      <c r="C2587">
        <v>2018</v>
      </c>
      <c r="D2587">
        <v>6</v>
      </c>
      <c r="E2587" s="4">
        <v>0</v>
      </c>
      <c r="F2587" s="9">
        <v>0</v>
      </c>
      <c r="G2587" s="6">
        <v>518</v>
      </c>
      <c r="H2587" s="9">
        <f t="shared" si="40"/>
        <v>0</v>
      </c>
      <c r="I2587" s="6">
        <v>11561</v>
      </c>
      <c r="J2587" s="6">
        <f>VLOOKUP(Table1[[#This Row],[Province]],[1]Sheet1!$A$3:$K$37,8,FALSE)</f>
        <v>4244100</v>
      </c>
      <c r="K2587">
        <v>0</v>
      </c>
      <c r="L2587" s="4">
        <v>3.0926420000000001</v>
      </c>
      <c r="M2587" s="4">
        <v>115.283759</v>
      </c>
      <c r="N2587" s="13">
        <v>5.08</v>
      </c>
      <c r="P2587"/>
      <c r="Q2587" s="12"/>
      <c r="R2587" s="12"/>
    </row>
    <row r="2588" spans="1:18" x14ac:dyDescent="0.2">
      <c r="A2588">
        <v>22</v>
      </c>
      <c r="B2588" t="s">
        <v>13</v>
      </c>
      <c r="C2588">
        <v>2018</v>
      </c>
      <c r="D2588">
        <v>7</v>
      </c>
      <c r="E2588" s="4">
        <v>0</v>
      </c>
      <c r="F2588" s="9">
        <v>0</v>
      </c>
      <c r="G2588" s="6">
        <v>1033</v>
      </c>
      <c r="H2588" s="9">
        <f t="shared" si="40"/>
        <v>0</v>
      </c>
      <c r="I2588" s="6">
        <v>11304</v>
      </c>
      <c r="J2588" s="6">
        <f>VLOOKUP(Table1[[#This Row],[Province]],[1]Sheet1!$A$3:$K$37,8,FALSE)</f>
        <v>4244100</v>
      </c>
      <c r="K2588">
        <v>0</v>
      </c>
      <c r="L2588" s="4">
        <v>3.0926420000000001</v>
      </c>
      <c r="M2588" s="4">
        <v>115.283759</v>
      </c>
      <c r="N2588" s="13">
        <v>5.08</v>
      </c>
      <c r="P2588"/>
      <c r="Q2588" s="12"/>
      <c r="R2588" s="12"/>
    </row>
    <row r="2589" spans="1:18" x14ac:dyDescent="0.2">
      <c r="A2589">
        <v>22</v>
      </c>
      <c r="B2589" t="s">
        <v>13</v>
      </c>
      <c r="C2589">
        <v>2018</v>
      </c>
      <c r="D2589">
        <v>8</v>
      </c>
      <c r="E2589" s="4">
        <v>0</v>
      </c>
      <c r="F2589" s="9">
        <v>0</v>
      </c>
      <c r="G2589" s="6">
        <v>3197</v>
      </c>
      <c r="H2589" s="9">
        <f t="shared" si="40"/>
        <v>0</v>
      </c>
      <c r="I2589" s="6">
        <v>10876</v>
      </c>
      <c r="J2589" s="6">
        <f>VLOOKUP(Table1[[#This Row],[Province]],[1]Sheet1!$A$3:$K$37,8,FALSE)</f>
        <v>4244100</v>
      </c>
      <c r="K2589">
        <v>0</v>
      </c>
      <c r="L2589" s="4">
        <v>3.0926420000000001</v>
      </c>
      <c r="M2589" s="4">
        <v>115.283759</v>
      </c>
      <c r="N2589" s="13">
        <v>5.08</v>
      </c>
      <c r="P2589"/>
      <c r="Q2589" s="12"/>
      <c r="R2589" s="12"/>
    </row>
    <row r="2590" spans="1:18" x14ac:dyDescent="0.2">
      <c r="A2590">
        <v>22</v>
      </c>
      <c r="B2590" t="s">
        <v>13</v>
      </c>
      <c r="C2590">
        <v>2018</v>
      </c>
      <c r="D2590">
        <v>9</v>
      </c>
      <c r="E2590" s="4">
        <v>0</v>
      </c>
      <c r="F2590" s="9">
        <v>0</v>
      </c>
      <c r="G2590" s="6">
        <v>1679</v>
      </c>
      <c r="H2590" s="9">
        <f t="shared" si="40"/>
        <v>0</v>
      </c>
      <c r="I2590" s="6">
        <v>10500</v>
      </c>
      <c r="J2590" s="6">
        <f>VLOOKUP(Table1[[#This Row],[Province]],[1]Sheet1!$A$3:$K$37,8,FALSE)</f>
        <v>4244100</v>
      </c>
      <c r="K2590">
        <v>0</v>
      </c>
      <c r="L2590" s="4">
        <v>3.0926420000000001</v>
      </c>
      <c r="M2590" s="4">
        <v>115.283759</v>
      </c>
      <c r="N2590" s="13">
        <v>5.08</v>
      </c>
      <c r="P2590"/>
      <c r="Q2590" s="12"/>
      <c r="R2590" s="12"/>
    </row>
    <row r="2591" spans="1:18" x14ac:dyDescent="0.2">
      <c r="A2591">
        <v>22</v>
      </c>
      <c r="B2591" t="s">
        <v>13</v>
      </c>
      <c r="C2591">
        <v>2018</v>
      </c>
      <c r="D2591">
        <v>10</v>
      </c>
      <c r="E2591" s="4">
        <v>0</v>
      </c>
      <c r="F2591" s="9">
        <v>0</v>
      </c>
      <c r="G2591" s="6">
        <v>5577</v>
      </c>
      <c r="H2591" s="9">
        <f t="shared" si="40"/>
        <v>0</v>
      </c>
      <c r="I2591" s="6">
        <v>10875</v>
      </c>
      <c r="J2591" s="6">
        <f>VLOOKUP(Table1[[#This Row],[Province]],[1]Sheet1!$A$3:$K$37,8,FALSE)</f>
        <v>4244100</v>
      </c>
      <c r="K2591">
        <v>0</v>
      </c>
      <c r="L2591" s="4">
        <v>3.0926420000000001</v>
      </c>
      <c r="M2591" s="4">
        <v>115.283759</v>
      </c>
      <c r="N2591" s="13">
        <v>5.08</v>
      </c>
      <c r="P2591"/>
      <c r="Q2591" s="12"/>
      <c r="R2591" s="12"/>
    </row>
    <row r="2592" spans="1:18" x14ac:dyDescent="0.2">
      <c r="A2592">
        <v>22</v>
      </c>
      <c r="B2592" t="s">
        <v>13</v>
      </c>
      <c r="C2592">
        <v>2018</v>
      </c>
      <c r="D2592">
        <v>11</v>
      </c>
      <c r="E2592" s="4">
        <v>0</v>
      </c>
      <c r="F2592" s="9">
        <v>0</v>
      </c>
      <c r="G2592" s="6">
        <v>3102</v>
      </c>
      <c r="H2592" s="9">
        <f t="shared" si="40"/>
        <v>0</v>
      </c>
      <c r="I2592" s="6">
        <v>11070</v>
      </c>
      <c r="J2592" s="6">
        <f>VLOOKUP(Table1[[#This Row],[Province]],[1]Sheet1!$A$3:$K$37,8,FALSE)</f>
        <v>4244100</v>
      </c>
      <c r="K2592">
        <v>0</v>
      </c>
      <c r="L2592" s="4">
        <v>3.0926420000000001</v>
      </c>
      <c r="M2592" s="4">
        <v>115.283759</v>
      </c>
      <c r="N2592" s="13">
        <v>5.08</v>
      </c>
      <c r="P2592"/>
      <c r="Q2592" s="12"/>
      <c r="R2592" s="12"/>
    </row>
    <row r="2593" spans="1:18" x14ac:dyDescent="0.2">
      <c r="A2593">
        <v>22</v>
      </c>
      <c r="B2593" t="s">
        <v>13</v>
      </c>
      <c r="C2593">
        <v>2018</v>
      </c>
      <c r="D2593">
        <v>12</v>
      </c>
      <c r="E2593" s="4">
        <v>0</v>
      </c>
      <c r="F2593" s="9">
        <v>0</v>
      </c>
      <c r="G2593" s="6">
        <v>4293</v>
      </c>
      <c r="H2593" s="9">
        <f t="shared" si="40"/>
        <v>0</v>
      </c>
      <c r="I2593" s="6">
        <v>10665</v>
      </c>
      <c r="J2593" s="6">
        <f>VLOOKUP(Table1[[#This Row],[Province]],[1]Sheet1!$A$3:$K$37,8,FALSE)</f>
        <v>4244100</v>
      </c>
      <c r="K2593">
        <v>1</v>
      </c>
      <c r="L2593" s="4">
        <v>3.0926420000000001</v>
      </c>
      <c r="M2593" s="4">
        <v>115.283759</v>
      </c>
      <c r="N2593" s="13">
        <v>5.08</v>
      </c>
      <c r="P2593"/>
      <c r="Q2593" s="12"/>
      <c r="R2593" s="12"/>
    </row>
    <row r="2594" spans="1:18" x14ac:dyDescent="0.2">
      <c r="A2594">
        <v>22</v>
      </c>
      <c r="B2594" t="s">
        <v>13</v>
      </c>
      <c r="C2594">
        <v>2019</v>
      </c>
      <c r="D2594">
        <v>1</v>
      </c>
      <c r="E2594" s="4">
        <v>0</v>
      </c>
      <c r="F2594" s="9">
        <v>0</v>
      </c>
      <c r="G2594" s="6">
        <v>5576</v>
      </c>
      <c r="H2594" s="9">
        <f t="shared" si="40"/>
        <v>0</v>
      </c>
      <c r="I2594" s="6">
        <v>10711</v>
      </c>
      <c r="J2594" s="6">
        <f>VLOOKUP(Table1[[#This Row],[Province]],[1]Sheet1!$A$3:$K$37,8,FALSE)</f>
        <v>4244100</v>
      </c>
      <c r="K2594">
        <v>0</v>
      </c>
      <c r="L2594" s="4">
        <v>3.0926420000000001</v>
      </c>
      <c r="M2594" s="4">
        <v>115.283759</v>
      </c>
      <c r="N2594" s="13">
        <v>4.09</v>
      </c>
      <c r="P2594"/>
      <c r="Q2594" s="12"/>
      <c r="R2594" s="12"/>
    </row>
    <row r="2595" spans="1:18" x14ac:dyDescent="0.2">
      <c r="A2595">
        <v>22</v>
      </c>
      <c r="B2595" t="s">
        <v>13</v>
      </c>
      <c r="C2595">
        <v>2019</v>
      </c>
      <c r="D2595">
        <v>2</v>
      </c>
      <c r="E2595" s="4">
        <v>0</v>
      </c>
      <c r="F2595" s="9">
        <v>0</v>
      </c>
      <c r="G2595" s="6">
        <v>4577</v>
      </c>
      <c r="H2595" s="9">
        <f t="shared" si="40"/>
        <v>0</v>
      </c>
      <c r="I2595" s="6">
        <v>10822</v>
      </c>
      <c r="J2595" s="6">
        <f>VLOOKUP(Table1[[#This Row],[Province]],[1]Sheet1!$A$3:$K$37,8,FALSE)</f>
        <v>4244100</v>
      </c>
      <c r="K2595">
        <v>0</v>
      </c>
      <c r="L2595" s="4">
        <v>3.0926420000000001</v>
      </c>
      <c r="M2595" s="4">
        <v>115.283759</v>
      </c>
      <c r="N2595" s="13">
        <v>4.09</v>
      </c>
      <c r="P2595"/>
      <c r="Q2595" s="12"/>
      <c r="R2595" s="12"/>
    </row>
    <row r="2596" spans="1:18" x14ac:dyDescent="0.2">
      <c r="A2596">
        <v>22</v>
      </c>
      <c r="B2596" t="s">
        <v>13</v>
      </c>
      <c r="C2596">
        <v>2019</v>
      </c>
      <c r="D2596">
        <v>3</v>
      </c>
      <c r="E2596" s="4">
        <v>0</v>
      </c>
      <c r="F2596" s="9">
        <v>0</v>
      </c>
      <c r="G2596" s="6">
        <v>5049</v>
      </c>
      <c r="H2596" s="9">
        <f t="shared" si="40"/>
        <v>0</v>
      </c>
      <c r="I2596" s="6">
        <v>11208</v>
      </c>
      <c r="J2596" s="6">
        <f>VLOOKUP(Table1[[#This Row],[Province]],[1]Sheet1!$A$3:$K$37,8,FALSE)</f>
        <v>4244100</v>
      </c>
      <c r="K2596">
        <v>0</v>
      </c>
      <c r="L2596" s="4">
        <v>3.0926420000000001</v>
      </c>
      <c r="M2596" s="4">
        <v>115.283759</v>
      </c>
      <c r="N2596" s="13">
        <v>4.09</v>
      </c>
      <c r="P2596"/>
      <c r="Q2596" s="12"/>
      <c r="R2596" s="12"/>
    </row>
    <row r="2597" spans="1:18" x14ac:dyDescent="0.2">
      <c r="A2597">
        <v>22</v>
      </c>
      <c r="B2597" t="s">
        <v>13</v>
      </c>
      <c r="C2597">
        <v>2019</v>
      </c>
      <c r="D2597">
        <v>4</v>
      </c>
      <c r="E2597" s="4">
        <v>0</v>
      </c>
      <c r="F2597" s="9">
        <v>0</v>
      </c>
      <c r="G2597" s="6">
        <v>4706</v>
      </c>
      <c r="H2597" s="9">
        <f t="shared" si="40"/>
        <v>0</v>
      </c>
      <c r="I2597" s="6">
        <v>11549</v>
      </c>
      <c r="J2597" s="6">
        <f>VLOOKUP(Table1[[#This Row],[Province]],[1]Sheet1!$A$3:$K$37,8,FALSE)</f>
        <v>4244100</v>
      </c>
      <c r="K2597">
        <v>0</v>
      </c>
      <c r="L2597" s="4">
        <v>3.0926420000000001</v>
      </c>
      <c r="M2597" s="4">
        <v>115.283759</v>
      </c>
      <c r="N2597" s="13">
        <v>4.09</v>
      </c>
      <c r="P2597"/>
      <c r="Q2597" s="12"/>
      <c r="R2597" s="12"/>
    </row>
    <row r="2598" spans="1:18" x14ac:dyDescent="0.2">
      <c r="A2598">
        <v>22</v>
      </c>
      <c r="B2598" t="s">
        <v>13</v>
      </c>
      <c r="C2598">
        <v>2019</v>
      </c>
      <c r="D2598">
        <v>5</v>
      </c>
      <c r="E2598" s="4">
        <v>0</v>
      </c>
      <c r="F2598" s="9">
        <v>0</v>
      </c>
      <c r="G2598" s="6">
        <v>5206</v>
      </c>
      <c r="H2598" s="9">
        <f t="shared" si="40"/>
        <v>0</v>
      </c>
      <c r="I2598" s="6">
        <v>13607</v>
      </c>
      <c r="J2598" s="6">
        <f>VLOOKUP(Table1[[#This Row],[Province]],[1]Sheet1!$A$3:$K$37,8,FALSE)</f>
        <v>4244100</v>
      </c>
      <c r="K2598">
        <v>1</v>
      </c>
      <c r="L2598" s="4">
        <v>3.0926420000000001</v>
      </c>
      <c r="M2598" s="4">
        <v>115.283759</v>
      </c>
      <c r="N2598" s="13">
        <v>4.09</v>
      </c>
      <c r="P2598"/>
      <c r="Q2598" s="12"/>
      <c r="R2598" s="12"/>
    </row>
    <row r="2599" spans="1:18" x14ac:dyDescent="0.2">
      <c r="A2599">
        <v>22</v>
      </c>
      <c r="B2599" t="s">
        <v>13</v>
      </c>
      <c r="C2599">
        <v>2019</v>
      </c>
      <c r="D2599">
        <v>6</v>
      </c>
      <c r="E2599" s="4">
        <v>0</v>
      </c>
      <c r="F2599" s="9">
        <v>0</v>
      </c>
      <c r="G2599" s="6">
        <v>3392</v>
      </c>
      <c r="H2599" s="9">
        <f t="shared" si="40"/>
        <v>0</v>
      </c>
      <c r="I2599" s="6">
        <v>13508</v>
      </c>
      <c r="J2599" s="6">
        <f>VLOOKUP(Table1[[#This Row],[Province]],[1]Sheet1!$A$3:$K$37,8,FALSE)</f>
        <v>4244100</v>
      </c>
      <c r="K2599">
        <v>0</v>
      </c>
      <c r="L2599" s="4">
        <v>3.0926420000000001</v>
      </c>
      <c r="M2599" s="4">
        <v>115.283759</v>
      </c>
      <c r="N2599" s="13">
        <v>4.09</v>
      </c>
      <c r="P2599"/>
      <c r="Q2599" s="12"/>
      <c r="R2599" s="12"/>
    </row>
    <row r="2600" spans="1:18" x14ac:dyDescent="0.2">
      <c r="A2600">
        <v>22</v>
      </c>
      <c r="B2600" t="s">
        <v>13</v>
      </c>
      <c r="C2600">
        <v>2019</v>
      </c>
      <c r="D2600">
        <v>7</v>
      </c>
      <c r="E2600" s="4">
        <v>0</v>
      </c>
      <c r="F2600" s="9">
        <v>0</v>
      </c>
      <c r="G2600" s="6">
        <v>4717</v>
      </c>
      <c r="H2600" s="9">
        <f t="shared" si="40"/>
        <v>0</v>
      </c>
      <c r="I2600" s="6">
        <v>12800</v>
      </c>
      <c r="J2600" s="6">
        <f>VLOOKUP(Table1[[#This Row],[Province]],[1]Sheet1!$A$3:$K$37,8,FALSE)</f>
        <v>4244100</v>
      </c>
      <c r="K2600">
        <v>0</v>
      </c>
      <c r="L2600" s="4">
        <v>3.0926420000000001</v>
      </c>
      <c r="M2600" s="4">
        <v>115.283759</v>
      </c>
      <c r="N2600" s="13">
        <v>4.09</v>
      </c>
      <c r="P2600"/>
      <c r="Q2600" s="12"/>
      <c r="R2600" s="12"/>
    </row>
    <row r="2601" spans="1:18" x14ac:dyDescent="0.2">
      <c r="A2601">
        <v>22</v>
      </c>
      <c r="B2601" t="s">
        <v>13</v>
      </c>
      <c r="C2601">
        <v>2019</v>
      </c>
      <c r="D2601">
        <v>8</v>
      </c>
      <c r="E2601" s="4">
        <v>0</v>
      </c>
      <c r="F2601" s="9">
        <v>0</v>
      </c>
      <c r="G2601" s="6">
        <v>3790</v>
      </c>
      <c r="H2601" s="9">
        <f t="shared" si="40"/>
        <v>0</v>
      </c>
      <c r="I2601" s="6">
        <v>12281</v>
      </c>
      <c r="J2601" s="6">
        <f>VLOOKUP(Table1[[#This Row],[Province]],[1]Sheet1!$A$3:$K$37,8,FALSE)</f>
        <v>4244100</v>
      </c>
      <c r="K2601">
        <v>0</v>
      </c>
      <c r="L2601" s="4">
        <v>3.0926420000000001</v>
      </c>
      <c r="M2601" s="4">
        <v>115.283759</v>
      </c>
      <c r="N2601" s="13">
        <v>4.09</v>
      </c>
      <c r="P2601"/>
      <c r="Q2601" s="12"/>
      <c r="R2601" s="12"/>
    </row>
    <row r="2602" spans="1:18" x14ac:dyDescent="0.2">
      <c r="A2602">
        <v>22</v>
      </c>
      <c r="B2602" t="s">
        <v>13</v>
      </c>
      <c r="C2602">
        <v>2019</v>
      </c>
      <c r="D2602">
        <v>9</v>
      </c>
      <c r="E2602" s="4">
        <v>0</v>
      </c>
      <c r="F2602" s="9">
        <v>0</v>
      </c>
      <c r="G2602" s="6">
        <v>4448</v>
      </c>
      <c r="H2602" s="9">
        <f t="shared" si="40"/>
        <v>0</v>
      </c>
      <c r="I2602" s="6">
        <v>12191</v>
      </c>
      <c r="J2602" s="6">
        <f>VLOOKUP(Table1[[#This Row],[Province]],[1]Sheet1!$A$3:$K$37,8,FALSE)</f>
        <v>4244100</v>
      </c>
      <c r="K2602">
        <v>0</v>
      </c>
      <c r="L2602" s="4">
        <v>3.0926420000000001</v>
      </c>
      <c r="M2602" s="4">
        <v>115.283759</v>
      </c>
      <c r="N2602" s="13">
        <v>4.09</v>
      </c>
      <c r="P2602"/>
      <c r="Q2602" s="12"/>
      <c r="R2602" s="12"/>
    </row>
    <row r="2603" spans="1:18" x14ac:dyDescent="0.2">
      <c r="A2603">
        <v>22</v>
      </c>
      <c r="B2603" t="s">
        <v>13</v>
      </c>
      <c r="C2603">
        <v>2019</v>
      </c>
      <c r="D2603">
        <v>10</v>
      </c>
      <c r="E2603" s="4">
        <v>0</v>
      </c>
      <c r="F2603" s="9">
        <v>0</v>
      </c>
      <c r="G2603" s="6">
        <v>3621</v>
      </c>
      <c r="H2603" s="9">
        <f t="shared" si="40"/>
        <v>0</v>
      </c>
      <c r="I2603" s="6">
        <v>12373</v>
      </c>
      <c r="J2603" s="6">
        <f>VLOOKUP(Table1[[#This Row],[Province]],[1]Sheet1!$A$3:$K$37,8,FALSE)</f>
        <v>4244100</v>
      </c>
      <c r="K2603">
        <v>0</v>
      </c>
      <c r="L2603" s="4">
        <v>3.0926420000000001</v>
      </c>
      <c r="M2603" s="4">
        <v>115.283759</v>
      </c>
      <c r="N2603" s="13">
        <v>4.09</v>
      </c>
      <c r="P2603"/>
      <c r="Q2603" s="12"/>
      <c r="R2603" s="12"/>
    </row>
    <row r="2604" spans="1:18" x14ac:dyDescent="0.2">
      <c r="A2604">
        <v>22</v>
      </c>
      <c r="B2604" t="s">
        <v>13</v>
      </c>
      <c r="C2604">
        <v>2019</v>
      </c>
      <c r="D2604">
        <v>11</v>
      </c>
      <c r="E2604" s="4">
        <v>0</v>
      </c>
      <c r="F2604" s="9">
        <v>0</v>
      </c>
      <c r="G2604" s="6">
        <v>3695</v>
      </c>
      <c r="H2604" s="9">
        <f t="shared" si="40"/>
        <v>0</v>
      </c>
      <c r="I2604" s="6">
        <v>12679</v>
      </c>
      <c r="J2604" s="6">
        <f>VLOOKUP(Table1[[#This Row],[Province]],[1]Sheet1!$A$3:$K$37,8,FALSE)</f>
        <v>4244100</v>
      </c>
      <c r="K2604">
        <v>0</v>
      </c>
      <c r="L2604" s="4">
        <v>3.0926420000000001</v>
      </c>
      <c r="M2604" s="4">
        <v>115.283759</v>
      </c>
      <c r="N2604" s="13">
        <v>4.09</v>
      </c>
      <c r="P2604"/>
      <c r="Q2604" s="12"/>
      <c r="R2604" s="12"/>
    </row>
    <row r="2605" spans="1:18" x14ac:dyDescent="0.2">
      <c r="A2605">
        <v>22</v>
      </c>
      <c r="B2605" t="s">
        <v>13</v>
      </c>
      <c r="C2605">
        <v>2019</v>
      </c>
      <c r="D2605">
        <v>12</v>
      </c>
      <c r="E2605" s="4">
        <v>0</v>
      </c>
      <c r="F2605" s="9">
        <v>0</v>
      </c>
      <c r="G2605" s="6">
        <v>4275</v>
      </c>
      <c r="H2605" s="9">
        <f t="shared" si="40"/>
        <v>0</v>
      </c>
      <c r="I2605" s="6">
        <v>12861</v>
      </c>
      <c r="J2605" s="6">
        <f>VLOOKUP(Table1[[#This Row],[Province]],[1]Sheet1!$A$3:$K$37,8,FALSE)</f>
        <v>4244100</v>
      </c>
      <c r="K2605">
        <v>1</v>
      </c>
      <c r="L2605" s="4">
        <v>3.0926420000000001</v>
      </c>
      <c r="M2605" s="4">
        <v>115.283759</v>
      </c>
      <c r="N2605" s="13">
        <v>4.09</v>
      </c>
      <c r="P2605"/>
      <c r="Q2605" s="12"/>
      <c r="R2605" s="12"/>
    </row>
    <row r="2606" spans="1:18" x14ac:dyDescent="0.2">
      <c r="A2606">
        <v>22</v>
      </c>
      <c r="B2606" t="s">
        <v>13</v>
      </c>
      <c r="C2606">
        <v>2020</v>
      </c>
      <c r="D2606">
        <v>1</v>
      </c>
      <c r="E2606" s="4">
        <v>0</v>
      </c>
      <c r="F2606" s="9">
        <v>0</v>
      </c>
      <c r="G2606" s="6">
        <v>3878</v>
      </c>
      <c r="H2606" s="9">
        <f t="shared" si="40"/>
        <v>0</v>
      </c>
      <c r="I2606" s="6">
        <v>13613</v>
      </c>
      <c r="J2606" s="6">
        <f>VLOOKUP(Table1[[#This Row],[Province]],[1]Sheet1!$A$3:$K$37,8,FALSE)</f>
        <v>4244100</v>
      </c>
      <c r="K2606">
        <v>0</v>
      </c>
      <c r="L2606" s="4">
        <v>3.0926420000000001</v>
      </c>
      <c r="M2606" s="4">
        <v>115.283759</v>
      </c>
      <c r="N2606" s="13">
        <v>-1.82</v>
      </c>
      <c r="P2606"/>
      <c r="Q2606" s="12"/>
      <c r="R2606" s="12"/>
    </row>
    <row r="2607" spans="1:18" x14ac:dyDescent="0.2">
      <c r="A2607">
        <v>22</v>
      </c>
      <c r="B2607" t="s">
        <v>13</v>
      </c>
      <c r="C2607">
        <v>2020</v>
      </c>
      <c r="D2607">
        <v>2</v>
      </c>
      <c r="E2607" s="4">
        <v>0</v>
      </c>
      <c r="F2607" s="9">
        <v>0</v>
      </c>
      <c r="G2607" s="6">
        <v>6134</v>
      </c>
      <c r="H2607" s="9">
        <f t="shared" si="40"/>
        <v>0</v>
      </c>
      <c r="I2607" s="6">
        <v>14021</v>
      </c>
      <c r="J2607" s="6">
        <f>VLOOKUP(Table1[[#This Row],[Province]],[1]Sheet1!$A$3:$K$37,8,FALSE)</f>
        <v>4244100</v>
      </c>
      <c r="K2607">
        <v>0</v>
      </c>
      <c r="L2607" s="4">
        <v>3.0926420000000001</v>
      </c>
      <c r="M2607" s="4">
        <v>115.283759</v>
      </c>
      <c r="N2607" s="13">
        <v>-1.82</v>
      </c>
      <c r="P2607"/>
      <c r="Q2607" s="12"/>
      <c r="R2607" s="12"/>
    </row>
    <row r="2608" spans="1:18" x14ac:dyDescent="0.2">
      <c r="A2608">
        <v>22</v>
      </c>
      <c r="B2608" t="s">
        <v>13</v>
      </c>
      <c r="C2608">
        <v>2020</v>
      </c>
      <c r="D2608">
        <v>3</v>
      </c>
      <c r="E2608" s="4">
        <v>0</v>
      </c>
      <c r="F2608" s="9">
        <v>0</v>
      </c>
      <c r="G2608" s="6">
        <v>2481</v>
      </c>
      <c r="H2608" s="9">
        <f t="shared" si="40"/>
        <v>0</v>
      </c>
      <c r="I2608" s="6">
        <v>17694</v>
      </c>
      <c r="J2608" s="6">
        <f>VLOOKUP(Table1[[#This Row],[Province]],[1]Sheet1!$A$3:$K$37,8,FALSE)</f>
        <v>4244100</v>
      </c>
      <c r="K2608">
        <v>0</v>
      </c>
      <c r="L2608" s="4">
        <v>3.0926420000000001</v>
      </c>
      <c r="M2608" s="4">
        <v>115.283759</v>
      </c>
      <c r="N2608" s="13">
        <v>-1.82</v>
      </c>
      <c r="P2608"/>
      <c r="Q2608" s="12"/>
      <c r="R2608" s="12"/>
    </row>
    <row r="2609" spans="1:18" x14ac:dyDescent="0.2">
      <c r="A2609">
        <v>22</v>
      </c>
      <c r="B2609" t="s">
        <v>13</v>
      </c>
      <c r="C2609">
        <v>2020</v>
      </c>
      <c r="D2609">
        <v>4</v>
      </c>
      <c r="E2609" s="4">
        <v>0</v>
      </c>
      <c r="F2609" s="9">
        <v>0</v>
      </c>
      <c r="G2609" s="6">
        <v>3715</v>
      </c>
      <c r="H2609" s="9">
        <f t="shared" si="40"/>
        <v>0</v>
      </c>
      <c r="I2609" s="6">
        <v>19048</v>
      </c>
      <c r="J2609" s="6">
        <f>VLOOKUP(Table1[[#This Row],[Province]],[1]Sheet1!$A$3:$K$37,8,FALSE)</f>
        <v>4244100</v>
      </c>
      <c r="K2609">
        <v>1</v>
      </c>
      <c r="L2609" s="4">
        <v>3.0926420000000001</v>
      </c>
      <c r="M2609" s="4">
        <v>115.283759</v>
      </c>
      <c r="N2609" s="13">
        <v>-1.82</v>
      </c>
      <c r="P2609"/>
      <c r="Q2609" s="12"/>
      <c r="R2609" s="12"/>
    </row>
    <row r="2610" spans="1:18" x14ac:dyDescent="0.2">
      <c r="A2610">
        <v>22</v>
      </c>
      <c r="B2610" t="s">
        <v>13</v>
      </c>
      <c r="C2610">
        <v>2020</v>
      </c>
      <c r="D2610">
        <v>5</v>
      </c>
      <c r="E2610" s="4">
        <v>0</v>
      </c>
      <c r="F2610" s="9">
        <v>1E-3</v>
      </c>
      <c r="G2610" s="6">
        <v>4326</v>
      </c>
      <c r="H2610" s="9">
        <f t="shared" si="40"/>
        <v>1E-3</v>
      </c>
      <c r="I2610" s="6">
        <v>15935</v>
      </c>
      <c r="J2610" s="6">
        <f>VLOOKUP(Table1[[#This Row],[Province]],[1]Sheet1!$A$3:$K$37,8,FALSE)</f>
        <v>4244100</v>
      </c>
      <c r="K2610">
        <v>0</v>
      </c>
      <c r="L2610" s="4">
        <v>3.0926420000000001</v>
      </c>
      <c r="M2610" s="4">
        <v>115.283759</v>
      </c>
      <c r="N2610" s="13">
        <v>-1.82</v>
      </c>
      <c r="P2610"/>
      <c r="Q2610" s="12"/>
      <c r="R2610" s="12"/>
    </row>
    <row r="2611" spans="1:18" x14ac:dyDescent="0.2">
      <c r="A2611">
        <v>22</v>
      </c>
      <c r="B2611" t="s">
        <v>13</v>
      </c>
      <c r="C2611">
        <v>2020</v>
      </c>
      <c r="D2611">
        <v>6</v>
      </c>
      <c r="E2611" s="4">
        <v>0</v>
      </c>
      <c r="F2611" s="9">
        <v>0</v>
      </c>
      <c r="G2611" s="6">
        <v>3787</v>
      </c>
      <c r="H2611" s="9">
        <f t="shared" si="40"/>
        <v>0</v>
      </c>
      <c r="I2611" s="6">
        <v>13893</v>
      </c>
      <c r="J2611" s="6">
        <f>VLOOKUP(Table1[[#This Row],[Province]],[1]Sheet1!$A$3:$K$37,8,FALSE)</f>
        <v>4244100</v>
      </c>
      <c r="K2611">
        <v>0</v>
      </c>
      <c r="L2611" s="4">
        <v>3.0926420000000001</v>
      </c>
      <c r="M2611" s="4">
        <v>115.283759</v>
      </c>
      <c r="N2611" s="13">
        <v>-1.82</v>
      </c>
      <c r="P2611"/>
      <c r="Q2611" s="12"/>
      <c r="R2611" s="12"/>
    </row>
    <row r="2612" spans="1:18" x14ac:dyDescent="0.2">
      <c r="A2612">
        <v>22</v>
      </c>
      <c r="B2612" t="s">
        <v>13</v>
      </c>
      <c r="C2612">
        <v>2020</v>
      </c>
      <c r="D2612">
        <v>7</v>
      </c>
      <c r="E2612" s="4">
        <v>0</v>
      </c>
      <c r="F2612" s="9">
        <v>0</v>
      </c>
      <c r="G2612" s="6">
        <v>4920</v>
      </c>
      <c r="H2612" s="9">
        <f t="shared" si="40"/>
        <v>0</v>
      </c>
      <c r="I2612" s="6">
        <v>12600</v>
      </c>
      <c r="J2612" s="6">
        <f>VLOOKUP(Table1[[#This Row],[Province]],[1]Sheet1!$A$3:$K$37,8,FALSE)</f>
        <v>4244100</v>
      </c>
      <c r="K2612">
        <v>0</v>
      </c>
      <c r="L2612" s="4">
        <v>3.0926420000000001</v>
      </c>
      <c r="M2612" s="4">
        <v>115.283759</v>
      </c>
      <c r="N2612" s="13">
        <v>-1.82</v>
      </c>
      <c r="P2612"/>
      <c r="Q2612" s="12"/>
      <c r="R2612" s="12"/>
    </row>
    <row r="2613" spans="1:18" x14ac:dyDescent="0.2">
      <c r="A2613">
        <v>22</v>
      </c>
      <c r="B2613" t="s">
        <v>13</v>
      </c>
      <c r="C2613">
        <v>2020</v>
      </c>
      <c r="D2613">
        <v>8</v>
      </c>
      <c r="E2613" s="4">
        <v>0</v>
      </c>
      <c r="F2613" s="9">
        <v>0</v>
      </c>
      <c r="G2613" s="6">
        <v>5193</v>
      </c>
      <c r="H2613" s="9">
        <f t="shared" si="40"/>
        <v>0</v>
      </c>
      <c r="I2613" s="6">
        <v>12429</v>
      </c>
      <c r="J2613" s="6">
        <f>VLOOKUP(Table1[[#This Row],[Province]],[1]Sheet1!$A$3:$K$37,8,FALSE)</f>
        <v>4244100</v>
      </c>
      <c r="K2613">
        <v>0</v>
      </c>
      <c r="L2613" s="4">
        <v>3.0926420000000001</v>
      </c>
      <c r="M2613" s="4">
        <v>115.283759</v>
      </c>
      <c r="N2613" s="13">
        <v>-1.82</v>
      </c>
      <c r="P2613"/>
      <c r="Q2613" s="12"/>
      <c r="R2613" s="12"/>
    </row>
    <row r="2614" spans="1:18" x14ac:dyDescent="0.2">
      <c r="A2614">
        <v>22</v>
      </c>
      <c r="B2614" t="s">
        <v>13</v>
      </c>
      <c r="C2614">
        <v>2020</v>
      </c>
      <c r="D2614">
        <v>9</v>
      </c>
      <c r="E2614" s="4">
        <v>0</v>
      </c>
      <c r="F2614" s="9">
        <v>0</v>
      </c>
      <c r="G2614" s="6">
        <v>2514</v>
      </c>
      <c r="H2614" s="9">
        <f t="shared" si="40"/>
        <v>0</v>
      </c>
      <c r="I2614" s="6">
        <v>12000</v>
      </c>
      <c r="J2614" s="6">
        <f>VLOOKUP(Table1[[#This Row],[Province]],[1]Sheet1!$A$3:$K$37,8,FALSE)</f>
        <v>4244100</v>
      </c>
      <c r="K2614">
        <v>0</v>
      </c>
      <c r="L2614" s="4">
        <v>3.0926420000000001</v>
      </c>
      <c r="M2614" s="4">
        <v>115.283759</v>
      </c>
      <c r="N2614" s="13">
        <v>-1.82</v>
      </c>
      <c r="P2614"/>
      <c r="Q2614" s="12"/>
      <c r="R2614" s="12"/>
    </row>
    <row r="2615" spans="1:18" x14ac:dyDescent="0.2">
      <c r="A2615">
        <v>22</v>
      </c>
      <c r="B2615" t="s">
        <v>13</v>
      </c>
      <c r="C2615">
        <v>2020</v>
      </c>
      <c r="D2615">
        <v>10</v>
      </c>
      <c r="E2615" s="4">
        <v>0</v>
      </c>
      <c r="F2615" s="9">
        <v>1E-3</v>
      </c>
      <c r="G2615" s="6">
        <v>2957</v>
      </c>
      <c r="H2615" s="9">
        <f t="shared" si="40"/>
        <v>1E-3</v>
      </c>
      <c r="I2615" s="6">
        <v>12304</v>
      </c>
      <c r="J2615" s="6">
        <f>VLOOKUP(Table1[[#This Row],[Province]],[1]Sheet1!$A$3:$K$37,8,FALSE)</f>
        <v>4244100</v>
      </c>
      <c r="K2615">
        <v>0</v>
      </c>
      <c r="L2615" s="4">
        <v>3.0926420000000001</v>
      </c>
      <c r="M2615" s="4">
        <v>115.283759</v>
      </c>
      <c r="N2615" s="13">
        <v>-1.82</v>
      </c>
      <c r="P2615"/>
      <c r="Q2615" s="12"/>
      <c r="R2615" s="12"/>
    </row>
    <row r="2616" spans="1:18" x14ac:dyDescent="0.2">
      <c r="A2616">
        <v>22</v>
      </c>
      <c r="B2616" t="s">
        <v>13</v>
      </c>
      <c r="C2616">
        <v>2020</v>
      </c>
      <c r="D2616">
        <v>11</v>
      </c>
      <c r="E2616" s="4">
        <v>0</v>
      </c>
      <c r="F2616" s="9">
        <v>0</v>
      </c>
      <c r="G2616" s="6">
        <v>4134</v>
      </c>
      <c r="H2616" s="9">
        <f t="shared" si="40"/>
        <v>0</v>
      </c>
      <c r="I2616" s="6">
        <v>12500</v>
      </c>
      <c r="J2616" s="6">
        <f>VLOOKUP(Table1[[#This Row],[Province]],[1]Sheet1!$A$3:$K$37,8,FALSE)</f>
        <v>4244100</v>
      </c>
      <c r="K2616">
        <v>0</v>
      </c>
      <c r="L2616" s="4">
        <v>3.0926420000000001</v>
      </c>
      <c r="M2616" s="4">
        <v>115.283759</v>
      </c>
      <c r="N2616" s="13">
        <v>-1.82</v>
      </c>
      <c r="P2616"/>
      <c r="Q2616" s="12"/>
      <c r="R2616" s="12"/>
    </row>
    <row r="2617" spans="1:18" x14ac:dyDescent="0.2">
      <c r="A2617">
        <v>22</v>
      </c>
      <c r="B2617" t="s">
        <v>13</v>
      </c>
      <c r="C2617">
        <v>2020</v>
      </c>
      <c r="D2617">
        <v>12</v>
      </c>
      <c r="E2617" s="4">
        <v>0</v>
      </c>
      <c r="F2617" s="9">
        <v>1E-3</v>
      </c>
      <c r="G2617" s="6">
        <v>3656</v>
      </c>
      <c r="H2617" s="9">
        <f t="shared" si="40"/>
        <v>1E-3</v>
      </c>
      <c r="I2617" s="6">
        <v>12648</v>
      </c>
      <c r="J2617" s="6">
        <f>VLOOKUP(Table1[[#This Row],[Province]],[1]Sheet1!$A$3:$K$37,8,FALSE)</f>
        <v>4244100</v>
      </c>
      <c r="K2617">
        <v>1</v>
      </c>
      <c r="L2617" s="4">
        <v>3.0926420000000001</v>
      </c>
      <c r="M2617" s="4">
        <v>115.283759</v>
      </c>
      <c r="N2617" s="13">
        <v>-1.82</v>
      </c>
      <c r="P2617"/>
      <c r="Q2617" s="12"/>
      <c r="R2617" s="12"/>
    </row>
    <row r="2618" spans="1:18" x14ac:dyDescent="0.2">
      <c r="A2618">
        <v>22</v>
      </c>
      <c r="B2618" t="s">
        <v>13</v>
      </c>
      <c r="C2618">
        <v>2021</v>
      </c>
      <c r="D2618">
        <v>1</v>
      </c>
      <c r="E2618" s="4">
        <v>0</v>
      </c>
      <c r="F2618" s="9">
        <v>0</v>
      </c>
      <c r="G2618" s="6">
        <v>2283</v>
      </c>
      <c r="H2618" s="9">
        <f t="shared" si="40"/>
        <v>0</v>
      </c>
      <c r="I2618" s="6">
        <v>12500</v>
      </c>
      <c r="J2618" s="6">
        <f>VLOOKUP(Table1[[#This Row],[Province]],[1]Sheet1!$A$3:$K$37,8,FALSE)</f>
        <v>4244100</v>
      </c>
      <c r="K2618">
        <v>0</v>
      </c>
      <c r="L2618" s="4">
        <v>3.0926420000000001</v>
      </c>
      <c r="M2618" s="4">
        <v>115.283759</v>
      </c>
      <c r="N2618" s="13">
        <v>3.48</v>
      </c>
      <c r="P2618"/>
      <c r="Q2618" s="12"/>
      <c r="R2618" s="12"/>
    </row>
    <row r="2619" spans="1:18" x14ac:dyDescent="0.2">
      <c r="A2619">
        <v>22</v>
      </c>
      <c r="B2619" t="s">
        <v>13</v>
      </c>
      <c r="C2619">
        <v>2021</v>
      </c>
      <c r="D2619">
        <v>2</v>
      </c>
      <c r="E2619" s="4">
        <v>0</v>
      </c>
      <c r="F2619" s="9">
        <v>0</v>
      </c>
      <c r="G2619" s="6">
        <v>2645</v>
      </c>
      <c r="H2619" s="9">
        <f t="shared" si="40"/>
        <v>0</v>
      </c>
      <c r="I2619" s="6">
        <v>12500</v>
      </c>
      <c r="J2619" s="6">
        <f>VLOOKUP(Table1[[#This Row],[Province]],[1]Sheet1!$A$3:$K$37,8,FALSE)</f>
        <v>4244100</v>
      </c>
      <c r="K2619">
        <v>0</v>
      </c>
      <c r="L2619" s="4">
        <v>3.0926420000000001</v>
      </c>
      <c r="M2619" s="4">
        <v>115.283759</v>
      </c>
      <c r="N2619" s="13">
        <v>3.48</v>
      </c>
      <c r="P2619"/>
      <c r="Q2619" s="12"/>
      <c r="R2619" s="12"/>
    </row>
    <row r="2620" spans="1:18" x14ac:dyDescent="0.2">
      <c r="A2620">
        <v>22</v>
      </c>
      <c r="B2620" t="s">
        <v>13</v>
      </c>
      <c r="C2620">
        <v>2021</v>
      </c>
      <c r="D2620">
        <v>3</v>
      </c>
      <c r="E2620" s="4">
        <v>0</v>
      </c>
      <c r="F2620" s="9">
        <v>0</v>
      </c>
      <c r="G2620" s="6">
        <v>2154</v>
      </c>
      <c r="H2620" s="9">
        <f t="shared" si="40"/>
        <v>0</v>
      </c>
      <c r="I2620" s="6">
        <v>12500</v>
      </c>
      <c r="J2620" s="6">
        <f>VLOOKUP(Table1[[#This Row],[Province]],[1]Sheet1!$A$3:$K$37,8,FALSE)</f>
        <v>4244100</v>
      </c>
      <c r="K2620">
        <v>0</v>
      </c>
      <c r="L2620" s="4">
        <v>3.0926420000000001</v>
      </c>
      <c r="M2620" s="4">
        <v>115.283759</v>
      </c>
      <c r="N2620" s="13">
        <v>3.48</v>
      </c>
      <c r="P2620"/>
      <c r="Q2620" s="12"/>
      <c r="R2620" s="12"/>
    </row>
    <row r="2621" spans="1:18" x14ac:dyDescent="0.2">
      <c r="A2621">
        <v>22</v>
      </c>
      <c r="B2621" t="s">
        <v>13</v>
      </c>
      <c r="C2621">
        <v>2021</v>
      </c>
      <c r="D2621">
        <v>5</v>
      </c>
      <c r="E2621" s="4">
        <v>0</v>
      </c>
      <c r="F2621" s="9">
        <v>0</v>
      </c>
      <c r="G2621" s="6">
        <v>3349</v>
      </c>
      <c r="H2621" s="9">
        <f t="shared" si="40"/>
        <v>0</v>
      </c>
      <c r="I2621" s="6">
        <v>14419</v>
      </c>
      <c r="J2621" s="6">
        <f>VLOOKUP(Table1[[#This Row],[Province]],[1]Sheet1!$A$3:$K$37,8,FALSE)</f>
        <v>4244100</v>
      </c>
      <c r="K2621">
        <v>0</v>
      </c>
      <c r="L2621" s="4">
        <v>3.0926420000000001</v>
      </c>
      <c r="M2621" s="4">
        <v>115.283759</v>
      </c>
      <c r="N2621" s="13">
        <v>3.48</v>
      </c>
      <c r="P2621"/>
      <c r="Q2621" s="12"/>
      <c r="R2621" s="12"/>
    </row>
    <row r="2622" spans="1:18" x14ac:dyDescent="0.2">
      <c r="A2622">
        <v>22</v>
      </c>
      <c r="B2622" t="s">
        <v>13</v>
      </c>
      <c r="C2622">
        <v>2021</v>
      </c>
      <c r="D2622">
        <v>5</v>
      </c>
      <c r="E2622" s="4">
        <v>0</v>
      </c>
      <c r="F2622" s="9">
        <v>0</v>
      </c>
      <c r="G2622" s="6">
        <v>2807</v>
      </c>
      <c r="H2622" s="9">
        <f t="shared" si="40"/>
        <v>0</v>
      </c>
      <c r="I2622" s="6">
        <v>12910</v>
      </c>
      <c r="J2622" s="6">
        <f>VLOOKUP(Table1[[#This Row],[Province]],[1]Sheet1!$A$3:$K$37,8,FALSE)</f>
        <v>4244100</v>
      </c>
      <c r="K2622">
        <v>0</v>
      </c>
      <c r="L2622" s="4">
        <v>3.0926420000000001</v>
      </c>
      <c r="M2622" s="4">
        <v>115.283759</v>
      </c>
      <c r="N2622" s="13">
        <v>3.48</v>
      </c>
      <c r="P2622"/>
      <c r="Q2622" s="12"/>
      <c r="R2622" s="12"/>
    </row>
    <row r="2623" spans="1:18" x14ac:dyDescent="0.2">
      <c r="A2623">
        <v>22</v>
      </c>
      <c r="B2623" t="s">
        <v>13</v>
      </c>
      <c r="C2623">
        <v>2021</v>
      </c>
      <c r="D2623">
        <v>6</v>
      </c>
      <c r="E2623" s="4">
        <v>0</v>
      </c>
      <c r="F2623" s="9">
        <v>0</v>
      </c>
      <c r="G2623" s="6">
        <v>2070</v>
      </c>
      <c r="H2623" s="9">
        <f t="shared" si="40"/>
        <v>0</v>
      </c>
      <c r="I2623" s="6">
        <v>12838</v>
      </c>
      <c r="J2623" s="6">
        <f>VLOOKUP(Table1[[#This Row],[Province]],[1]Sheet1!$A$3:$K$37,8,FALSE)</f>
        <v>4244100</v>
      </c>
      <c r="K2623">
        <v>0</v>
      </c>
      <c r="L2623" s="4">
        <v>3.0926420000000001</v>
      </c>
      <c r="M2623" s="4">
        <v>115.283759</v>
      </c>
      <c r="N2623" s="13">
        <v>3.48</v>
      </c>
      <c r="P2623"/>
      <c r="Q2623" s="12"/>
      <c r="R2623" s="12"/>
    </row>
    <row r="2624" spans="1:18" x14ac:dyDescent="0.2">
      <c r="A2624">
        <v>22</v>
      </c>
      <c r="B2624" t="s">
        <v>13</v>
      </c>
      <c r="C2624">
        <v>2021</v>
      </c>
      <c r="D2624">
        <v>7</v>
      </c>
      <c r="E2624" s="4">
        <v>0</v>
      </c>
      <c r="F2624" s="9">
        <v>0</v>
      </c>
      <c r="G2624" s="6">
        <v>2489</v>
      </c>
      <c r="H2624" s="9">
        <f t="shared" si="40"/>
        <v>0</v>
      </c>
      <c r="I2624" s="6">
        <v>12800</v>
      </c>
      <c r="J2624" s="6">
        <f>VLOOKUP(Table1[[#This Row],[Province]],[1]Sheet1!$A$3:$K$37,8,FALSE)</f>
        <v>4244100</v>
      </c>
      <c r="K2624">
        <v>0</v>
      </c>
      <c r="L2624" s="4">
        <v>3.0926420000000001</v>
      </c>
      <c r="M2624" s="4">
        <v>115.283759</v>
      </c>
      <c r="N2624" s="13">
        <v>3.48</v>
      </c>
      <c r="P2624"/>
      <c r="Q2624" s="12"/>
      <c r="R2624" s="12"/>
    </row>
    <row r="2625" spans="1:18" x14ac:dyDescent="0.2">
      <c r="A2625">
        <v>22</v>
      </c>
      <c r="B2625" t="s">
        <v>13</v>
      </c>
      <c r="C2625">
        <v>2021</v>
      </c>
      <c r="D2625">
        <v>8</v>
      </c>
      <c r="E2625" s="4">
        <v>0</v>
      </c>
      <c r="F2625" s="9">
        <v>0</v>
      </c>
      <c r="G2625" s="6">
        <v>1929</v>
      </c>
      <c r="H2625" s="9">
        <f t="shared" si="40"/>
        <v>0</v>
      </c>
      <c r="I2625" s="6">
        <v>12770</v>
      </c>
      <c r="J2625" s="6">
        <f>VLOOKUP(Table1[[#This Row],[Province]],[1]Sheet1!$A$3:$K$37,8,FALSE)</f>
        <v>4244100</v>
      </c>
      <c r="K2625">
        <v>0</v>
      </c>
      <c r="L2625" s="4">
        <v>3.0926420000000001</v>
      </c>
      <c r="M2625" s="4">
        <v>115.283759</v>
      </c>
      <c r="N2625" s="13">
        <v>3.48</v>
      </c>
      <c r="P2625"/>
      <c r="Q2625" s="12"/>
      <c r="R2625" s="12"/>
    </row>
    <row r="2626" spans="1:18" x14ac:dyDescent="0.2">
      <c r="A2626">
        <v>22</v>
      </c>
      <c r="B2626" t="s">
        <v>13</v>
      </c>
      <c r="C2626">
        <v>2021</v>
      </c>
      <c r="D2626">
        <v>9</v>
      </c>
      <c r="E2626" s="4">
        <v>0</v>
      </c>
      <c r="F2626" s="9">
        <v>0</v>
      </c>
      <c r="G2626" s="6">
        <v>368</v>
      </c>
      <c r="H2626" s="9">
        <f t="shared" ref="H2626:H2689" si="41">F2626+E2626</f>
        <v>0</v>
      </c>
      <c r="I2626" s="6">
        <v>12750</v>
      </c>
      <c r="J2626" s="6">
        <f>VLOOKUP(Table1[[#This Row],[Province]],[1]Sheet1!$A$3:$K$37,8,FALSE)</f>
        <v>4244100</v>
      </c>
      <c r="K2626">
        <v>0</v>
      </c>
      <c r="L2626" s="4">
        <v>3.0926420000000001</v>
      </c>
      <c r="M2626" s="4">
        <v>115.283759</v>
      </c>
      <c r="N2626" s="13">
        <v>3.48</v>
      </c>
      <c r="P2626"/>
      <c r="Q2626" s="12"/>
      <c r="R2626" s="12"/>
    </row>
    <row r="2627" spans="1:18" x14ac:dyDescent="0.2">
      <c r="A2627">
        <v>22</v>
      </c>
      <c r="B2627" t="s">
        <v>13</v>
      </c>
      <c r="C2627">
        <v>2021</v>
      </c>
      <c r="D2627">
        <v>10</v>
      </c>
      <c r="E2627" s="4">
        <v>0</v>
      </c>
      <c r="F2627" s="9">
        <v>0</v>
      </c>
      <c r="G2627" s="6">
        <v>2339</v>
      </c>
      <c r="H2627" s="9">
        <f t="shared" si="41"/>
        <v>0</v>
      </c>
      <c r="I2627" s="6">
        <v>12785</v>
      </c>
      <c r="J2627" s="6">
        <f>VLOOKUP(Table1[[#This Row],[Province]],[1]Sheet1!$A$3:$K$37,8,FALSE)</f>
        <v>4244100</v>
      </c>
      <c r="K2627">
        <v>0</v>
      </c>
      <c r="L2627" s="4">
        <v>3.0926420000000001</v>
      </c>
      <c r="M2627" s="4">
        <v>115.283759</v>
      </c>
      <c r="N2627" s="13">
        <v>3.48</v>
      </c>
      <c r="P2627"/>
      <c r="Q2627" s="12"/>
      <c r="R2627" s="12"/>
    </row>
    <row r="2628" spans="1:18" x14ac:dyDescent="0.2">
      <c r="A2628">
        <v>22</v>
      </c>
      <c r="B2628" t="s">
        <v>13</v>
      </c>
      <c r="C2628">
        <v>2021</v>
      </c>
      <c r="D2628">
        <v>11</v>
      </c>
      <c r="E2628" s="4">
        <v>0</v>
      </c>
      <c r="F2628" s="9">
        <v>0</v>
      </c>
      <c r="G2628" s="6">
        <v>3277</v>
      </c>
      <c r="H2628" s="9">
        <f t="shared" si="41"/>
        <v>0</v>
      </c>
      <c r="I2628" s="6">
        <v>12820</v>
      </c>
      <c r="J2628" s="6">
        <f>VLOOKUP(Table1[[#This Row],[Province]],[1]Sheet1!$A$3:$K$37,8,FALSE)</f>
        <v>4244100</v>
      </c>
      <c r="K2628">
        <v>0</v>
      </c>
      <c r="L2628" s="4">
        <v>3.0926420000000001</v>
      </c>
      <c r="M2628" s="4">
        <v>115.283759</v>
      </c>
      <c r="N2628" s="13">
        <v>3.48</v>
      </c>
      <c r="P2628"/>
      <c r="Q2628" s="12"/>
      <c r="R2628" s="12"/>
    </row>
    <row r="2629" spans="1:18" x14ac:dyDescent="0.2">
      <c r="A2629">
        <v>22</v>
      </c>
      <c r="B2629" t="s">
        <v>13</v>
      </c>
      <c r="C2629">
        <v>2021</v>
      </c>
      <c r="D2629">
        <v>12</v>
      </c>
      <c r="E2629" s="4">
        <v>0</v>
      </c>
      <c r="F2629" s="9">
        <v>0</v>
      </c>
      <c r="G2629" s="6">
        <v>4791</v>
      </c>
      <c r="H2629" s="9">
        <f t="shared" si="41"/>
        <v>0</v>
      </c>
      <c r="I2629" s="6">
        <v>13250</v>
      </c>
      <c r="J2629" s="6">
        <f>VLOOKUP(Table1[[#This Row],[Province]],[1]Sheet1!$A$3:$K$37,8,FALSE)</f>
        <v>4244100</v>
      </c>
      <c r="K2629">
        <v>1</v>
      </c>
      <c r="L2629" s="4">
        <v>3.0926420000000001</v>
      </c>
      <c r="M2629" s="4">
        <v>115.283759</v>
      </c>
      <c r="N2629" s="13">
        <v>3.48</v>
      </c>
      <c r="P2629"/>
      <c r="Q2629" s="12"/>
      <c r="R2629" s="12"/>
    </row>
    <row r="2630" spans="1:18" x14ac:dyDescent="0.2">
      <c r="A2630">
        <v>22</v>
      </c>
      <c r="B2630" t="s">
        <v>13</v>
      </c>
      <c r="C2630">
        <v>2022</v>
      </c>
      <c r="D2630">
        <v>1</v>
      </c>
      <c r="E2630" s="6">
        <v>0</v>
      </c>
      <c r="F2630" s="9">
        <v>0</v>
      </c>
      <c r="G2630" s="6">
        <v>2936</v>
      </c>
      <c r="H2630" s="9">
        <f t="shared" si="41"/>
        <v>0</v>
      </c>
      <c r="I2630" s="6">
        <v>14220</v>
      </c>
      <c r="J2630" s="6">
        <f>VLOOKUP(Table1[[#This Row],[Province]],[1]Sheet1!$A$3:$K$37,8,FALSE)</f>
        <v>4244100</v>
      </c>
      <c r="K2630">
        <v>0</v>
      </c>
      <c r="L2630" s="4">
        <v>3.0926420000000001</v>
      </c>
      <c r="M2630" s="4">
        <v>115.283759</v>
      </c>
      <c r="N2630" s="13">
        <v>5.1100000000000003</v>
      </c>
      <c r="P2630"/>
      <c r="Q2630" s="12"/>
      <c r="R2630" s="12"/>
    </row>
    <row r="2631" spans="1:18" x14ac:dyDescent="0.2">
      <c r="A2631">
        <v>22</v>
      </c>
      <c r="B2631" t="s">
        <v>13</v>
      </c>
      <c r="C2631">
        <v>2022</v>
      </c>
      <c r="D2631">
        <v>2</v>
      </c>
      <c r="E2631" s="6">
        <v>0</v>
      </c>
      <c r="F2631" s="9">
        <v>0</v>
      </c>
      <c r="G2631" s="6">
        <v>2934</v>
      </c>
      <c r="H2631" s="9">
        <f t="shared" si="41"/>
        <v>0</v>
      </c>
      <c r="I2631" s="6">
        <v>14753</v>
      </c>
      <c r="J2631" s="6">
        <f>VLOOKUP(Table1[[#This Row],[Province]],[1]Sheet1!$A$3:$K$37,8,FALSE)</f>
        <v>4244100</v>
      </c>
      <c r="K2631">
        <v>0</v>
      </c>
      <c r="L2631" s="4">
        <v>3.0926420000000001</v>
      </c>
      <c r="M2631" s="4">
        <v>115.283759</v>
      </c>
      <c r="N2631" s="13">
        <v>5.1100000000000003</v>
      </c>
      <c r="P2631"/>
      <c r="Q2631" s="12"/>
      <c r="R2631" s="12"/>
    </row>
    <row r="2632" spans="1:18" x14ac:dyDescent="0.2">
      <c r="A2632">
        <v>22</v>
      </c>
      <c r="B2632" t="s">
        <v>13</v>
      </c>
      <c r="C2632">
        <v>2022</v>
      </c>
      <c r="D2632">
        <v>3</v>
      </c>
      <c r="E2632" s="6">
        <v>0</v>
      </c>
      <c r="F2632" s="9">
        <v>0</v>
      </c>
      <c r="G2632" s="6">
        <v>2234</v>
      </c>
      <c r="H2632" s="9">
        <f t="shared" si="41"/>
        <v>0</v>
      </c>
      <c r="I2632" s="6">
        <v>14748</v>
      </c>
      <c r="J2632" s="6">
        <f>VLOOKUP(Table1[[#This Row],[Province]],[1]Sheet1!$A$3:$K$37,8,FALSE)</f>
        <v>4244100</v>
      </c>
      <c r="K2632">
        <v>0</v>
      </c>
      <c r="L2632" s="4">
        <v>3.0926420000000001</v>
      </c>
      <c r="M2632" s="4">
        <v>115.283759</v>
      </c>
      <c r="N2632" s="13">
        <v>5.1100000000000003</v>
      </c>
      <c r="P2632"/>
      <c r="Q2632" s="12"/>
      <c r="R2632" s="12"/>
    </row>
    <row r="2633" spans="1:18" x14ac:dyDescent="0.2">
      <c r="A2633">
        <v>22</v>
      </c>
      <c r="B2633" t="s">
        <v>13</v>
      </c>
      <c r="C2633">
        <v>2022</v>
      </c>
      <c r="D2633">
        <v>4</v>
      </c>
      <c r="E2633" s="6">
        <v>0</v>
      </c>
      <c r="F2633" s="9">
        <v>0</v>
      </c>
      <c r="G2633" s="6">
        <v>3529</v>
      </c>
      <c r="H2633" s="9">
        <f t="shared" si="41"/>
        <v>0</v>
      </c>
      <c r="I2633" s="6">
        <v>14876</v>
      </c>
      <c r="J2633" s="6">
        <f>VLOOKUP(Table1[[#This Row],[Province]],[1]Sheet1!$A$3:$K$37,8,FALSE)</f>
        <v>4244100</v>
      </c>
      <c r="K2633">
        <v>1</v>
      </c>
      <c r="L2633" s="4">
        <v>3.0926420000000001</v>
      </c>
      <c r="M2633" s="4">
        <v>115.283759</v>
      </c>
      <c r="N2633" s="13">
        <v>5.1100000000000003</v>
      </c>
      <c r="P2633"/>
      <c r="Q2633" s="12"/>
      <c r="R2633" s="12"/>
    </row>
    <row r="2634" spans="1:18" x14ac:dyDescent="0.2">
      <c r="A2634">
        <v>22</v>
      </c>
      <c r="B2634" t="s">
        <v>13</v>
      </c>
      <c r="C2634">
        <v>2022</v>
      </c>
      <c r="D2634">
        <v>5</v>
      </c>
      <c r="E2634" s="6">
        <v>0</v>
      </c>
      <c r="F2634" s="9">
        <v>0</v>
      </c>
      <c r="G2634" s="6">
        <v>1998</v>
      </c>
      <c r="H2634" s="9">
        <f t="shared" si="41"/>
        <v>0</v>
      </c>
      <c r="I2634" s="6">
        <v>14810</v>
      </c>
      <c r="J2634" s="6">
        <f>VLOOKUP(Table1[[#This Row],[Province]],[1]Sheet1!$A$3:$K$37,8,FALSE)</f>
        <v>4244100</v>
      </c>
      <c r="K2634">
        <v>0</v>
      </c>
      <c r="L2634" s="4">
        <v>3.0926420000000001</v>
      </c>
      <c r="M2634" s="4">
        <v>115.283759</v>
      </c>
      <c r="N2634" s="13">
        <v>5.1100000000000003</v>
      </c>
      <c r="P2634"/>
      <c r="Q2634" s="12"/>
      <c r="R2634" s="12"/>
    </row>
    <row r="2635" spans="1:18" x14ac:dyDescent="0.2">
      <c r="A2635">
        <v>22</v>
      </c>
      <c r="B2635" t="s">
        <v>13</v>
      </c>
      <c r="C2635">
        <v>2022</v>
      </c>
      <c r="D2635">
        <v>6</v>
      </c>
      <c r="E2635" s="6">
        <v>0</v>
      </c>
      <c r="F2635" s="9">
        <v>0</v>
      </c>
      <c r="G2635" s="6">
        <v>2442</v>
      </c>
      <c r="H2635" s="9">
        <f t="shared" si="41"/>
        <v>0</v>
      </c>
      <c r="I2635" s="6">
        <v>14717</v>
      </c>
      <c r="J2635" s="6">
        <f>VLOOKUP(Table1[[#This Row],[Province]],[1]Sheet1!$A$3:$K$37,8,FALSE)</f>
        <v>4244100</v>
      </c>
      <c r="K2635">
        <v>0</v>
      </c>
      <c r="L2635" s="4">
        <v>3.0926420000000001</v>
      </c>
      <c r="M2635" s="4">
        <v>115.283759</v>
      </c>
      <c r="N2635" s="13">
        <v>5.1100000000000003</v>
      </c>
      <c r="P2635"/>
      <c r="Q2635" s="12"/>
      <c r="R2635" s="12"/>
    </row>
    <row r="2636" spans="1:18" x14ac:dyDescent="0.2">
      <c r="A2636">
        <v>22</v>
      </c>
      <c r="B2636" t="s">
        <v>13</v>
      </c>
      <c r="C2636">
        <v>2022</v>
      </c>
      <c r="D2636">
        <v>7</v>
      </c>
      <c r="E2636" s="6">
        <v>0</v>
      </c>
      <c r="F2636" s="9">
        <v>0</v>
      </c>
      <c r="G2636" s="6">
        <v>3989</v>
      </c>
      <c r="H2636" s="9">
        <f t="shared" si="41"/>
        <v>0</v>
      </c>
      <c r="I2636" s="6">
        <v>14557</v>
      </c>
      <c r="J2636" s="6">
        <f>VLOOKUP(Table1[[#This Row],[Province]],[1]Sheet1!$A$3:$K$37,8,FALSE)</f>
        <v>4244100</v>
      </c>
      <c r="K2636">
        <v>0</v>
      </c>
      <c r="L2636" s="4">
        <v>3.0926420000000001</v>
      </c>
      <c r="M2636" s="4">
        <v>115.283759</v>
      </c>
      <c r="N2636" s="13">
        <v>5.1100000000000003</v>
      </c>
      <c r="P2636"/>
      <c r="Q2636" s="12"/>
      <c r="R2636" s="12"/>
    </row>
    <row r="2637" spans="1:18" x14ac:dyDescent="0.2">
      <c r="A2637">
        <v>22</v>
      </c>
      <c r="B2637" t="s">
        <v>13</v>
      </c>
      <c r="C2637">
        <v>2022</v>
      </c>
      <c r="D2637">
        <v>8</v>
      </c>
      <c r="E2637" s="6">
        <v>0</v>
      </c>
      <c r="F2637" s="9">
        <v>0</v>
      </c>
      <c r="G2637" s="6">
        <v>2230</v>
      </c>
      <c r="H2637" s="9">
        <f t="shared" si="41"/>
        <v>0</v>
      </c>
      <c r="I2637" s="6">
        <v>14277</v>
      </c>
      <c r="J2637" s="6">
        <f>VLOOKUP(Table1[[#This Row],[Province]],[1]Sheet1!$A$3:$K$37,8,FALSE)</f>
        <v>4244100</v>
      </c>
      <c r="K2637">
        <v>0</v>
      </c>
      <c r="L2637" s="4">
        <v>3.0926420000000001</v>
      </c>
      <c r="M2637" s="4">
        <v>115.283759</v>
      </c>
      <c r="N2637" s="13">
        <v>5.1100000000000003</v>
      </c>
      <c r="P2637"/>
      <c r="Q2637" s="12"/>
      <c r="R2637" s="12"/>
    </row>
    <row r="2638" spans="1:18" x14ac:dyDescent="0.2">
      <c r="A2638">
        <v>22</v>
      </c>
      <c r="B2638" t="s">
        <v>13</v>
      </c>
      <c r="C2638">
        <v>2022</v>
      </c>
      <c r="D2638">
        <v>9</v>
      </c>
      <c r="E2638" s="6">
        <v>0</v>
      </c>
      <c r="F2638" s="9">
        <v>0</v>
      </c>
      <c r="G2638" s="6">
        <v>2792</v>
      </c>
      <c r="H2638" s="9">
        <f t="shared" si="41"/>
        <v>0</v>
      </c>
      <c r="I2638" s="6">
        <v>13348</v>
      </c>
      <c r="J2638" s="6">
        <f>VLOOKUP(Table1[[#This Row],[Province]],[1]Sheet1!$A$3:$K$37,8,FALSE)</f>
        <v>4244100</v>
      </c>
      <c r="K2638">
        <v>0</v>
      </c>
      <c r="L2638" s="4">
        <v>3.0926420000000001</v>
      </c>
      <c r="M2638" s="4">
        <v>115.283759</v>
      </c>
      <c r="N2638" s="13">
        <v>5.1100000000000003</v>
      </c>
      <c r="P2638"/>
      <c r="Q2638" s="12"/>
      <c r="R2638" s="12"/>
    </row>
    <row r="2639" spans="1:18" x14ac:dyDescent="0.2">
      <c r="A2639">
        <v>22</v>
      </c>
      <c r="B2639" t="s">
        <v>13</v>
      </c>
      <c r="C2639">
        <v>2022</v>
      </c>
      <c r="D2639">
        <v>10</v>
      </c>
      <c r="E2639" s="6">
        <v>0</v>
      </c>
      <c r="F2639" s="9">
        <v>0</v>
      </c>
      <c r="G2639" s="6">
        <v>3668</v>
      </c>
      <c r="H2639" s="9">
        <f t="shared" si="41"/>
        <v>0</v>
      </c>
      <c r="I2639" s="6">
        <v>13257</v>
      </c>
      <c r="J2639" s="6">
        <f>VLOOKUP(Table1[[#This Row],[Province]],[1]Sheet1!$A$3:$K$37,8,FALSE)</f>
        <v>4244100</v>
      </c>
      <c r="K2639">
        <v>0</v>
      </c>
      <c r="L2639" s="4">
        <v>3.0926420000000001</v>
      </c>
      <c r="M2639" s="4">
        <v>115.283759</v>
      </c>
      <c r="N2639" s="13">
        <v>5.1100000000000003</v>
      </c>
      <c r="P2639"/>
      <c r="Q2639" s="12"/>
      <c r="R2639" s="12"/>
    </row>
    <row r="2640" spans="1:18" x14ac:dyDescent="0.2">
      <c r="A2640">
        <v>22</v>
      </c>
      <c r="B2640" t="s">
        <v>13</v>
      </c>
      <c r="C2640">
        <v>2022</v>
      </c>
      <c r="D2640">
        <v>11</v>
      </c>
      <c r="E2640" s="6">
        <v>0</v>
      </c>
      <c r="F2640" s="9">
        <v>0</v>
      </c>
      <c r="G2640" s="6">
        <v>2397</v>
      </c>
      <c r="H2640" s="9">
        <f t="shared" si="41"/>
        <v>0</v>
      </c>
      <c r="I2640" s="6">
        <v>13816</v>
      </c>
      <c r="J2640" s="6">
        <f>VLOOKUP(Table1[[#This Row],[Province]],[1]Sheet1!$A$3:$K$37,8,FALSE)</f>
        <v>4244100</v>
      </c>
      <c r="K2640">
        <v>0</v>
      </c>
      <c r="L2640" s="4">
        <v>3.0926420000000001</v>
      </c>
      <c r="M2640" s="4">
        <v>115.283759</v>
      </c>
      <c r="N2640" s="13">
        <v>5.1100000000000003</v>
      </c>
      <c r="P2640"/>
      <c r="Q2640" s="12"/>
      <c r="R2640" s="12"/>
    </row>
    <row r="2641" spans="1:18" x14ac:dyDescent="0.2">
      <c r="A2641">
        <v>22</v>
      </c>
      <c r="B2641" t="s">
        <v>13</v>
      </c>
      <c r="C2641">
        <v>2022</v>
      </c>
      <c r="D2641">
        <v>12</v>
      </c>
      <c r="E2641" s="6">
        <v>0</v>
      </c>
      <c r="F2641" s="9">
        <v>0</v>
      </c>
      <c r="G2641" s="6">
        <v>6081</v>
      </c>
      <c r="H2641" s="9">
        <f t="shared" si="41"/>
        <v>0</v>
      </c>
      <c r="I2641" s="6">
        <v>13780</v>
      </c>
      <c r="J2641" s="6">
        <f>VLOOKUP(Table1[[#This Row],[Province]],[1]Sheet1!$A$3:$K$37,8,FALSE)</f>
        <v>4244100</v>
      </c>
      <c r="K2641">
        <v>1</v>
      </c>
      <c r="L2641" s="4">
        <v>3.0926420000000001</v>
      </c>
      <c r="M2641" s="4">
        <v>115.283759</v>
      </c>
      <c r="N2641" s="13">
        <v>5.1100000000000003</v>
      </c>
      <c r="P2641"/>
      <c r="Q2641" s="12"/>
      <c r="R2641" s="12"/>
    </row>
    <row r="2642" spans="1:18" x14ac:dyDescent="0.2">
      <c r="A2642">
        <v>23</v>
      </c>
      <c r="B2642" t="s">
        <v>15</v>
      </c>
      <c r="C2642">
        <v>2013</v>
      </c>
      <c r="D2642">
        <v>1</v>
      </c>
      <c r="E2642" s="4">
        <v>0</v>
      </c>
      <c r="F2642" s="9">
        <v>0</v>
      </c>
      <c r="G2642" s="6">
        <v>2636</v>
      </c>
      <c r="H2642" s="9">
        <f t="shared" si="41"/>
        <v>0</v>
      </c>
      <c r="I2642" s="6">
        <v>12500</v>
      </c>
      <c r="J2642" s="6">
        <f>VLOOKUP(Table1[[#This Row],[Province]],[1]Sheet1!$A$3:$K$37,8,FALSE)</f>
        <v>3721400</v>
      </c>
      <c r="K2642">
        <v>0</v>
      </c>
      <c r="L2642" s="4">
        <v>1.64063</v>
      </c>
      <c r="M2642" s="4">
        <v>116.419389</v>
      </c>
      <c r="N2642" s="6"/>
      <c r="P2642"/>
      <c r="Q2642" s="12"/>
      <c r="R2642" s="12"/>
    </row>
    <row r="2643" spans="1:18" x14ac:dyDescent="0.2">
      <c r="A2643">
        <v>23</v>
      </c>
      <c r="B2643" t="s">
        <v>15</v>
      </c>
      <c r="C2643">
        <v>2013</v>
      </c>
      <c r="D2643">
        <v>2</v>
      </c>
      <c r="E2643" s="4">
        <v>0</v>
      </c>
      <c r="F2643" s="9">
        <v>0</v>
      </c>
      <c r="G2643" s="6">
        <v>2527</v>
      </c>
      <c r="H2643" s="9">
        <f t="shared" si="41"/>
        <v>0</v>
      </c>
      <c r="I2643" s="6">
        <v>12168</v>
      </c>
      <c r="J2643" s="6">
        <f>VLOOKUP(Table1[[#This Row],[Province]],[1]Sheet1!$A$3:$K$37,8,FALSE)</f>
        <v>3721400</v>
      </c>
      <c r="K2643">
        <v>0</v>
      </c>
      <c r="L2643" s="4">
        <v>1.64063</v>
      </c>
      <c r="M2643" s="4">
        <v>116.419389</v>
      </c>
      <c r="N2643" s="6"/>
      <c r="P2643"/>
      <c r="Q2643" s="12"/>
      <c r="R2643" s="12"/>
    </row>
    <row r="2644" spans="1:18" x14ac:dyDescent="0.2">
      <c r="A2644">
        <v>23</v>
      </c>
      <c r="B2644" t="s">
        <v>15</v>
      </c>
      <c r="C2644">
        <v>2013</v>
      </c>
      <c r="D2644">
        <v>3</v>
      </c>
      <c r="E2644" s="4">
        <v>0</v>
      </c>
      <c r="F2644" s="9">
        <v>0</v>
      </c>
      <c r="G2644" s="6">
        <v>2605</v>
      </c>
      <c r="H2644" s="9">
        <f t="shared" si="41"/>
        <v>0</v>
      </c>
      <c r="I2644" s="6">
        <v>12000</v>
      </c>
      <c r="J2644" s="6">
        <f>VLOOKUP(Table1[[#This Row],[Province]],[1]Sheet1!$A$3:$K$37,8,FALSE)</f>
        <v>3721400</v>
      </c>
      <c r="K2644">
        <v>0</v>
      </c>
      <c r="L2644" s="4">
        <v>1.64063</v>
      </c>
      <c r="M2644" s="4">
        <v>116.419389</v>
      </c>
      <c r="N2644" s="6"/>
      <c r="P2644"/>
      <c r="Q2644" s="12"/>
      <c r="R2644" s="12"/>
    </row>
    <row r="2645" spans="1:18" x14ac:dyDescent="0.2">
      <c r="A2645">
        <v>23</v>
      </c>
      <c r="B2645" t="s">
        <v>15</v>
      </c>
      <c r="C2645">
        <v>2013</v>
      </c>
      <c r="D2645">
        <v>4</v>
      </c>
      <c r="E2645" s="4">
        <v>0</v>
      </c>
      <c r="F2645" s="9">
        <v>0</v>
      </c>
      <c r="G2645" s="6">
        <v>3385</v>
      </c>
      <c r="H2645" s="9">
        <f t="shared" si="41"/>
        <v>0</v>
      </c>
      <c r="I2645" s="6">
        <v>12000</v>
      </c>
      <c r="J2645" s="6">
        <f>VLOOKUP(Table1[[#This Row],[Province]],[1]Sheet1!$A$3:$K$37,8,FALSE)</f>
        <v>3721400</v>
      </c>
      <c r="K2645">
        <v>0</v>
      </c>
      <c r="L2645" s="4">
        <v>1.64063</v>
      </c>
      <c r="M2645" s="4">
        <v>116.419389</v>
      </c>
      <c r="N2645" s="6"/>
      <c r="P2645"/>
      <c r="Q2645" s="12"/>
      <c r="R2645" s="12"/>
    </row>
    <row r="2646" spans="1:18" x14ac:dyDescent="0.2">
      <c r="A2646">
        <v>23</v>
      </c>
      <c r="B2646" t="s">
        <v>15</v>
      </c>
      <c r="C2646">
        <v>2013</v>
      </c>
      <c r="D2646">
        <v>5</v>
      </c>
      <c r="E2646" s="4">
        <v>0</v>
      </c>
      <c r="F2646" s="9">
        <v>0</v>
      </c>
      <c r="G2646" s="6">
        <v>4103</v>
      </c>
      <c r="H2646" s="9">
        <f t="shared" si="41"/>
        <v>0</v>
      </c>
      <c r="I2646" s="6">
        <v>12000</v>
      </c>
      <c r="J2646" s="6">
        <f>VLOOKUP(Table1[[#This Row],[Province]],[1]Sheet1!$A$3:$K$37,8,FALSE)</f>
        <v>3721400</v>
      </c>
      <c r="K2646">
        <v>0</v>
      </c>
      <c r="L2646" s="4">
        <v>1.64063</v>
      </c>
      <c r="M2646" s="4">
        <v>116.419389</v>
      </c>
      <c r="N2646" s="6"/>
      <c r="P2646"/>
      <c r="Q2646" s="12"/>
      <c r="R2646" s="12"/>
    </row>
    <row r="2647" spans="1:18" x14ac:dyDescent="0.2">
      <c r="A2647">
        <v>23</v>
      </c>
      <c r="B2647" t="s">
        <v>15</v>
      </c>
      <c r="C2647">
        <v>2013</v>
      </c>
      <c r="D2647">
        <v>6</v>
      </c>
      <c r="E2647" s="4">
        <v>0</v>
      </c>
      <c r="F2647" s="9">
        <v>0</v>
      </c>
      <c r="G2647" s="6">
        <v>3416</v>
      </c>
      <c r="H2647" s="9">
        <f t="shared" si="41"/>
        <v>0</v>
      </c>
      <c r="I2647" s="6">
        <v>12468</v>
      </c>
      <c r="J2647" s="6">
        <f>VLOOKUP(Table1[[#This Row],[Province]],[1]Sheet1!$A$3:$K$37,8,FALSE)</f>
        <v>3721400</v>
      </c>
      <c r="K2647">
        <v>0</v>
      </c>
      <c r="L2647" s="4">
        <v>1.64063</v>
      </c>
      <c r="M2647" s="4">
        <v>116.419389</v>
      </c>
      <c r="N2647" s="6"/>
      <c r="P2647"/>
      <c r="Q2647" s="12"/>
      <c r="R2647" s="12"/>
    </row>
    <row r="2648" spans="1:18" x14ac:dyDescent="0.2">
      <c r="A2648">
        <v>23</v>
      </c>
      <c r="B2648" t="s">
        <v>15</v>
      </c>
      <c r="C2648">
        <v>2013</v>
      </c>
      <c r="D2648">
        <v>7</v>
      </c>
      <c r="E2648" s="4">
        <v>0</v>
      </c>
      <c r="F2648" s="9">
        <v>0</v>
      </c>
      <c r="G2648" s="6">
        <v>5928</v>
      </c>
      <c r="H2648" s="9">
        <f t="shared" si="41"/>
        <v>0</v>
      </c>
      <c r="I2648" s="6">
        <v>14261</v>
      </c>
      <c r="J2648" s="6">
        <f>VLOOKUP(Table1[[#This Row],[Province]],[1]Sheet1!$A$3:$K$37,8,FALSE)</f>
        <v>3721400</v>
      </c>
      <c r="K2648">
        <v>1</v>
      </c>
      <c r="L2648" s="4">
        <v>1.64063</v>
      </c>
      <c r="M2648" s="4">
        <v>116.419389</v>
      </c>
      <c r="N2648" s="6"/>
      <c r="P2648"/>
      <c r="Q2648" s="12"/>
      <c r="R2648" s="12"/>
    </row>
    <row r="2649" spans="1:18" x14ac:dyDescent="0.2">
      <c r="A2649">
        <v>23</v>
      </c>
      <c r="B2649" t="s">
        <v>15</v>
      </c>
      <c r="C2649">
        <v>2013</v>
      </c>
      <c r="D2649">
        <v>8</v>
      </c>
      <c r="E2649" s="4">
        <v>0</v>
      </c>
      <c r="F2649" s="9">
        <v>0</v>
      </c>
      <c r="G2649" s="6">
        <v>2168</v>
      </c>
      <c r="H2649" s="9">
        <f t="shared" si="41"/>
        <v>0</v>
      </c>
      <c r="I2649" s="6">
        <v>13294</v>
      </c>
      <c r="J2649" s="6">
        <f>VLOOKUP(Table1[[#This Row],[Province]],[1]Sheet1!$A$3:$K$37,8,FALSE)</f>
        <v>3721400</v>
      </c>
      <c r="K2649">
        <v>0</v>
      </c>
      <c r="L2649" s="4">
        <v>1.64063</v>
      </c>
      <c r="M2649" s="4">
        <v>116.419389</v>
      </c>
      <c r="N2649" s="6"/>
      <c r="P2649"/>
      <c r="Q2649" s="12"/>
      <c r="R2649" s="12"/>
    </row>
    <row r="2650" spans="1:18" x14ac:dyDescent="0.2">
      <c r="A2650">
        <v>23</v>
      </c>
      <c r="B2650" t="s">
        <v>15</v>
      </c>
      <c r="C2650">
        <v>2013</v>
      </c>
      <c r="D2650">
        <v>9</v>
      </c>
      <c r="E2650" s="4">
        <v>0</v>
      </c>
      <c r="F2650" s="9">
        <v>0</v>
      </c>
      <c r="G2650" s="6">
        <v>4633</v>
      </c>
      <c r="H2650" s="9">
        <f t="shared" si="41"/>
        <v>0</v>
      </c>
      <c r="I2650" s="6">
        <v>13058</v>
      </c>
      <c r="J2650" s="6">
        <f>VLOOKUP(Table1[[#This Row],[Province]],[1]Sheet1!$A$3:$K$37,8,FALSE)</f>
        <v>3721400</v>
      </c>
      <c r="K2650">
        <v>0</v>
      </c>
      <c r="L2650" s="4">
        <v>1.64063</v>
      </c>
      <c r="M2650" s="4">
        <v>116.419389</v>
      </c>
      <c r="N2650" s="6"/>
      <c r="P2650"/>
      <c r="Q2650" s="12"/>
      <c r="R2650" s="12"/>
    </row>
    <row r="2651" spans="1:18" x14ac:dyDescent="0.2">
      <c r="A2651">
        <v>23</v>
      </c>
      <c r="B2651" t="s">
        <v>15</v>
      </c>
      <c r="C2651">
        <v>2013</v>
      </c>
      <c r="D2651">
        <v>10</v>
      </c>
      <c r="E2651" s="4">
        <v>0</v>
      </c>
      <c r="F2651" s="9">
        <v>0</v>
      </c>
      <c r="G2651" s="6">
        <v>3791</v>
      </c>
      <c r="H2651" s="9">
        <f t="shared" si="41"/>
        <v>0</v>
      </c>
      <c r="I2651" s="6">
        <v>12669</v>
      </c>
      <c r="J2651" s="6">
        <f>VLOOKUP(Table1[[#This Row],[Province]],[1]Sheet1!$A$3:$K$37,8,FALSE)</f>
        <v>3721400</v>
      </c>
      <c r="K2651">
        <v>0</v>
      </c>
      <c r="L2651" s="4">
        <v>1.64063</v>
      </c>
      <c r="M2651" s="4">
        <v>116.419389</v>
      </c>
      <c r="N2651" s="6"/>
      <c r="P2651"/>
      <c r="Q2651" s="12"/>
      <c r="R2651" s="12"/>
    </row>
    <row r="2652" spans="1:18" x14ac:dyDescent="0.2">
      <c r="A2652">
        <v>23</v>
      </c>
      <c r="B2652" t="s">
        <v>15</v>
      </c>
      <c r="C2652">
        <v>2013</v>
      </c>
      <c r="D2652">
        <v>11</v>
      </c>
      <c r="E2652" s="4">
        <v>0</v>
      </c>
      <c r="F2652" s="9">
        <v>0</v>
      </c>
      <c r="G2652" s="6">
        <v>2792</v>
      </c>
      <c r="H2652" s="9">
        <f t="shared" si="41"/>
        <v>0</v>
      </c>
      <c r="I2652" s="6">
        <v>12500</v>
      </c>
      <c r="J2652" s="6">
        <f>VLOOKUP(Table1[[#This Row],[Province]],[1]Sheet1!$A$3:$K$37,8,FALSE)</f>
        <v>3721400</v>
      </c>
      <c r="K2652">
        <v>0</v>
      </c>
      <c r="L2652" s="4">
        <v>1.64063</v>
      </c>
      <c r="M2652" s="4">
        <v>116.419389</v>
      </c>
      <c r="N2652" s="6"/>
      <c r="P2652"/>
      <c r="Q2652" s="12"/>
      <c r="R2652" s="12"/>
    </row>
    <row r="2653" spans="1:18" x14ac:dyDescent="0.2">
      <c r="A2653">
        <v>23</v>
      </c>
      <c r="B2653" t="s">
        <v>15</v>
      </c>
      <c r="C2653">
        <v>2013</v>
      </c>
      <c r="D2653">
        <v>12</v>
      </c>
      <c r="E2653" s="4">
        <v>0</v>
      </c>
      <c r="F2653" s="9">
        <v>0</v>
      </c>
      <c r="G2653" s="6">
        <v>3884</v>
      </c>
      <c r="H2653" s="9">
        <f t="shared" si="41"/>
        <v>0</v>
      </c>
      <c r="I2653" s="6">
        <v>12483</v>
      </c>
      <c r="J2653" s="6">
        <f>VLOOKUP(Table1[[#This Row],[Province]],[1]Sheet1!$A$3:$K$37,8,FALSE)</f>
        <v>3721400</v>
      </c>
      <c r="K2653">
        <v>1</v>
      </c>
      <c r="L2653" s="4">
        <v>1.64063</v>
      </c>
      <c r="M2653" s="4">
        <v>116.419389</v>
      </c>
      <c r="N2653" s="6"/>
      <c r="P2653"/>
      <c r="Q2653" s="12"/>
      <c r="R2653" s="12"/>
    </row>
    <row r="2654" spans="1:18" x14ac:dyDescent="0.2">
      <c r="A2654">
        <v>23</v>
      </c>
      <c r="B2654" t="s">
        <v>15</v>
      </c>
      <c r="C2654">
        <v>2014</v>
      </c>
      <c r="D2654">
        <v>1</v>
      </c>
      <c r="E2654" s="4">
        <v>0</v>
      </c>
      <c r="F2654" s="9">
        <v>0</v>
      </c>
      <c r="G2654" s="6">
        <v>2318</v>
      </c>
      <c r="H2654" s="9">
        <f t="shared" si="41"/>
        <v>0</v>
      </c>
      <c r="I2654" s="6">
        <v>12000</v>
      </c>
      <c r="J2654" s="6">
        <f>VLOOKUP(Table1[[#This Row],[Province]],[1]Sheet1!$A$3:$K$37,8,FALSE)</f>
        <v>3721400</v>
      </c>
      <c r="K2654">
        <v>0</v>
      </c>
      <c r="L2654" s="4">
        <v>1.64063</v>
      </c>
      <c r="M2654" s="4">
        <v>116.419389</v>
      </c>
      <c r="N2654" s="6"/>
      <c r="P2654"/>
      <c r="Q2654" s="12"/>
      <c r="R2654" s="12"/>
    </row>
    <row r="2655" spans="1:18" x14ac:dyDescent="0.2">
      <c r="A2655">
        <v>23</v>
      </c>
      <c r="B2655" t="s">
        <v>15</v>
      </c>
      <c r="C2655">
        <v>2014</v>
      </c>
      <c r="D2655">
        <v>2</v>
      </c>
      <c r="E2655" s="4">
        <v>0</v>
      </c>
      <c r="F2655" s="9">
        <v>0</v>
      </c>
      <c r="G2655" s="6">
        <v>2068</v>
      </c>
      <c r="H2655" s="9">
        <f t="shared" si="41"/>
        <v>0</v>
      </c>
      <c r="I2655" s="6">
        <v>12000</v>
      </c>
      <c r="J2655" s="6">
        <f>VLOOKUP(Table1[[#This Row],[Province]],[1]Sheet1!$A$3:$K$37,8,FALSE)</f>
        <v>3721400</v>
      </c>
      <c r="K2655">
        <v>0</v>
      </c>
      <c r="L2655" s="4">
        <v>1.64063</v>
      </c>
      <c r="M2655" s="4">
        <v>116.419389</v>
      </c>
      <c r="N2655" s="6"/>
      <c r="P2655"/>
      <c r="Q2655" s="12"/>
      <c r="R2655" s="12"/>
    </row>
    <row r="2656" spans="1:18" x14ac:dyDescent="0.2">
      <c r="A2656">
        <v>23</v>
      </c>
      <c r="B2656" t="s">
        <v>15</v>
      </c>
      <c r="C2656">
        <v>2014</v>
      </c>
      <c r="D2656">
        <v>3</v>
      </c>
      <c r="E2656" s="4">
        <v>0</v>
      </c>
      <c r="F2656" s="9">
        <v>0</v>
      </c>
      <c r="G2656" s="6">
        <v>2322</v>
      </c>
      <c r="H2656" s="9">
        <f t="shared" si="41"/>
        <v>0</v>
      </c>
      <c r="I2656" s="6">
        <v>11533</v>
      </c>
      <c r="J2656" s="6">
        <f>VLOOKUP(Table1[[#This Row],[Province]],[1]Sheet1!$A$3:$K$37,8,FALSE)</f>
        <v>3721400</v>
      </c>
      <c r="K2656">
        <v>0</v>
      </c>
      <c r="L2656" s="4">
        <v>1.64063</v>
      </c>
      <c r="M2656" s="4">
        <v>116.419389</v>
      </c>
      <c r="N2656" s="6"/>
      <c r="P2656"/>
      <c r="Q2656" s="12"/>
      <c r="R2656" s="12"/>
    </row>
    <row r="2657" spans="1:18" x14ac:dyDescent="0.2">
      <c r="A2657">
        <v>23</v>
      </c>
      <c r="B2657" t="s">
        <v>15</v>
      </c>
      <c r="C2657">
        <v>2014</v>
      </c>
      <c r="D2657">
        <v>4</v>
      </c>
      <c r="E2657" s="4">
        <v>0</v>
      </c>
      <c r="F2657" s="9">
        <v>0</v>
      </c>
      <c r="G2657" s="6">
        <v>2991</v>
      </c>
      <c r="H2657" s="9">
        <f t="shared" si="41"/>
        <v>0</v>
      </c>
      <c r="I2657" s="6">
        <v>11167</v>
      </c>
      <c r="J2657" s="6">
        <f>VLOOKUP(Table1[[#This Row],[Province]],[1]Sheet1!$A$3:$K$37,8,FALSE)</f>
        <v>3721400</v>
      </c>
      <c r="K2657">
        <v>0</v>
      </c>
      <c r="L2657" s="4">
        <v>1.64063</v>
      </c>
      <c r="M2657" s="4">
        <v>116.419389</v>
      </c>
      <c r="N2657" s="6"/>
      <c r="P2657"/>
      <c r="Q2657" s="12"/>
      <c r="R2657" s="12"/>
    </row>
    <row r="2658" spans="1:18" x14ac:dyDescent="0.2">
      <c r="A2658">
        <v>23</v>
      </c>
      <c r="B2658" t="s">
        <v>15</v>
      </c>
      <c r="C2658">
        <v>2014</v>
      </c>
      <c r="D2658">
        <v>5</v>
      </c>
      <c r="E2658" s="4">
        <v>0</v>
      </c>
      <c r="F2658" s="9">
        <v>0</v>
      </c>
      <c r="G2658" s="6">
        <v>3350</v>
      </c>
      <c r="H2658" s="9">
        <f t="shared" si="41"/>
        <v>0</v>
      </c>
      <c r="I2658" s="6">
        <v>11121</v>
      </c>
      <c r="J2658" s="6">
        <f>VLOOKUP(Table1[[#This Row],[Province]],[1]Sheet1!$A$3:$K$37,8,FALSE)</f>
        <v>3721400</v>
      </c>
      <c r="K2658">
        <v>0</v>
      </c>
      <c r="L2658" s="4">
        <v>1.64063</v>
      </c>
      <c r="M2658" s="4">
        <v>116.419389</v>
      </c>
      <c r="N2658" s="6"/>
      <c r="P2658"/>
      <c r="Q2658" s="12"/>
      <c r="R2658" s="12"/>
    </row>
    <row r="2659" spans="1:18" x14ac:dyDescent="0.2">
      <c r="A2659">
        <v>23</v>
      </c>
      <c r="B2659" t="s">
        <v>15</v>
      </c>
      <c r="C2659">
        <v>2014</v>
      </c>
      <c r="D2659">
        <v>6</v>
      </c>
      <c r="E2659" s="4">
        <v>0</v>
      </c>
      <c r="F2659" s="9">
        <v>0</v>
      </c>
      <c r="G2659" s="6">
        <v>4768</v>
      </c>
      <c r="H2659" s="9">
        <f t="shared" si="41"/>
        <v>0</v>
      </c>
      <c r="I2659" s="6">
        <v>11040</v>
      </c>
      <c r="J2659" s="6">
        <f>VLOOKUP(Table1[[#This Row],[Province]],[1]Sheet1!$A$3:$K$37,8,FALSE)</f>
        <v>3721400</v>
      </c>
      <c r="K2659">
        <v>1</v>
      </c>
      <c r="L2659" s="4">
        <v>1.64063</v>
      </c>
      <c r="M2659" s="4">
        <v>116.419389</v>
      </c>
      <c r="N2659" s="6"/>
      <c r="P2659"/>
      <c r="Q2659" s="12"/>
      <c r="R2659" s="12"/>
    </row>
    <row r="2660" spans="1:18" x14ac:dyDescent="0.2">
      <c r="A2660">
        <v>23</v>
      </c>
      <c r="B2660" t="s">
        <v>15</v>
      </c>
      <c r="C2660">
        <v>2014</v>
      </c>
      <c r="D2660">
        <v>7</v>
      </c>
      <c r="E2660" s="4">
        <v>0</v>
      </c>
      <c r="F2660" s="9">
        <v>0</v>
      </c>
      <c r="G2660" s="6">
        <v>2991</v>
      </c>
      <c r="H2660" s="9">
        <f t="shared" si="41"/>
        <v>0</v>
      </c>
      <c r="I2660" s="6">
        <v>11000</v>
      </c>
      <c r="J2660" s="6">
        <f>VLOOKUP(Table1[[#This Row],[Province]],[1]Sheet1!$A$3:$K$37,8,FALSE)</f>
        <v>3721400</v>
      </c>
      <c r="K2660">
        <v>0</v>
      </c>
      <c r="L2660" s="4">
        <v>1.64063</v>
      </c>
      <c r="M2660" s="4">
        <v>116.419389</v>
      </c>
      <c r="N2660" s="6"/>
      <c r="P2660"/>
      <c r="Q2660" s="12"/>
      <c r="R2660" s="12"/>
    </row>
    <row r="2661" spans="1:18" x14ac:dyDescent="0.2">
      <c r="A2661">
        <v>23</v>
      </c>
      <c r="B2661" t="s">
        <v>15</v>
      </c>
      <c r="C2661">
        <v>2014</v>
      </c>
      <c r="D2661">
        <v>8</v>
      </c>
      <c r="E2661" s="4">
        <v>0</v>
      </c>
      <c r="F2661" s="9">
        <v>0</v>
      </c>
      <c r="G2661" s="6">
        <v>2883</v>
      </c>
      <c r="H2661" s="9">
        <f t="shared" si="41"/>
        <v>0</v>
      </c>
      <c r="I2661" s="6">
        <v>11000</v>
      </c>
      <c r="J2661" s="6">
        <f>VLOOKUP(Table1[[#This Row],[Province]],[1]Sheet1!$A$3:$K$37,8,FALSE)</f>
        <v>3721400</v>
      </c>
      <c r="K2661">
        <v>0</v>
      </c>
      <c r="L2661" s="4">
        <v>1.64063</v>
      </c>
      <c r="M2661" s="4">
        <v>116.419389</v>
      </c>
      <c r="N2661" s="6"/>
      <c r="P2661"/>
      <c r="Q2661" s="12"/>
      <c r="R2661" s="12"/>
    </row>
    <row r="2662" spans="1:18" x14ac:dyDescent="0.2">
      <c r="A2662">
        <v>23</v>
      </c>
      <c r="B2662" t="s">
        <v>15</v>
      </c>
      <c r="C2662">
        <v>2014</v>
      </c>
      <c r="D2662">
        <v>9</v>
      </c>
      <c r="E2662" s="4">
        <v>0</v>
      </c>
      <c r="F2662" s="9">
        <v>0</v>
      </c>
      <c r="G2662" s="6">
        <v>2902</v>
      </c>
      <c r="H2662" s="9">
        <f t="shared" si="41"/>
        <v>0</v>
      </c>
      <c r="I2662" s="6">
        <v>11000</v>
      </c>
      <c r="J2662" s="6">
        <f>VLOOKUP(Table1[[#This Row],[Province]],[1]Sheet1!$A$3:$K$37,8,FALSE)</f>
        <v>3721400</v>
      </c>
      <c r="K2662">
        <v>0</v>
      </c>
      <c r="L2662" s="4">
        <v>1.64063</v>
      </c>
      <c r="M2662" s="4">
        <v>116.419389</v>
      </c>
      <c r="N2662" s="6"/>
      <c r="P2662"/>
      <c r="Q2662" s="12"/>
      <c r="R2662" s="12"/>
    </row>
    <row r="2663" spans="1:18" x14ac:dyDescent="0.2">
      <c r="A2663">
        <v>23</v>
      </c>
      <c r="B2663" t="s">
        <v>15</v>
      </c>
      <c r="C2663">
        <v>2014</v>
      </c>
      <c r="D2663">
        <v>10</v>
      </c>
      <c r="E2663" s="4">
        <v>0</v>
      </c>
      <c r="F2663" s="9">
        <v>0</v>
      </c>
      <c r="G2663" s="6">
        <v>4305</v>
      </c>
      <c r="H2663" s="9">
        <f t="shared" si="41"/>
        <v>0</v>
      </c>
      <c r="I2663" s="6">
        <v>11000</v>
      </c>
      <c r="J2663" s="6">
        <f>VLOOKUP(Table1[[#This Row],[Province]],[1]Sheet1!$A$3:$K$37,8,FALSE)</f>
        <v>3721400</v>
      </c>
      <c r="K2663">
        <v>0</v>
      </c>
      <c r="L2663" s="4">
        <v>1.64063</v>
      </c>
      <c r="M2663" s="4">
        <v>116.419389</v>
      </c>
      <c r="N2663" s="6"/>
      <c r="P2663"/>
      <c r="Q2663" s="12"/>
      <c r="R2663" s="12"/>
    </row>
    <row r="2664" spans="1:18" x14ac:dyDescent="0.2">
      <c r="A2664">
        <v>23</v>
      </c>
      <c r="B2664" t="s">
        <v>15</v>
      </c>
      <c r="C2664">
        <v>2014</v>
      </c>
      <c r="D2664">
        <v>11</v>
      </c>
      <c r="E2664" s="4">
        <v>0</v>
      </c>
      <c r="F2664" s="9">
        <v>0</v>
      </c>
      <c r="G2664" s="6">
        <v>3435</v>
      </c>
      <c r="H2664" s="9">
        <f t="shared" si="41"/>
        <v>0</v>
      </c>
      <c r="I2664" s="6">
        <v>11000</v>
      </c>
      <c r="J2664" s="6">
        <f>VLOOKUP(Table1[[#This Row],[Province]],[1]Sheet1!$A$3:$K$37,8,FALSE)</f>
        <v>3721400</v>
      </c>
      <c r="K2664">
        <v>0</v>
      </c>
      <c r="L2664" s="4">
        <v>1.64063</v>
      </c>
      <c r="M2664" s="4">
        <v>116.419389</v>
      </c>
      <c r="N2664" s="6"/>
      <c r="P2664"/>
      <c r="Q2664" s="12"/>
      <c r="R2664" s="12"/>
    </row>
    <row r="2665" spans="1:18" x14ac:dyDescent="0.2">
      <c r="A2665">
        <v>23</v>
      </c>
      <c r="B2665" t="s">
        <v>15</v>
      </c>
      <c r="C2665">
        <v>2014</v>
      </c>
      <c r="D2665">
        <v>12</v>
      </c>
      <c r="E2665" s="4">
        <v>0</v>
      </c>
      <c r="F2665" s="9">
        <v>0</v>
      </c>
      <c r="G2665" s="6">
        <v>4006</v>
      </c>
      <c r="H2665" s="9">
        <f t="shared" si="41"/>
        <v>0</v>
      </c>
      <c r="I2665" s="6">
        <v>11011</v>
      </c>
      <c r="J2665" s="6">
        <f>VLOOKUP(Table1[[#This Row],[Province]],[1]Sheet1!$A$3:$K$37,8,FALSE)</f>
        <v>3721400</v>
      </c>
      <c r="K2665">
        <v>1</v>
      </c>
      <c r="L2665" s="4">
        <v>1.64063</v>
      </c>
      <c r="M2665" s="4">
        <v>116.419389</v>
      </c>
      <c r="N2665" s="6"/>
      <c r="P2665"/>
      <c r="Q2665" s="12"/>
      <c r="R2665" s="12"/>
    </row>
    <row r="2666" spans="1:18" x14ac:dyDescent="0.2">
      <c r="A2666">
        <v>23</v>
      </c>
      <c r="B2666" t="s">
        <v>15</v>
      </c>
      <c r="C2666">
        <v>2015</v>
      </c>
      <c r="D2666">
        <v>1</v>
      </c>
      <c r="E2666" s="4">
        <v>0</v>
      </c>
      <c r="F2666" s="9">
        <v>0</v>
      </c>
      <c r="G2666" s="6">
        <v>1984</v>
      </c>
      <c r="H2666" s="9">
        <f t="shared" si="41"/>
        <v>0</v>
      </c>
      <c r="I2666" s="6">
        <v>11000</v>
      </c>
      <c r="J2666" s="6">
        <f>VLOOKUP(Table1[[#This Row],[Province]],[1]Sheet1!$A$3:$K$37,8,FALSE)</f>
        <v>3721400</v>
      </c>
      <c r="K2666">
        <v>0</v>
      </c>
      <c r="L2666" s="4">
        <v>1.64063</v>
      </c>
      <c r="M2666" s="4">
        <v>116.419389</v>
      </c>
      <c r="N2666" s="6"/>
      <c r="P2666"/>
      <c r="Q2666" s="12"/>
      <c r="R2666" s="12"/>
    </row>
    <row r="2667" spans="1:18" x14ac:dyDescent="0.2">
      <c r="A2667">
        <v>23</v>
      </c>
      <c r="B2667" t="s">
        <v>15</v>
      </c>
      <c r="C2667">
        <v>2015</v>
      </c>
      <c r="D2667">
        <v>2</v>
      </c>
      <c r="E2667" s="4">
        <v>0</v>
      </c>
      <c r="F2667" s="9">
        <v>0</v>
      </c>
      <c r="G2667" s="6">
        <v>5003</v>
      </c>
      <c r="H2667" s="9">
        <f t="shared" si="41"/>
        <v>0</v>
      </c>
      <c r="I2667" s="6">
        <v>11026</v>
      </c>
      <c r="J2667" s="6">
        <f>VLOOKUP(Table1[[#This Row],[Province]],[1]Sheet1!$A$3:$K$37,8,FALSE)</f>
        <v>3721400</v>
      </c>
      <c r="K2667">
        <v>0</v>
      </c>
      <c r="L2667" s="4">
        <v>1.64063</v>
      </c>
      <c r="M2667" s="4">
        <v>116.419389</v>
      </c>
      <c r="N2667" s="6"/>
      <c r="P2667"/>
      <c r="Q2667" s="12"/>
      <c r="R2667" s="12"/>
    </row>
    <row r="2668" spans="1:18" x14ac:dyDescent="0.2">
      <c r="A2668">
        <v>23</v>
      </c>
      <c r="B2668" t="s">
        <v>15</v>
      </c>
      <c r="C2668">
        <v>2015</v>
      </c>
      <c r="D2668">
        <v>3</v>
      </c>
      <c r="E2668" s="4">
        <v>0</v>
      </c>
      <c r="F2668" s="9">
        <v>0</v>
      </c>
      <c r="G2668" s="6">
        <v>2270</v>
      </c>
      <c r="H2668" s="9">
        <f t="shared" si="41"/>
        <v>0</v>
      </c>
      <c r="I2668" s="6">
        <v>11030</v>
      </c>
      <c r="J2668" s="6">
        <f>VLOOKUP(Table1[[#This Row],[Province]],[1]Sheet1!$A$3:$K$37,8,FALSE)</f>
        <v>3721400</v>
      </c>
      <c r="K2668">
        <v>0</v>
      </c>
      <c r="L2668" s="4">
        <v>1.64063</v>
      </c>
      <c r="M2668" s="4">
        <v>116.419389</v>
      </c>
      <c r="N2668" s="6"/>
      <c r="P2668"/>
      <c r="Q2668" s="12"/>
      <c r="R2668" s="12"/>
    </row>
    <row r="2669" spans="1:18" x14ac:dyDescent="0.2">
      <c r="A2669">
        <v>23</v>
      </c>
      <c r="B2669" t="s">
        <v>15</v>
      </c>
      <c r="C2669">
        <v>2015</v>
      </c>
      <c r="D2669">
        <v>4</v>
      </c>
      <c r="E2669" s="4">
        <v>0</v>
      </c>
      <c r="F2669" s="9">
        <v>0</v>
      </c>
      <c r="G2669" s="6">
        <v>3761</v>
      </c>
      <c r="H2669" s="9">
        <f t="shared" si="41"/>
        <v>0</v>
      </c>
      <c r="I2669" s="6">
        <v>11825</v>
      </c>
      <c r="J2669" s="6">
        <f>VLOOKUP(Table1[[#This Row],[Province]],[1]Sheet1!$A$3:$K$37,8,FALSE)</f>
        <v>3721400</v>
      </c>
      <c r="K2669">
        <v>0</v>
      </c>
      <c r="L2669" s="4">
        <v>1.64063</v>
      </c>
      <c r="M2669" s="4">
        <v>116.419389</v>
      </c>
      <c r="N2669" s="6"/>
      <c r="P2669"/>
      <c r="Q2669" s="12"/>
      <c r="R2669" s="12"/>
    </row>
    <row r="2670" spans="1:18" x14ac:dyDescent="0.2">
      <c r="A2670">
        <v>23</v>
      </c>
      <c r="B2670" t="s">
        <v>15</v>
      </c>
      <c r="C2670">
        <v>2015</v>
      </c>
      <c r="D2670">
        <v>5</v>
      </c>
      <c r="E2670" s="4">
        <v>0</v>
      </c>
      <c r="F2670" s="9">
        <v>0</v>
      </c>
      <c r="G2670" s="6">
        <v>3604</v>
      </c>
      <c r="H2670" s="9">
        <f t="shared" si="41"/>
        <v>0</v>
      </c>
      <c r="I2670" s="6">
        <v>13035</v>
      </c>
      <c r="J2670" s="6">
        <f>VLOOKUP(Table1[[#This Row],[Province]],[1]Sheet1!$A$3:$K$37,8,FALSE)</f>
        <v>3721400</v>
      </c>
      <c r="K2670">
        <v>0</v>
      </c>
      <c r="L2670" s="4">
        <v>1.64063</v>
      </c>
      <c r="M2670" s="4">
        <v>116.419389</v>
      </c>
      <c r="N2670" s="6"/>
      <c r="P2670"/>
      <c r="Q2670" s="12"/>
      <c r="R2670" s="12"/>
    </row>
    <row r="2671" spans="1:18" x14ac:dyDescent="0.2">
      <c r="A2671">
        <v>23</v>
      </c>
      <c r="B2671" t="s">
        <v>15</v>
      </c>
      <c r="C2671">
        <v>2015</v>
      </c>
      <c r="D2671">
        <v>6</v>
      </c>
      <c r="E2671" s="4">
        <v>0</v>
      </c>
      <c r="F2671" s="9">
        <v>0</v>
      </c>
      <c r="G2671" s="6">
        <v>4095</v>
      </c>
      <c r="H2671" s="9">
        <f t="shared" si="41"/>
        <v>0</v>
      </c>
      <c r="I2671" s="6">
        <v>13524</v>
      </c>
      <c r="J2671" s="6">
        <f>VLOOKUP(Table1[[#This Row],[Province]],[1]Sheet1!$A$3:$K$37,8,FALSE)</f>
        <v>3721400</v>
      </c>
      <c r="K2671">
        <v>1</v>
      </c>
      <c r="L2671" s="4">
        <v>1.64063</v>
      </c>
      <c r="M2671" s="4">
        <v>116.419389</v>
      </c>
      <c r="N2671" s="6"/>
      <c r="P2671"/>
      <c r="Q2671" s="12"/>
      <c r="R2671" s="12"/>
    </row>
    <row r="2672" spans="1:18" x14ac:dyDescent="0.2">
      <c r="A2672">
        <v>23</v>
      </c>
      <c r="B2672" t="s">
        <v>15</v>
      </c>
      <c r="C2672">
        <v>2015</v>
      </c>
      <c r="D2672">
        <v>7</v>
      </c>
      <c r="E2672" s="4">
        <v>0</v>
      </c>
      <c r="F2672" s="9">
        <v>0</v>
      </c>
      <c r="G2672" s="6">
        <v>2796</v>
      </c>
      <c r="H2672" s="9">
        <f t="shared" si="41"/>
        <v>0</v>
      </c>
      <c r="I2672" s="6">
        <v>13114</v>
      </c>
      <c r="J2672" s="6">
        <f>VLOOKUP(Table1[[#This Row],[Province]],[1]Sheet1!$A$3:$K$37,8,FALSE)</f>
        <v>3721400</v>
      </c>
      <c r="K2672">
        <v>0</v>
      </c>
      <c r="L2672" s="4">
        <v>1.64063</v>
      </c>
      <c r="M2672" s="4">
        <v>116.419389</v>
      </c>
      <c r="N2672" s="6"/>
      <c r="P2672"/>
      <c r="Q2672" s="12"/>
      <c r="R2672" s="12"/>
    </row>
    <row r="2673" spans="1:18" x14ac:dyDescent="0.2">
      <c r="A2673">
        <v>23</v>
      </c>
      <c r="B2673" t="s">
        <v>15</v>
      </c>
      <c r="C2673">
        <v>2015</v>
      </c>
      <c r="D2673">
        <v>8</v>
      </c>
      <c r="E2673" s="4">
        <v>0</v>
      </c>
      <c r="F2673" s="9">
        <v>0</v>
      </c>
      <c r="G2673" s="6">
        <v>2767</v>
      </c>
      <c r="H2673" s="9">
        <f t="shared" si="41"/>
        <v>0</v>
      </c>
      <c r="I2673" s="6">
        <v>12933</v>
      </c>
      <c r="J2673" s="6">
        <f>VLOOKUP(Table1[[#This Row],[Province]],[1]Sheet1!$A$3:$K$37,8,FALSE)</f>
        <v>3721400</v>
      </c>
      <c r="K2673">
        <v>0</v>
      </c>
      <c r="L2673" s="4">
        <v>1.64063</v>
      </c>
      <c r="M2673" s="4">
        <v>116.419389</v>
      </c>
      <c r="N2673" s="6"/>
      <c r="P2673"/>
      <c r="Q2673" s="12"/>
      <c r="R2673" s="12"/>
    </row>
    <row r="2674" spans="1:18" x14ac:dyDescent="0.2">
      <c r="A2674">
        <v>23</v>
      </c>
      <c r="B2674" t="s">
        <v>15</v>
      </c>
      <c r="C2674">
        <v>2015</v>
      </c>
      <c r="D2674">
        <v>9</v>
      </c>
      <c r="E2674" s="4">
        <v>0</v>
      </c>
      <c r="F2674" s="9">
        <v>0</v>
      </c>
      <c r="G2674" s="6">
        <v>3713</v>
      </c>
      <c r="H2674" s="9">
        <f t="shared" si="41"/>
        <v>0</v>
      </c>
      <c r="I2674" s="6">
        <v>12659</v>
      </c>
      <c r="J2674" s="6">
        <f>VLOOKUP(Table1[[#This Row],[Province]],[1]Sheet1!$A$3:$K$37,8,FALSE)</f>
        <v>3721400</v>
      </c>
      <c r="K2674">
        <v>0</v>
      </c>
      <c r="L2674" s="4">
        <v>1.64063</v>
      </c>
      <c r="M2674" s="4">
        <v>116.419389</v>
      </c>
      <c r="N2674" s="6"/>
      <c r="P2674"/>
      <c r="Q2674" s="12"/>
      <c r="R2674" s="12"/>
    </row>
    <row r="2675" spans="1:18" x14ac:dyDescent="0.2">
      <c r="A2675">
        <v>23</v>
      </c>
      <c r="B2675" t="s">
        <v>15</v>
      </c>
      <c r="C2675">
        <v>2015</v>
      </c>
      <c r="D2675">
        <v>10</v>
      </c>
      <c r="E2675" s="4">
        <v>0</v>
      </c>
      <c r="F2675" s="9">
        <v>0</v>
      </c>
      <c r="G2675" s="6">
        <v>2475</v>
      </c>
      <c r="H2675" s="9">
        <f t="shared" si="41"/>
        <v>0</v>
      </c>
      <c r="I2675" s="6">
        <v>12555</v>
      </c>
      <c r="J2675" s="6">
        <f>VLOOKUP(Table1[[#This Row],[Province]],[1]Sheet1!$A$3:$K$37,8,FALSE)</f>
        <v>3721400</v>
      </c>
      <c r="K2675">
        <v>0</v>
      </c>
      <c r="L2675" s="4">
        <v>1.64063</v>
      </c>
      <c r="M2675" s="4">
        <v>116.419389</v>
      </c>
      <c r="N2675" s="6"/>
      <c r="P2675"/>
      <c r="Q2675" s="12"/>
      <c r="R2675" s="12"/>
    </row>
    <row r="2676" spans="1:18" x14ac:dyDescent="0.2">
      <c r="A2676">
        <v>23</v>
      </c>
      <c r="B2676" t="s">
        <v>15</v>
      </c>
      <c r="C2676">
        <v>2015</v>
      </c>
      <c r="D2676">
        <v>11</v>
      </c>
      <c r="E2676" s="4">
        <v>0</v>
      </c>
      <c r="F2676" s="9">
        <v>0</v>
      </c>
      <c r="G2676" s="6">
        <v>3264</v>
      </c>
      <c r="H2676" s="9">
        <f t="shared" si="41"/>
        <v>0</v>
      </c>
      <c r="I2676" s="6">
        <v>12833</v>
      </c>
      <c r="J2676" s="6">
        <f>VLOOKUP(Table1[[#This Row],[Province]],[1]Sheet1!$A$3:$K$37,8,FALSE)</f>
        <v>3721400</v>
      </c>
      <c r="K2676">
        <v>0</v>
      </c>
      <c r="L2676" s="4">
        <v>1.64063</v>
      </c>
      <c r="M2676" s="4">
        <v>116.419389</v>
      </c>
      <c r="N2676" s="6"/>
      <c r="P2676"/>
      <c r="Q2676" s="12"/>
      <c r="R2676" s="12"/>
    </row>
    <row r="2677" spans="1:18" x14ac:dyDescent="0.2">
      <c r="A2677">
        <v>23</v>
      </c>
      <c r="B2677" t="s">
        <v>15</v>
      </c>
      <c r="C2677">
        <v>2015</v>
      </c>
      <c r="D2677">
        <v>12</v>
      </c>
      <c r="E2677" s="4">
        <v>0</v>
      </c>
      <c r="F2677" s="9">
        <v>0</v>
      </c>
      <c r="G2677" s="6">
        <v>3498</v>
      </c>
      <c r="H2677" s="9">
        <f t="shared" si="41"/>
        <v>0</v>
      </c>
      <c r="I2677" s="6">
        <v>12975</v>
      </c>
      <c r="J2677" s="6">
        <f>VLOOKUP(Table1[[#This Row],[Province]],[1]Sheet1!$A$3:$K$37,8,FALSE)</f>
        <v>3721400</v>
      </c>
      <c r="K2677">
        <v>1</v>
      </c>
      <c r="L2677" s="4">
        <v>1.64063</v>
      </c>
      <c r="M2677" s="4">
        <v>116.419389</v>
      </c>
      <c r="N2677" s="6"/>
      <c r="P2677"/>
      <c r="Q2677" s="12"/>
      <c r="R2677" s="12"/>
    </row>
    <row r="2678" spans="1:18" x14ac:dyDescent="0.2">
      <c r="A2678">
        <v>23</v>
      </c>
      <c r="B2678" t="s">
        <v>15</v>
      </c>
      <c r="C2678">
        <v>2016</v>
      </c>
      <c r="D2678">
        <v>1</v>
      </c>
      <c r="E2678" s="4">
        <v>0</v>
      </c>
      <c r="F2678" s="9">
        <v>0</v>
      </c>
      <c r="G2678" s="6">
        <v>3157</v>
      </c>
      <c r="H2678" s="9">
        <f t="shared" si="41"/>
        <v>0</v>
      </c>
      <c r="I2678" s="6">
        <v>13167</v>
      </c>
      <c r="J2678" s="6">
        <f>VLOOKUP(Table1[[#This Row],[Province]],[1]Sheet1!$A$3:$K$37,8,FALSE)</f>
        <v>3721400</v>
      </c>
      <c r="K2678">
        <v>0</v>
      </c>
      <c r="L2678" s="4">
        <v>1.64063</v>
      </c>
      <c r="M2678" s="4">
        <v>116.419389</v>
      </c>
      <c r="N2678" s="13">
        <v>-0.38</v>
      </c>
      <c r="P2678"/>
      <c r="Q2678" s="12"/>
      <c r="R2678" s="12"/>
    </row>
    <row r="2679" spans="1:18" x14ac:dyDescent="0.2">
      <c r="A2679">
        <v>23</v>
      </c>
      <c r="B2679" t="s">
        <v>15</v>
      </c>
      <c r="C2679">
        <v>2016</v>
      </c>
      <c r="D2679">
        <v>2</v>
      </c>
      <c r="E2679" s="4">
        <v>0</v>
      </c>
      <c r="F2679" s="9">
        <v>0</v>
      </c>
      <c r="G2679" s="6">
        <v>2480</v>
      </c>
      <c r="H2679" s="9">
        <f t="shared" si="41"/>
        <v>0</v>
      </c>
      <c r="I2679" s="6">
        <v>13333</v>
      </c>
      <c r="J2679" s="6">
        <f>VLOOKUP(Table1[[#This Row],[Province]],[1]Sheet1!$A$3:$K$37,8,FALSE)</f>
        <v>3721400</v>
      </c>
      <c r="K2679">
        <v>0</v>
      </c>
      <c r="L2679" s="4">
        <v>1.64063</v>
      </c>
      <c r="M2679" s="4">
        <v>116.419389</v>
      </c>
      <c r="N2679" s="13">
        <v>-0.38</v>
      </c>
      <c r="P2679"/>
      <c r="Q2679" s="12"/>
      <c r="R2679" s="12"/>
    </row>
    <row r="2680" spans="1:18" x14ac:dyDescent="0.2">
      <c r="A2680">
        <v>23</v>
      </c>
      <c r="B2680" t="s">
        <v>15</v>
      </c>
      <c r="C2680">
        <v>2016</v>
      </c>
      <c r="D2680">
        <v>3</v>
      </c>
      <c r="E2680" s="4">
        <v>0</v>
      </c>
      <c r="F2680" s="9">
        <v>0</v>
      </c>
      <c r="G2680" s="6">
        <v>5484</v>
      </c>
      <c r="H2680" s="9">
        <f t="shared" si="41"/>
        <v>0</v>
      </c>
      <c r="I2680" s="6">
        <v>13270</v>
      </c>
      <c r="J2680" s="6">
        <f>VLOOKUP(Table1[[#This Row],[Province]],[1]Sheet1!$A$3:$K$37,8,FALSE)</f>
        <v>3721400</v>
      </c>
      <c r="K2680">
        <v>0</v>
      </c>
      <c r="L2680" s="4">
        <v>1.64063</v>
      </c>
      <c r="M2680" s="4">
        <v>116.419389</v>
      </c>
      <c r="N2680" s="13">
        <v>-0.38</v>
      </c>
      <c r="P2680"/>
      <c r="Q2680" s="12"/>
      <c r="R2680" s="12"/>
    </row>
    <row r="2681" spans="1:18" x14ac:dyDescent="0.2">
      <c r="A2681">
        <v>23</v>
      </c>
      <c r="B2681" t="s">
        <v>15</v>
      </c>
      <c r="C2681">
        <v>2016</v>
      </c>
      <c r="D2681">
        <v>4</v>
      </c>
      <c r="E2681" s="4">
        <v>0</v>
      </c>
      <c r="F2681" s="9">
        <v>0</v>
      </c>
      <c r="G2681" s="6">
        <v>5401</v>
      </c>
      <c r="H2681" s="9">
        <f t="shared" si="41"/>
        <v>0</v>
      </c>
      <c r="I2681" s="6">
        <v>13175</v>
      </c>
      <c r="J2681" s="6">
        <f>VLOOKUP(Table1[[#This Row],[Province]],[1]Sheet1!$A$3:$K$37,8,FALSE)</f>
        <v>3721400</v>
      </c>
      <c r="K2681">
        <v>0</v>
      </c>
      <c r="L2681" s="4">
        <v>1.64063</v>
      </c>
      <c r="M2681" s="4">
        <v>116.419389</v>
      </c>
      <c r="N2681" s="13">
        <v>-0.38</v>
      </c>
      <c r="P2681"/>
      <c r="Q2681" s="12"/>
      <c r="R2681" s="12"/>
    </row>
    <row r="2682" spans="1:18" x14ac:dyDescent="0.2">
      <c r="A2682">
        <v>23</v>
      </c>
      <c r="B2682" t="s">
        <v>15</v>
      </c>
      <c r="C2682">
        <v>2016</v>
      </c>
      <c r="D2682">
        <v>5</v>
      </c>
      <c r="E2682" s="4">
        <v>0</v>
      </c>
      <c r="F2682" s="9">
        <v>0</v>
      </c>
      <c r="G2682" s="6">
        <v>3868</v>
      </c>
      <c r="H2682" s="9">
        <f t="shared" si="41"/>
        <v>0</v>
      </c>
      <c r="I2682" s="6">
        <v>15417</v>
      </c>
      <c r="J2682" s="6">
        <f>VLOOKUP(Table1[[#This Row],[Province]],[1]Sheet1!$A$3:$K$37,8,FALSE)</f>
        <v>3721400</v>
      </c>
      <c r="K2682">
        <v>0</v>
      </c>
      <c r="L2682" s="4">
        <v>1.64063</v>
      </c>
      <c r="M2682" s="4">
        <v>116.419389</v>
      </c>
      <c r="N2682" s="13">
        <v>-0.38</v>
      </c>
      <c r="P2682"/>
      <c r="Q2682" s="12"/>
      <c r="R2682" s="12"/>
    </row>
    <row r="2683" spans="1:18" x14ac:dyDescent="0.2">
      <c r="A2683">
        <v>23</v>
      </c>
      <c r="B2683" t="s">
        <v>15</v>
      </c>
      <c r="C2683">
        <v>2016</v>
      </c>
      <c r="D2683">
        <v>6</v>
      </c>
      <c r="E2683" s="4">
        <v>0</v>
      </c>
      <c r="F2683" s="9">
        <v>0</v>
      </c>
      <c r="G2683" s="6">
        <v>3589</v>
      </c>
      <c r="H2683" s="9">
        <f t="shared" si="41"/>
        <v>0</v>
      </c>
      <c r="I2683" s="6">
        <v>16137</v>
      </c>
      <c r="J2683" s="6">
        <f>VLOOKUP(Table1[[#This Row],[Province]],[1]Sheet1!$A$3:$K$37,8,FALSE)</f>
        <v>3721400</v>
      </c>
      <c r="K2683">
        <v>1</v>
      </c>
      <c r="L2683" s="4">
        <v>1.64063</v>
      </c>
      <c r="M2683" s="4">
        <v>116.419389</v>
      </c>
      <c r="N2683" s="13">
        <v>-0.38</v>
      </c>
      <c r="P2683"/>
      <c r="Q2683" s="12"/>
      <c r="R2683" s="12"/>
    </row>
    <row r="2684" spans="1:18" x14ac:dyDescent="0.2">
      <c r="A2684">
        <v>23</v>
      </c>
      <c r="B2684" t="s">
        <v>15</v>
      </c>
      <c r="C2684">
        <v>2016</v>
      </c>
      <c r="D2684">
        <v>7</v>
      </c>
      <c r="E2684" s="4">
        <v>0</v>
      </c>
      <c r="F2684" s="9">
        <v>0</v>
      </c>
      <c r="G2684" s="6">
        <v>3424</v>
      </c>
      <c r="H2684" s="9">
        <f t="shared" si="41"/>
        <v>0</v>
      </c>
      <c r="I2684" s="6">
        <v>17000</v>
      </c>
      <c r="J2684" s="6">
        <f>VLOOKUP(Table1[[#This Row],[Province]],[1]Sheet1!$A$3:$K$37,8,FALSE)</f>
        <v>3721400</v>
      </c>
      <c r="K2684">
        <v>0</v>
      </c>
      <c r="L2684" s="4">
        <v>1.64063</v>
      </c>
      <c r="M2684" s="4">
        <v>116.419389</v>
      </c>
      <c r="N2684" s="13">
        <v>-0.38</v>
      </c>
      <c r="P2684"/>
      <c r="Q2684" s="12"/>
      <c r="R2684" s="12"/>
    </row>
    <row r="2685" spans="1:18" x14ac:dyDescent="0.2">
      <c r="A2685">
        <v>23</v>
      </c>
      <c r="B2685" t="s">
        <v>15</v>
      </c>
      <c r="C2685">
        <v>2016</v>
      </c>
      <c r="D2685">
        <v>8</v>
      </c>
      <c r="E2685" s="4">
        <v>0</v>
      </c>
      <c r="F2685" s="9">
        <v>0</v>
      </c>
      <c r="G2685" s="6">
        <v>3384</v>
      </c>
      <c r="H2685" s="9">
        <f t="shared" si="41"/>
        <v>0</v>
      </c>
      <c r="I2685" s="6">
        <v>16363</v>
      </c>
      <c r="J2685" s="6">
        <f>VLOOKUP(Table1[[#This Row],[Province]],[1]Sheet1!$A$3:$K$37,8,FALSE)</f>
        <v>3721400</v>
      </c>
      <c r="K2685">
        <v>0</v>
      </c>
      <c r="L2685" s="4">
        <v>1.64063</v>
      </c>
      <c r="M2685" s="4">
        <v>116.419389</v>
      </c>
      <c r="N2685" s="13">
        <v>-0.38</v>
      </c>
      <c r="P2685"/>
      <c r="Q2685" s="12"/>
      <c r="R2685" s="12"/>
    </row>
    <row r="2686" spans="1:18" x14ac:dyDescent="0.2">
      <c r="A2686">
        <v>23</v>
      </c>
      <c r="B2686" t="s">
        <v>15</v>
      </c>
      <c r="C2686">
        <v>2016</v>
      </c>
      <c r="D2686">
        <v>9</v>
      </c>
      <c r="E2686" s="4">
        <v>0</v>
      </c>
      <c r="F2686" s="9">
        <v>0</v>
      </c>
      <c r="G2686" s="6">
        <v>1308</v>
      </c>
      <c r="H2686" s="9">
        <f t="shared" si="41"/>
        <v>0</v>
      </c>
      <c r="I2686" s="6">
        <v>14682</v>
      </c>
      <c r="J2686" s="6">
        <f>VLOOKUP(Table1[[#This Row],[Province]],[1]Sheet1!$A$3:$K$37,8,FALSE)</f>
        <v>3721400</v>
      </c>
      <c r="K2686">
        <v>0</v>
      </c>
      <c r="L2686" s="4">
        <v>1.64063</v>
      </c>
      <c r="M2686" s="4">
        <v>116.419389</v>
      </c>
      <c r="N2686" s="13">
        <v>-0.38</v>
      </c>
      <c r="P2686"/>
      <c r="Q2686" s="12"/>
      <c r="R2686" s="12"/>
    </row>
    <row r="2687" spans="1:18" x14ac:dyDescent="0.2">
      <c r="A2687">
        <v>23</v>
      </c>
      <c r="B2687" t="s">
        <v>15</v>
      </c>
      <c r="C2687">
        <v>2016</v>
      </c>
      <c r="D2687">
        <v>10</v>
      </c>
      <c r="E2687" s="4">
        <v>0</v>
      </c>
      <c r="F2687" s="9">
        <v>0</v>
      </c>
      <c r="G2687" s="6">
        <v>5713</v>
      </c>
      <c r="H2687" s="9">
        <f t="shared" si="41"/>
        <v>0</v>
      </c>
      <c r="I2687" s="6">
        <v>13833</v>
      </c>
      <c r="J2687" s="6">
        <f>VLOOKUP(Table1[[#This Row],[Province]],[1]Sheet1!$A$3:$K$37,8,FALSE)</f>
        <v>3721400</v>
      </c>
      <c r="K2687">
        <v>0</v>
      </c>
      <c r="L2687" s="4">
        <v>1.64063</v>
      </c>
      <c r="M2687" s="4">
        <v>116.419389</v>
      </c>
      <c r="N2687" s="13">
        <v>-0.38</v>
      </c>
      <c r="P2687"/>
      <c r="Q2687" s="12"/>
      <c r="R2687" s="12"/>
    </row>
    <row r="2688" spans="1:18" x14ac:dyDescent="0.2">
      <c r="A2688">
        <v>23</v>
      </c>
      <c r="B2688" t="s">
        <v>15</v>
      </c>
      <c r="C2688">
        <v>2016</v>
      </c>
      <c r="D2688">
        <v>11</v>
      </c>
      <c r="E2688" s="4">
        <v>0</v>
      </c>
      <c r="F2688" s="9">
        <v>0</v>
      </c>
      <c r="G2688" s="6">
        <v>1618</v>
      </c>
      <c r="H2688" s="9">
        <f t="shared" si="41"/>
        <v>0</v>
      </c>
      <c r="I2688" s="6">
        <v>13788</v>
      </c>
      <c r="J2688" s="6">
        <f>VLOOKUP(Table1[[#This Row],[Province]],[1]Sheet1!$A$3:$K$37,8,FALSE)</f>
        <v>3721400</v>
      </c>
      <c r="K2688">
        <v>0</v>
      </c>
      <c r="L2688" s="4">
        <v>1.64063</v>
      </c>
      <c r="M2688" s="4">
        <v>116.419389</v>
      </c>
      <c r="N2688" s="13">
        <v>-0.38</v>
      </c>
      <c r="P2688"/>
      <c r="Q2688" s="12"/>
      <c r="R2688" s="12"/>
    </row>
    <row r="2689" spans="1:18" x14ac:dyDescent="0.2">
      <c r="A2689">
        <v>23</v>
      </c>
      <c r="B2689" t="s">
        <v>15</v>
      </c>
      <c r="C2689">
        <v>2016</v>
      </c>
      <c r="D2689">
        <v>12</v>
      </c>
      <c r="E2689" s="4">
        <v>0</v>
      </c>
      <c r="F2689" s="9">
        <v>0</v>
      </c>
      <c r="G2689" s="6">
        <v>1619</v>
      </c>
      <c r="H2689" s="9">
        <f t="shared" si="41"/>
        <v>0</v>
      </c>
      <c r="I2689" s="6">
        <v>13667</v>
      </c>
      <c r="J2689" s="6">
        <f>VLOOKUP(Table1[[#This Row],[Province]],[1]Sheet1!$A$3:$K$37,8,FALSE)</f>
        <v>3721400</v>
      </c>
      <c r="K2689">
        <v>1</v>
      </c>
      <c r="L2689" s="4">
        <v>1.64063</v>
      </c>
      <c r="M2689" s="4">
        <v>116.419389</v>
      </c>
      <c r="N2689" s="13">
        <v>-0.38</v>
      </c>
      <c r="P2689"/>
      <c r="Q2689" s="12"/>
      <c r="R2689" s="12"/>
    </row>
    <row r="2690" spans="1:18" x14ac:dyDescent="0.2">
      <c r="A2690">
        <v>23</v>
      </c>
      <c r="B2690" t="s">
        <v>15</v>
      </c>
      <c r="C2690">
        <v>2017</v>
      </c>
      <c r="D2690">
        <v>1</v>
      </c>
      <c r="E2690" s="4">
        <v>0</v>
      </c>
      <c r="F2690" s="9">
        <v>0</v>
      </c>
      <c r="G2690" s="6">
        <v>3256</v>
      </c>
      <c r="H2690" s="9">
        <f t="shared" ref="H2690:H2753" si="42">F2690+E2690</f>
        <v>0</v>
      </c>
      <c r="I2690" s="6">
        <v>13754</v>
      </c>
      <c r="J2690" s="6">
        <f>VLOOKUP(Table1[[#This Row],[Province]],[1]Sheet1!$A$3:$K$37,8,FALSE)</f>
        <v>3721400</v>
      </c>
      <c r="K2690">
        <v>0</v>
      </c>
      <c r="L2690" s="4">
        <v>1.64063</v>
      </c>
      <c r="M2690" s="4">
        <v>116.419389</v>
      </c>
      <c r="N2690" s="13">
        <v>3.13</v>
      </c>
      <c r="P2690"/>
      <c r="Q2690" s="12"/>
      <c r="R2690" s="12"/>
    </row>
    <row r="2691" spans="1:18" x14ac:dyDescent="0.2">
      <c r="A2691">
        <v>23</v>
      </c>
      <c r="B2691" t="s">
        <v>15</v>
      </c>
      <c r="C2691">
        <v>2017</v>
      </c>
      <c r="D2691">
        <v>2</v>
      </c>
      <c r="E2691" s="4">
        <v>0</v>
      </c>
      <c r="F2691" s="9">
        <v>0</v>
      </c>
      <c r="G2691" s="6">
        <v>1870</v>
      </c>
      <c r="H2691" s="9">
        <f t="shared" si="42"/>
        <v>0</v>
      </c>
      <c r="I2691" s="6">
        <v>13623</v>
      </c>
      <c r="J2691" s="6">
        <f>VLOOKUP(Table1[[#This Row],[Province]],[1]Sheet1!$A$3:$K$37,8,FALSE)</f>
        <v>3721400</v>
      </c>
      <c r="K2691">
        <v>0</v>
      </c>
      <c r="L2691" s="4">
        <v>1.64063</v>
      </c>
      <c r="M2691" s="4">
        <v>116.419389</v>
      </c>
      <c r="N2691" s="13">
        <v>3.13</v>
      </c>
      <c r="P2691"/>
      <c r="Q2691" s="12"/>
      <c r="R2691" s="12"/>
    </row>
    <row r="2692" spans="1:18" x14ac:dyDescent="0.2">
      <c r="A2692">
        <v>23</v>
      </c>
      <c r="B2692" t="s">
        <v>15</v>
      </c>
      <c r="C2692">
        <v>2017</v>
      </c>
      <c r="D2692">
        <v>3</v>
      </c>
      <c r="E2692" s="4">
        <v>0</v>
      </c>
      <c r="F2692" s="9">
        <v>0</v>
      </c>
      <c r="G2692" s="6">
        <v>1462</v>
      </c>
      <c r="H2692" s="9">
        <f t="shared" si="42"/>
        <v>0</v>
      </c>
      <c r="I2692" s="6">
        <v>13197</v>
      </c>
      <c r="J2692" s="6">
        <f>VLOOKUP(Table1[[#This Row],[Province]],[1]Sheet1!$A$3:$K$37,8,FALSE)</f>
        <v>3721400</v>
      </c>
      <c r="K2692">
        <v>0</v>
      </c>
      <c r="L2692" s="4">
        <v>1.64063</v>
      </c>
      <c r="M2692" s="4">
        <v>116.419389</v>
      </c>
      <c r="N2692" s="13">
        <v>3.13</v>
      </c>
      <c r="P2692"/>
      <c r="Q2692" s="12"/>
      <c r="R2692" s="12"/>
    </row>
    <row r="2693" spans="1:18" x14ac:dyDescent="0.2">
      <c r="A2693">
        <v>23</v>
      </c>
      <c r="B2693" t="s">
        <v>15</v>
      </c>
      <c r="C2693">
        <v>2017</v>
      </c>
      <c r="D2693">
        <v>4</v>
      </c>
      <c r="E2693" s="4">
        <v>0</v>
      </c>
      <c r="F2693" s="9">
        <v>0</v>
      </c>
      <c r="G2693" s="6">
        <v>1044</v>
      </c>
      <c r="H2693" s="9">
        <f t="shared" si="42"/>
        <v>0</v>
      </c>
      <c r="I2693" s="6">
        <v>13079</v>
      </c>
      <c r="J2693" s="6">
        <f>VLOOKUP(Table1[[#This Row],[Province]],[1]Sheet1!$A$3:$K$37,8,FALSE)</f>
        <v>3721400</v>
      </c>
      <c r="K2693">
        <v>0</v>
      </c>
      <c r="L2693" s="4">
        <v>1.64063</v>
      </c>
      <c r="M2693" s="4">
        <v>116.419389</v>
      </c>
      <c r="N2693" s="13">
        <v>3.13</v>
      </c>
      <c r="P2693"/>
      <c r="Q2693" s="12"/>
      <c r="R2693" s="12"/>
    </row>
    <row r="2694" spans="1:18" x14ac:dyDescent="0.2">
      <c r="A2694">
        <v>23</v>
      </c>
      <c r="B2694" t="s">
        <v>15</v>
      </c>
      <c r="C2694">
        <v>2017</v>
      </c>
      <c r="D2694">
        <v>5</v>
      </c>
      <c r="E2694" s="4">
        <v>0</v>
      </c>
      <c r="F2694" s="9">
        <v>0</v>
      </c>
      <c r="G2694" s="6">
        <v>1006</v>
      </c>
      <c r="H2694" s="9">
        <f t="shared" si="42"/>
        <v>0</v>
      </c>
      <c r="I2694" s="6">
        <v>13150</v>
      </c>
      <c r="J2694" s="6">
        <f>VLOOKUP(Table1[[#This Row],[Province]],[1]Sheet1!$A$3:$K$37,8,FALSE)</f>
        <v>3721400</v>
      </c>
      <c r="K2694">
        <v>1</v>
      </c>
      <c r="L2694" s="4">
        <v>1.64063</v>
      </c>
      <c r="M2694" s="4">
        <v>116.419389</v>
      </c>
      <c r="N2694" s="13">
        <v>3.13</v>
      </c>
      <c r="P2694"/>
      <c r="Q2694" s="12"/>
      <c r="R2694" s="12"/>
    </row>
    <row r="2695" spans="1:18" x14ac:dyDescent="0.2">
      <c r="A2695">
        <v>23</v>
      </c>
      <c r="B2695" t="s">
        <v>15</v>
      </c>
      <c r="C2695">
        <v>2017</v>
      </c>
      <c r="D2695">
        <v>6</v>
      </c>
      <c r="E2695" s="4">
        <v>0</v>
      </c>
      <c r="F2695" s="9">
        <v>0</v>
      </c>
      <c r="G2695" s="6">
        <v>1860</v>
      </c>
      <c r="H2695" s="9">
        <f t="shared" si="42"/>
        <v>0</v>
      </c>
      <c r="I2695" s="6">
        <v>13000</v>
      </c>
      <c r="J2695" s="6">
        <f>VLOOKUP(Table1[[#This Row],[Province]],[1]Sheet1!$A$3:$K$37,8,FALSE)</f>
        <v>3721400</v>
      </c>
      <c r="K2695">
        <v>0</v>
      </c>
      <c r="L2695" s="4">
        <v>1.64063</v>
      </c>
      <c r="M2695" s="4">
        <v>116.419389</v>
      </c>
      <c r="N2695" s="13">
        <v>3.13</v>
      </c>
      <c r="P2695"/>
      <c r="Q2695" s="12"/>
      <c r="R2695" s="12"/>
    </row>
    <row r="2696" spans="1:18" x14ac:dyDescent="0.2">
      <c r="A2696">
        <v>23</v>
      </c>
      <c r="B2696" t="s">
        <v>15</v>
      </c>
      <c r="C2696">
        <v>2017</v>
      </c>
      <c r="D2696">
        <v>7</v>
      </c>
      <c r="E2696" s="4">
        <v>0</v>
      </c>
      <c r="F2696" s="9">
        <v>0</v>
      </c>
      <c r="G2696" s="6">
        <v>2071</v>
      </c>
      <c r="H2696" s="9">
        <f t="shared" si="42"/>
        <v>0</v>
      </c>
      <c r="I2696" s="6">
        <v>13000</v>
      </c>
      <c r="J2696" s="6">
        <f>VLOOKUP(Table1[[#This Row],[Province]],[1]Sheet1!$A$3:$K$37,8,FALSE)</f>
        <v>3721400</v>
      </c>
      <c r="K2696">
        <v>0</v>
      </c>
      <c r="L2696" s="4">
        <v>1.64063</v>
      </c>
      <c r="M2696" s="4">
        <v>116.419389</v>
      </c>
      <c r="N2696" s="13">
        <v>3.13</v>
      </c>
      <c r="P2696"/>
      <c r="Q2696" s="12"/>
      <c r="R2696" s="12"/>
    </row>
    <row r="2697" spans="1:18" x14ac:dyDescent="0.2">
      <c r="A2697">
        <v>23</v>
      </c>
      <c r="B2697" t="s">
        <v>15</v>
      </c>
      <c r="C2697">
        <v>2017</v>
      </c>
      <c r="D2697">
        <v>8</v>
      </c>
      <c r="E2697" s="4">
        <v>0</v>
      </c>
      <c r="F2697" s="9">
        <v>0</v>
      </c>
      <c r="G2697" s="6">
        <v>3970</v>
      </c>
      <c r="H2697" s="9">
        <f t="shared" si="42"/>
        <v>0</v>
      </c>
      <c r="I2697" s="6">
        <v>13363</v>
      </c>
      <c r="J2697" s="6">
        <f>VLOOKUP(Table1[[#This Row],[Province]],[1]Sheet1!$A$3:$K$37,8,FALSE)</f>
        <v>3721400</v>
      </c>
      <c r="K2697">
        <v>0</v>
      </c>
      <c r="L2697" s="4">
        <v>1.64063</v>
      </c>
      <c r="M2697" s="4">
        <v>116.419389</v>
      </c>
      <c r="N2697" s="13">
        <v>3.13</v>
      </c>
      <c r="P2697"/>
      <c r="Q2697" s="12"/>
      <c r="R2697" s="12"/>
    </row>
    <row r="2698" spans="1:18" x14ac:dyDescent="0.2">
      <c r="A2698">
        <v>23</v>
      </c>
      <c r="B2698" t="s">
        <v>15</v>
      </c>
      <c r="C2698">
        <v>2017</v>
      </c>
      <c r="D2698">
        <v>9</v>
      </c>
      <c r="E2698" s="4">
        <v>0</v>
      </c>
      <c r="F2698" s="9">
        <v>0</v>
      </c>
      <c r="G2698" s="6">
        <v>3847</v>
      </c>
      <c r="H2698" s="9">
        <f t="shared" si="42"/>
        <v>0</v>
      </c>
      <c r="I2698" s="6">
        <v>13333</v>
      </c>
      <c r="J2698" s="6">
        <f>VLOOKUP(Table1[[#This Row],[Province]],[1]Sheet1!$A$3:$K$37,8,FALSE)</f>
        <v>3721400</v>
      </c>
      <c r="K2698">
        <v>0</v>
      </c>
      <c r="L2698" s="4">
        <v>1.64063</v>
      </c>
      <c r="M2698" s="4">
        <v>116.419389</v>
      </c>
      <c r="N2698" s="13">
        <v>3.13</v>
      </c>
      <c r="P2698"/>
      <c r="Q2698" s="12"/>
      <c r="R2698" s="12"/>
    </row>
    <row r="2699" spans="1:18" x14ac:dyDescent="0.2">
      <c r="A2699">
        <v>23</v>
      </c>
      <c r="B2699" t="s">
        <v>15</v>
      </c>
      <c r="C2699">
        <v>2017</v>
      </c>
      <c r="D2699">
        <v>10</v>
      </c>
      <c r="E2699" s="4">
        <v>0</v>
      </c>
      <c r="F2699" s="9">
        <v>2E-3</v>
      </c>
      <c r="G2699" s="6">
        <v>4993</v>
      </c>
      <c r="H2699" s="9">
        <f t="shared" si="42"/>
        <v>2E-3</v>
      </c>
      <c r="I2699" s="6">
        <v>12530</v>
      </c>
      <c r="J2699" s="6">
        <f>VLOOKUP(Table1[[#This Row],[Province]],[1]Sheet1!$A$3:$K$37,8,FALSE)</f>
        <v>3721400</v>
      </c>
      <c r="K2699">
        <v>0</v>
      </c>
      <c r="L2699" s="4">
        <v>1.64063</v>
      </c>
      <c r="M2699" s="4">
        <v>116.419389</v>
      </c>
      <c r="N2699" s="13">
        <v>3.13</v>
      </c>
      <c r="P2699"/>
      <c r="Q2699" s="12"/>
      <c r="R2699" s="12"/>
    </row>
    <row r="2700" spans="1:18" x14ac:dyDescent="0.2">
      <c r="A2700">
        <v>23</v>
      </c>
      <c r="B2700" t="s">
        <v>15</v>
      </c>
      <c r="C2700">
        <v>2017</v>
      </c>
      <c r="D2700">
        <v>11</v>
      </c>
      <c r="E2700" s="4">
        <v>0</v>
      </c>
      <c r="F2700" s="9">
        <v>0</v>
      </c>
      <c r="G2700" s="6">
        <v>1305</v>
      </c>
      <c r="H2700" s="9">
        <f t="shared" si="42"/>
        <v>0</v>
      </c>
      <c r="I2700" s="6">
        <v>12000</v>
      </c>
      <c r="J2700" s="6">
        <f>VLOOKUP(Table1[[#This Row],[Province]],[1]Sheet1!$A$3:$K$37,8,FALSE)</f>
        <v>3721400</v>
      </c>
      <c r="K2700">
        <v>0</v>
      </c>
      <c r="L2700" s="4">
        <v>1.64063</v>
      </c>
      <c r="M2700" s="4">
        <v>116.419389</v>
      </c>
      <c r="N2700" s="13">
        <v>3.13</v>
      </c>
      <c r="P2700"/>
      <c r="Q2700" s="12"/>
      <c r="R2700" s="12"/>
    </row>
    <row r="2701" spans="1:18" x14ac:dyDescent="0.2">
      <c r="A2701">
        <v>23</v>
      </c>
      <c r="B2701" t="s">
        <v>15</v>
      </c>
      <c r="C2701">
        <v>2017</v>
      </c>
      <c r="D2701">
        <v>12</v>
      </c>
      <c r="E2701" s="4">
        <v>0</v>
      </c>
      <c r="F2701" s="9">
        <v>2E-3</v>
      </c>
      <c r="G2701" s="6">
        <v>2431</v>
      </c>
      <c r="H2701" s="9">
        <f t="shared" si="42"/>
        <v>2E-3</v>
      </c>
      <c r="I2701" s="6">
        <v>12019</v>
      </c>
      <c r="J2701" s="6">
        <f>VLOOKUP(Table1[[#This Row],[Province]],[1]Sheet1!$A$3:$K$37,8,FALSE)</f>
        <v>3721400</v>
      </c>
      <c r="K2701">
        <v>1</v>
      </c>
      <c r="L2701" s="4">
        <v>1.64063</v>
      </c>
      <c r="M2701" s="4">
        <v>116.419389</v>
      </c>
      <c r="N2701" s="13">
        <v>3.13</v>
      </c>
      <c r="P2701"/>
      <c r="Q2701" s="12"/>
      <c r="R2701" s="12"/>
    </row>
    <row r="2702" spans="1:18" x14ac:dyDescent="0.2">
      <c r="A2702">
        <v>23</v>
      </c>
      <c r="B2702" t="s">
        <v>15</v>
      </c>
      <c r="C2702">
        <v>2018</v>
      </c>
      <c r="D2702">
        <v>1</v>
      </c>
      <c r="E2702" s="4">
        <v>0</v>
      </c>
      <c r="F2702" s="9">
        <v>0</v>
      </c>
      <c r="G2702" s="6">
        <v>2121</v>
      </c>
      <c r="H2702" s="9">
        <f t="shared" si="42"/>
        <v>0</v>
      </c>
      <c r="I2702" s="6">
        <v>12137</v>
      </c>
      <c r="J2702" s="6">
        <f>VLOOKUP(Table1[[#This Row],[Province]],[1]Sheet1!$A$3:$K$37,8,FALSE)</f>
        <v>3721400</v>
      </c>
      <c r="K2702">
        <v>0</v>
      </c>
      <c r="L2702" s="4">
        <v>1.64063</v>
      </c>
      <c r="M2702" s="4">
        <v>116.419389</v>
      </c>
      <c r="N2702" s="13">
        <v>2.64</v>
      </c>
      <c r="P2702"/>
      <c r="Q2702" s="12"/>
      <c r="R2702" s="12"/>
    </row>
    <row r="2703" spans="1:18" x14ac:dyDescent="0.2">
      <c r="A2703">
        <v>23</v>
      </c>
      <c r="B2703" t="s">
        <v>15</v>
      </c>
      <c r="C2703">
        <v>2018</v>
      </c>
      <c r="D2703">
        <v>2</v>
      </c>
      <c r="E2703" s="4">
        <v>0</v>
      </c>
      <c r="F2703" s="9">
        <v>0</v>
      </c>
      <c r="G2703" s="6">
        <v>4578</v>
      </c>
      <c r="H2703" s="9">
        <f t="shared" si="42"/>
        <v>0</v>
      </c>
      <c r="I2703" s="6">
        <v>12079</v>
      </c>
      <c r="J2703" s="6">
        <f>VLOOKUP(Table1[[#This Row],[Province]],[1]Sheet1!$A$3:$K$37,8,FALSE)</f>
        <v>3721400</v>
      </c>
      <c r="K2703">
        <v>0</v>
      </c>
      <c r="L2703" s="4">
        <v>1.64063</v>
      </c>
      <c r="M2703" s="4">
        <v>116.419389</v>
      </c>
      <c r="N2703" s="13">
        <v>2.64</v>
      </c>
      <c r="P2703"/>
      <c r="Q2703" s="12"/>
      <c r="R2703" s="12"/>
    </row>
    <row r="2704" spans="1:18" x14ac:dyDescent="0.2">
      <c r="A2704">
        <v>23</v>
      </c>
      <c r="B2704" t="s">
        <v>15</v>
      </c>
      <c r="C2704">
        <v>2018</v>
      </c>
      <c r="D2704">
        <v>3</v>
      </c>
      <c r="E2704" s="4">
        <v>0</v>
      </c>
      <c r="F2704" s="9">
        <v>0</v>
      </c>
      <c r="G2704" s="6">
        <v>2189</v>
      </c>
      <c r="H2704" s="9">
        <f t="shared" si="42"/>
        <v>0</v>
      </c>
      <c r="I2704" s="6">
        <v>12202</v>
      </c>
      <c r="J2704" s="6">
        <f>VLOOKUP(Table1[[#This Row],[Province]],[1]Sheet1!$A$3:$K$37,8,FALSE)</f>
        <v>3721400</v>
      </c>
      <c r="K2704">
        <v>0</v>
      </c>
      <c r="L2704" s="4">
        <v>1.64063</v>
      </c>
      <c r="M2704" s="4">
        <v>116.419389</v>
      </c>
      <c r="N2704" s="13">
        <v>2.64</v>
      </c>
      <c r="P2704"/>
      <c r="Q2704" s="12"/>
      <c r="R2704" s="12"/>
    </row>
    <row r="2705" spans="1:18" x14ac:dyDescent="0.2">
      <c r="A2705">
        <v>23</v>
      </c>
      <c r="B2705" t="s">
        <v>15</v>
      </c>
      <c r="C2705">
        <v>2018</v>
      </c>
      <c r="D2705">
        <v>4</v>
      </c>
      <c r="E2705" s="4">
        <v>0</v>
      </c>
      <c r="F2705" s="9">
        <v>0</v>
      </c>
      <c r="G2705" s="6">
        <v>4147</v>
      </c>
      <c r="H2705" s="9">
        <f t="shared" si="42"/>
        <v>0</v>
      </c>
      <c r="I2705" s="6">
        <v>12190</v>
      </c>
      <c r="J2705" s="6">
        <f>VLOOKUP(Table1[[#This Row],[Province]],[1]Sheet1!$A$3:$K$37,8,FALSE)</f>
        <v>3721400</v>
      </c>
      <c r="K2705">
        <v>0</v>
      </c>
      <c r="L2705" s="4">
        <v>1.64063</v>
      </c>
      <c r="M2705" s="4">
        <v>116.419389</v>
      </c>
      <c r="N2705" s="13">
        <v>2.64</v>
      </c>
      <c r="P2705"/>
      <c r="Q2705" s="12"/>
      <c r="R2705" s="12"/>
    </row>
    <row r="2706" spans="1:18" x14ac:dyDescent="0.2">
      <c r="A2706">
        <v>23</v>
      </c>
      <c r="B2706" t="s">
        <v>15</v>
      </c>
      <c r="C2706">
        <v>2018</v>
      </c>
      <c r="D2706">
        <v>5</v>
      </c>
      <c r="E2706" s="4">
        <v>0</v>
      </c>
      <c r="F2706" s="9">
        <v>0</v>
      </c>
      <c r="G2706" s="6">
        <v>2993</v>
      </c>
      <c r="H2706" s="9">
        <f t="shared" si="42"/>
        <v>0</v>
      </c>
      <c r="I2706" s="6">
        <v>12000</v>
      </c>
      <c r="J2706" s="6">
        <f>VLOOKUP(Table1[[#This Row],[Province]],[1]Sheet1!$A$3:$K$37,8,FALSE)</f>
        <v>3721400</v>
      </c>
      <c r="K2706">
        <v>1</v>
      </c>
      <c r="L2706" s="4">
        <v>1.64063</v>
      </c>
      <c r="M2706" s="4">
        <v>116.419389</v>
      </c>
      <c r="N2706" s="13">
        <v>2.64</v>
      </c>
      <c r="P2706"/>
      <c r="Q2706" s="12"/>
      <c r="R2706" s="12"/>
    </row>
    <row r="2707" spans="1:18" x14ac:dyDescent="0.2">
      <c r="A2707">
        <v>23</v>
      </c>
      <c r="B2707" t="s">
        <v>15</v>
      </c>
      <c r="C2707">
        <v>2018</v>
      </c>
      <c r="D2707">
        <v>6</v>
      </c>
      <c r="E2707" s="4">
        <v>0</v>
      </c>
      <c r="F2707" s="9">
        <v>0</v>
      </c>
      <c r="G2707" s="6">
        <v>1772</v>
      </c>
      <c r="H2707" s="9">
        <f t="shared" si="42"/>
        <v>0</v>
      </c>
      <c r="I2707" s="6">
        <v>11933</v>
      </c>
      <c r="J2707" s="6">
        <f>VLOOKUP(Table1[[#This Row],[Province]],[1]Sheet1!$A$3:$K$37,8,FALSE)</f>
        <v>3721400</v>
      </c>
      <c r="K2707">
        <v>0</v>
      </c>
      <c r="L2707" s="4">
        <v>1.64063</v>
      </c>
      <c r="M2707" s="4">
        <v>116.419389</v>
      </c>
      <c r="N2707" s="13">
        <v>2.64</v>
      </c>
      <c r="P2707"/>
      <c r="Q2707" s="12"/>
      <c r="R2707" s="12"/>
    </row>
    <row r="2708" spans="1:18" x14ac:dyDescent="0.2">
      <c r="A2708">
        <v>23</v>
      </c>
      <c r="B2708" t="s">
        <v>15</v>
      </c>
      <c r="C2708">
        <v>2018</v>
      </c>
      <c r="D2708">
        <v>7</v>
      </c>
      <c r="E2708" s="4">
        <v>0</v>
      </c>
      <c r="F2708" s="9">
        <v>0</v>
      </c>
      <c r="G2708" s="6">
        <v>1545</v>
      </c>
      <c r="H2708" s="9">
        <f t="shared" si="42"/>
        <v>0</v>
      </c>
      <c r="I2708" s="6">
        <v>12000</v>
      </c>
      <c r="J2708" s="6">
        <f>VLOOKUP(Table1[[#This Row],[Province]],[1]Sheet1!$A$3:$K$37,8,FALSE)</f>
        <v>3721400</v>
      </c>
      <c r="K2708">
        <v>0</v>
      </c>
      <c r="L2708" s="4">
        <v>1.64063</v>
      </c>
      <c r="M2708" s="4">
        <v>116.419389</v>
      </c>
      <c r="N2708" s="13">
        <v>2.64</v>
      </c>
      <c r="P2708"/>
      <c r="Q2708" s="12"/>
      <c r="R2708" s="12"/>
    </row>
    <row r="2709" spans="1:18" x14ac:dyDescent="0.2">
      <c r="A2709">
        <v>23</v>
      </c>
      <c r="B2709" t="s">
        <v>15</v>
      </c>
      <c r="C2709">
        <v>2018</v>
      </c>
      <c r="D2709">
        <v>8</v>
      </c>
      <c r="E2709" s="4">
        <v>0</v>
      </c>
      <c r="F2709" s="9">
        <v>0</v>
      </c>
      <c r="G2709" s="6">
        <v>978</v>
      </c>
      <c r="H2709" s="9">
        <f t="shared" si="42"/>
        <v>0</v>
      </c>
      <c r="I2709" s="6">
        <v>12000</v>
      </c>
      <c r="J2709" s="6">
        <f>VLOOKUP(Table1[[#This Row],[Province]],[1]Sheet1!$A$3:$K$37,8,FALSE)</f>
        <v>3721400</v>
      </c>
      <c r="K2709">
        <v>0</v>
      </c>
      <c r="L2709" s="4">
        <v>1.64063</v>
      </c>
      <c r="M2709" s="4">
        <v>116.419389</v>
      </c>
      <c r="N2709" s="13">
        <v>2.64</v>
      </c>
      <c r="P2709"/>
      <c r="Q2709" s="12"/>
      <c r="R2709" s="12"/>
    </row>
    <row r="2710" spans="1:18" x14ac:dyDescent="0.2">
      <c r="A2710">
        <v>23</v>
      </c>
      <c r="B2710" t="s">
        <v>15</v>
      </c>
      <c r="C2710">
        <v>2018</v>
      </c>
      <c r="D2710">
        <v>9</v>
      </c>
      <c r="E2710" s="4">
        <v>0</v>
      </c>
      <c r="F2710" s="9">
        <v>0</v>
      </c>
      <c r="G2710" s="6">
        <v>304</v>
      </c>
      <c r="H2710" s="9">
        <f t="shared" si="42"/>
        <v>0</v>
      </c>
      <c r="I2710" s="6">
        <v>12000</v>
      </c>
      <c r="J2710" s="6">
        <f>VLOOKUP(Table1[[#This Row],[Province]],[1]Sheet1!$A$3:$K$37,8,FALSE)</f>
        <v>3721400</v>
      </c>
      <c r="K2710">
        <v>0</v>
      </c>
      <c r="L2710" s="4">
        <v>1.64063</v>
      </c>
      <c r="M2710" s="4">
        <v>116.419389</v>
      </c>
      <c r="N2710" s="13">
        <v>2.64</v>
      </c>
      <c r="P2710"/>
      <c r="Q2710" s="12"/>
      <c r="R2710" s="12"/>
    </row>
    <row r="2711" spans="1:18" x14ac:dyDescent="0.2">
      <c r="A2711">
        <v>23</v>
      </c>
      <c r="B2711" t="s">
        <v>15</v>
      </c>
      <c r="C2711">
        <v>2018</v>
      </c>
      <c r="D2711">
        <v>10</v>
      </c>
      <c r="E2711" s="4">
        <v>0</v>
      </c>
      <c r="F2711" s="9">
        <v>0</v>
      </c>
      <c r="G2711" s="6">
        <v>2041</v>
      </c>
      <c r="H2711" s="9">
        <f t="shared" si="42"/>
        <v>0</v>
      </c>
      <c r="I2711" s="6">
        <v>12000</v>
      </c>
      <c r="J2711" s="6">
        <f>VLOOKUP(Table1[[#This Row],[Province]],[1]Sheet1!$A$3:$K$37,8,FALSE)</f>
        <v>3721400</v>
      </c>
      <c r="K2711">
        <v>0</v>
      </c>
      <c r="L2711" s="4">
        <v>1.64063</v>
      </c>
      <c r="M2711" s="4">
        <v>116.419389</v>
      </c>
      <c r="N2711" s="13">
        <v>2.64</v>
      </c>
      <c r="P2711"/>
      <c r="Q2711" s="12"/>
      <c r="R2711" s="12"/>
    </row>
    <row r="2712" spans="1:18" x14ac:dyDescent="0.2">
      <c r="A2712">
        <v>23</v>
      </c>
      <c r="B2712" t="s">
        <v>15</v>
      </c>
      <c r="C2712">
        <v>2018</v>
      </c>
      <c r="D2712">
        <v>11</v>
      </c>
      <c r="E2712" s="4">
        <v>0</v>
      </c>
      <c r="F2712" s="9">
        <v>0</v>
      </c>
      <c r="G2712" s="6">
        <v>452</v>
      </c>
      <c r="H2712" s="9">
        <f t="shared" si="42"/>
        <v>0</v>
      </c>
      <c r="I2712" s="6">
        <v>12000</v>
      </c>
      <c r="J2712" s="6">
        <f>VLOOKUP(Table1[[#This Row],[Province]],[1]Sheet1!$A$3:$K$37,8,FALSE)</f>
        <v>3721400</v>
      </c>
      <c r="K2712">
        <v>0</v>
      </c>
      <c r="L2712" s="4">
        <v>1.64063</v>
      </c>
      <c r="M2712" s="4">
        <v>116.419389</v>
      </c>
      <c r="N2712" s="13">
        <v>2.64</v>
      </c>
      <c r="P2712"/>
      <c r="Q2712" s="12"/>
      <c r="R2712" s="12"/>
    </row>
    <row r="2713" spans="1:18" x14ac:dyDescent="0.2">
      <c r="A2713">
        <v>23</v>
      </c>
      <c r="B2713" t="s">
        <v>15</v>
      </c>
      <c r="C2713">
        <v>2018</v>
      </c>
      <c r="D2713">
        <v>12</v>
      </c>
      <c r="E2713" s="4">
        <v>0</v>
      </c>
      <c r="F2713" s="9">
        <v>0</v>
      </c>
      <c r="G2713" s="6">
        <v>903</v>
      </c>
      <c r="H2713" s="9">
        <f t="shared" si="42"/>
        <v>0</v>
      </c>
      <c r="I2713" s="6">
        <v>12429</v>
      </c>
      <c r="J2713" s="6">
        <f>VLOOKUP(Table1[[#This Row],[Province]],[1]Sheet1!$A$3:$K$37,8,FALSE)</f>
        <v>3721400</v>
      </c>
      <c r="K2713">
        <v>1</v>
      </c>
      <c r="L2713" s="4">
        <v>1.64063</v>
      </c>
      <c r="M2713" s="4">
        <v>116.419389</v>
      </c>
      <c r="N2713" s="13">
        <v>2.64</v>
      </c>
      <c r="P2713"/>
      <c r="Q2713" s="12"/>
      <c r="R2713" s="12"/>
    </row>
    <row r="2714" spans="1:18" x14ac:dyDescent="0.2">
      <c r="A2714">
        <v>23</v>
      </c>
      <c r="B2714" t="s">
        <v>15</v>
      </c>
      <c r="C2714">
        <v>2019</v>
      </c>
      <c r="D2714">
        <v>1</v>
      </c>
      <c r="E2714" s="4">
        <v>0</v>
      </c>
      <c r="F2714" s="9">
        <v>0</v>
      </c>
      <c r="G2714" s="6">
        <v>2813</v>
      </c>
      <c r="H2714" s="9">
        <f t="shared" si="42"/>
        <v>0</v>
      </c>
      <c r="I2714" s="6">
        <v>12708</v>
      </c>
      <c r="J2714" s="6">
        <f>VLOOKUP(Table1[[#This Row],[Province]],[1]Sheet1!$A$3:$K$37,8,FALSE)</f>
        <v>3721400</v>
      </c>
      <c r="K2714">
        <v>0</v>
      </c>
      <c r="L2714" s="4">
        <v>1.64063</v>
      </c>
      <c r="M2714" s="4">
        <v>116.419389</v>
      </c>
      <c r="N2714" s="13">
        <v>4.7</v>
      </c>
      <c r="P2714"/>
      <c r="Q2714" s="12"/>
      <c r="R2714" s="12"/>
    </row>
    <row r="2715" spans="1:18" x14ac:dyDescent="0.2">
      <c r="A2715">
        <v>23</v>
      </c>
      <c r="B2715" t="s">
        <v>15</v>
      </c>
      <c r="C2715">
        <v>2019</v>
      </c>
      <c r="D2715">
        <v>2</v>
      </c>
      <c r="E2715" s="4">
        <v>0</v>
      </c>
      <c r="F2715" s="9">
        <v>0</v>
      </c>
      <c r="G2715" s="6">
        <v>1477</v>
      </c>
      <c r="H2715" s="9">
        <f t="shared" si="42"/>
        <v>0</v>
      </c>
      <c r="I2715" s="6">
        <v>12625</v>
      </c>
      <c r="J2715" s="6">
        <f>VLOOKUP(Table1[[#This Row],[Province]],[1]Sheet1!$A$3:$K$37,8,FALSE)</f>
        <v>3721400</v>
      </c>
      <c r="K2715">
        <v>0</v>
      </c>
      <c r="L2715" s="4">
        <v>1.64063</v>
      </c>
      <c r="M2715" s="4">
        <v>116.419389</v>
      </c>
      <c r="N2715" s="13">
        <v>4.7</v>
      </c>
      <c r="P2715"/>
      <c r="Q2715" s="12"/>
      <c r="R2715" s="12"/>
    </row>
    <row r="2716" spans="1:18" x14ac:dyDescent="0.2">
      <c r="A2716">
        <v>23</v>
      </c>
      <c r="B2716" t="s">
        <v>15</v>
      </c>
      <c r="C2716">
        <v>2019</v>
      </c>
      <c r="D2716">
        <v>3</v>
      </c>
      <c r="E2716" s="4">
        <v>0</v>
      </c>
      <c r="F2716" s="9">
        <v>0</v>
      </c>
      <c r="G2716" s="6">
        <v>4906</v>
      </c>
      <c r="H2716" s="9">
        <f t="shared" si="42"/>
        <v>0</v>
      </c>
      <c r="I2716" s="6">
        <v>12077</v>
      </c>
      <c r="J2716" s="6">
        <f>VLOOKUP(Table1[[#This Row],[Province]],[1]Sheet1!$A$3:$K$37,8,FALSE)</f>
        <v>3721400</v>
      </c>
      <c r="K2716">
        <v>0</v>
      </c>
      <c r="L2716" s="4">
        <v>1.64063</v>
      </c>
      <c r="M2716" s="4">
        <v>116.419389</v>
      </c>
      <c r="N2716" s="13">
        <v>4.7</v>
      </c>
      <c r="P2716"/>
      <c r="Q2716" s="12"/>
      <c r="R2716" s="12"/>
    </row>
    <row r="2717" spans="1:18" x14ac:dyDescent="0.2">
      <c r="A2717">
        <v>23</v>
      </c>
      <c r="B2717" t="s">
        <v>15</v>
      </c>
      <c r="C2717">
        <v>2019</v>
      </c>
      <c r="D2717">
        <v>4</v>
      </c>
      <c r="E2717" s="4">
        <v>0</v>
      </c>
      <c r="F2717" s="9">
        <v>0</v>
      </c>
      <c r="G2717" s="6">
        <v>2729</v>
      </c>
      <c r="H2717" s="9">
        <f t="shared" si="42"/>
        <v>0</v>
      </c>
      <c r="I2717" s="6">
        <v>12404</v>
      </c>
      <c r="J2717" s="6">
        <f>VLOOKUP(Table1[[#This Row],[Province]],[1]Sheet1!$A$3:$K$37,8,FALSE)</f>
        <v>3721400</v>
      </c>
      <c r="K2717">
        <v>0</v>
      </c>
      <c r="L2717" s="4">
        <v>1.64063</v>
      </c>
      <c r="M2717" s="4">
        <v>116.419389</v>
      </c>
      <c r="N2717" s="13">
        <v>4.7</v>
      </c>
      <c r="P2717"/>
      <c r="Q2717" s="12"/>
      <c r="R2717" s="12"/>
    </row>
    <row r="2718" spans="1:18" x14ac:dyDescent="0.2">
      <c r="A2718">
        <v>23</v>
      </c>
      <c r="B2718" t="s">
        <v>15</v>
      </c>
      <c r="C2718">
        <v>2019</v>
      </c>
      <c r="D2718">
        <v>5</v>
      </c>
      <c r="E2718" s="4">
        <v>0</v>
      </c>
      <c r="F2718" s="9">
        <v>0</v>
      </c>
      <c r="G2718" s="6">
        <v>3777</v>
      </c>
      <c r="H2718" s="9">
        <f t="shared" si="42"/>
        <v>0</v>
      </c>
      <c r="I2718" s="6">
        <v>12331</v>
      </c>
      <c r="J2718" s="6">
        <f>VLOOKUP(Table1[[#This Row],[Province]],[1]Sheet1!$A$3:$K$37,8,FALSE)</f>
        <v>3721400</v>
      </c>
      <c r="K2718">
        <v>1</v>
      </c>
      <c r="L2718" s="4">
        <v>1.64063</v>
      </c>
      <c r="M2718" s="4">
        <v>116.419389</v>
      </c>
      <c r="N2718" s="13">
        <v>4.7</v>
      </c>
      <c r="P2718"/>
      <c r="Q2718" s="12"/>
      <c r="R2718" s="12"/>
    </row>
    <row r="2719" spans="1:18" x14ac:dyDescent="0.2">
      <c r="A2719">
        <v>23</v>
      </c>
      <c r="B2719" t="s">
        <v>15</v>
      </c>
      <c r="C2719">
        <v>2019</v>
      </c>
      <c r="D2719">
        <v>6</v>
      </c>
      <c r="E2719" s="4">
        <v>0</v>
      </c>
      <c r="F2719" s="9">
        <v>0</v>
      </c>
      <c r="G2719" s="6">
        <v>4905</v>
      </c>
      <c r="H2719" s="9">
        <f t="shared" si="42"/>
        <v>0</v>
      </c>
      <c r="I2719" s="6">
        <v>12433</v>
      </c>
      <c r="J2719" s="6">
        <f>VLOOKUP(Table1[[#This Row],[Province]],[1]Sheet1!$A$3:$K$37,8,FALSE)</f>
        <v>3721400</v>
      </c>
      <c r="K2719">
        <v>0</v>
      </c>
      <c r="L2719" s="4">
        <v>1.64063</v>
      </c>
      <c r="M2719" s="4">
        <v>116.419389</v>
      </c>
      <c r="N2719" s="13">
        <v>4.7</v>
      </c>
      <c r="P2719"/>
      <c r="Q2719" s="12"/>
      <c r="R2719" s="12"/>
    </row>
    <row r="2720" spans="1:18" x14ac:dyDescent="0.2">
      <c r="A2720">
        <v>23</v>
      </c>
      <c r="B2720" t="s">
        <v>15</v>
      </c>
      <c r="C2720">
        <v>2019</v>
      </c>
      <c r="D2720">
        <v>7</v>
      </c>
      <c r="E2720" s="4">
        <v>0</v>
      </c>
      <c r="F2720" s="9">
        <v>0</v>
      </c>
      <c r="G2720" s="6">
        <v>4027</v>
      </c>
      <c r="H2720" s="9">
        <f t="shared" si="42"/>
        <v>0</v>
      </c>
      <c r="I2720" s="6">
        <v>12482</v>
      </c>
      <c r="J2720" s="6">
        <f>VLOOKUP(Table1[[#This Row],[Province]],[1]Sheet1!$A$3:$K$37,8,FALSE)</f>
        <v>3721400</v>
      </c>
      <c r="K2720">
        <v>0</v>
      </c>
      <c r="L2720" s="4">
        <v>1.64063</v>
      </c>
      <c r="M2720" s="4">
        <v>116.419389</v>
      </c>
      <c r="N2720" s="13">
        <v>4.7</v>
      </c>
      <c r="P2720"/>
      <c r="Q2720" s="12"/>
      <c r="R2720" s="12"/>
    </row>
    <row r="2721" spans="1:18" x14ac:dyDescent="0.2">
      <c r="A2721">
        <v>23</v>
      </c>
      <c r="B2721" t="s">
        <v>15</v>
      </c>
      <c r="C2721">
        <v>2019</v>
      </c>
      <c r="D2721">
        <v>8</v>
      </c>
      <c r="E2721" s="4">
        <v>0</v>
      </c>
      <c r="F2721" s="9">
        <v>0</v>
      </c>
      <c r="G2721" s="6">
        <v>4442</v>
      </c>
      <c r="H2721" s="9">
        <f t="shared" si="42"/>
        <v>0</v>
      </c>
      <c r="I2721" s="6">
        <v>12854</v>
      </c>
      <c r="J2721" s="6">
        <f>VLOOKUP(Table1[[#This Row],[Province]],[1]Sheet1!$A$3:$K$37,8,FALSE)</f>
        <v>3721400</v>
      </c>
      <c r="K2721">
        <v>0</v>
      </c>
      <c r="L2721" s="4">
        <v>1.64063</v>
      </c>
      <c r="M2721" s="4">
        <v>116.419389</v>
      </c>
      <c r="N2721" s="13">
        <v>4.7</v>
      </c>
      <c r="P2721"/>
      <c r="Q2721" s="12"/>
      <c r="R2721" s="12"/>
    </row>
    <row r="2722" spans="1:18" x14ac:dyDescent="0.2">
      <c r="A2722">
        <v>23</v>
      </c>
      <c r="B2722" t="s">
        <v>15</v>
      </c>
      <c r="C2722">
        <v>2019</v>
      </c>
      <c r="D2722">
        <v>9</v>
      </c>
      <c r="E2722" s="4">
        <v>0</v>
      </c>
      <c r="F2722" s="9">
        <v>0</v>
      </c>
      <c r="G2722" s="6">
        <v>4140</v>
      </c>
      <c r="H2722" s="9">
        <f t="shared" si="42"/>
        <v>0</v>
      </c>
      <c r="I2722" s="6">
        <v>12125</v>
      </c>
      <c r="J2722" s="6">
        <f>VLOOKUP(Table1[[#This Row],[Province]],[1]Sheet1!$A$3:$K$37,8,FALSE)</f>
        <v>3721400</v>
      </c>
      <c r="K2722">
        <v>0</v>
      </c>
      <c r="L2722" s="4">
        <v>1.64063</v>
      </c>
      <c r="M2722" s="4">
        <v>116.419389</v>
      </c>
      <c r="N2722" s="13">
        <v>4.7</v>
      </c>
      <c r="P2722"/>
      <c r="Q2722" s="12"/>
      <c r="R2722" s="12"/>
    </row>
    <row r="2723" spans="1:18" x14ac:dyDescent="0.2">
      <c r="A2723">
        <v>23</v>
      </c>
      <c r="B2723" t="s">
        <v>15</v>
      </c>
      <c r="C2723">
        <v>2019</v>
      </c>
      <c r="D2723">
        <v>10</v>
      </c>
      <c r="E2723" s="4">
        <v>0</v>
      </c>
      <c r="F2723" s="9">
        <v>0</v>
      </c>
      <c r="G2723" s="6">
        <v>4580</v>
      </c>
      <c r="H2723" s="9">
        <f t="shared" si="42"/>
        <v>0</v>
      </c>
      <c r="I2723" s="6">
        <v>12207</v>
      </c>
      <c r="J2723" s="6">
        <f>VLOOKUP(Table1[[#This Row],[Province]],[1]Sheet1!$A$3:$K$37,8,FALSE)</f>
        <v>3721400</v>
      </c>
      <c r="K2723">
        <v>0</v>
      </c>
      <c r="L2723" s="4">
        <v>1.64063</v>
      </c>
      <c r="M2723" s="4">
        <v>116.419389</v>
      </c>
      <c r="N2723" s="13">
        <v>4.7</v>
      </c>
      <c r="P2723"/>
      <c r="Q2723" s="12"/>
      <c r="R2723" s="12"/>
    </row>
    <row r="2724" spans="1:18" x14ac:dyDescent="0.2">
      <c r="A2724">
        <v>23</v>
      </c>
      <c r="B2724" t="s">
        <v>15</v>
      </c>
      <c r="C2724">
        <v>2019</v>
      </c>
      <c r="D2724">
        <v>11</v>
      </c>
      <c r="E2724" s="4">
        <v>0</v>
      </c>
      <c r="F2724" s="9">
        <v>0</v>
      </c>
      <c r="G2724" s="6">
        <v>2984</v>
      </c>
      <c r="H2724" s="9">
        <f t="shared" si="42"/>
        <v>0</v>
      </c>
      <c r="I2724" s="6">
        <v>12500</v>
      </c>
      <c r="J2724" s="6">
        <f>VLOOKUP(Table1[[#This Row],[Province]],[1]Sheet1!$A$3:$K$37,8,FALSE)</f>
        <v>3721400</v>
      </c>
      <c r="K2724">
        <v>0</v>
      </c>
      <c r="L2724" s="4">
        <v>1.64063</v>
      </c>
      <c r="M2724" s="4">
        <v>116.419389</v>
      </c>
      <c r="N2724" s="13">
        <v>4.7</v>
      </c>
      <c r="P2724"/>
      <c r="Q2724" s="12"/>
      <c r="R2724" s="12"/>
    </row>
    <row r="2725" spans="1:18" x14ac:dyDescent="0.2">
      <c r="A2725">
        <v>23</v>
      </c>
      <c r="B2725" t="s">
        <v>15</v>
      </c>
      <c r="C2725">
        <v>2019</v>
      </c>
      <c r="D2725">
        <v>12</v>
      </c>
      <c r="E2725" s="4">
        <v>0</v>
      </c>
      <c r="F2725" s="9">
        <v>0</v>
      </c>
      <c r="G2725" s="6">
        <v>4150</v>
      </c>
      <c r="H2725" s="9">
        <f t="shared" si="42"/>
        <v>0</v>
      </c>
      <c r="I2725" s="6">
        <v>12510</v>
      </c>
      <c r="J2725" s="6">
        <f>VLOOKUP(Table1[[#This Row],[Province]],[1]Sheet1!$A$3:$K$37,8,FALSE)</f>
        <v>3721400</v>
      </c>
      <c r="K2725">
        <v>1</v>
      </c>
      <c r="L2725" s="4">
        <v>1.64063</v>
      </c>
      <c r="M2725" s="4">
        <v>116.419389</v>
      </c>
      <c r="N2725" s="13">
        <v>4.7</v>
      </c>
      <c r="P2725"/>
      <c r="Q2725" s="12"/>
      <c r="R2725" s="12"/>
    </row>
    <row r="2726" spans="1:18" x14ac:dyDescent="0.2">
      <c r="A2726">
        <v>23</v>
      </c>
      <c r="B2726" t="s">
        <v>15</v>
      </c>
      <c r="C2726">
        <v>2020</v>
      </c>
      <c r="D2726">
        <v>1</v>
      </c>
      <c r="E2726" s="4">
        <v>0</v>
      </c>
      <c r="F2726" s="9">
        <v>0</v>
      </c>
      <c r="G2726" s="6">
        <v>3334</v>
      </c>
      <c r="H2726" s="9">
        <f t="shared" si="42"/>
        <v>0</v>
      </c>
      <c r="I2726" s="6">
        <v>13176</v>
      </c>
      <c r="J2726" s="6">
        <f>VLOOKUP(Table1[[#This Row],[Province]],[1]Sheet1!$A$3:$K$37,8,FALSE)</f>
        <v>3721400</v>
      </c>
      <c r="K2726">
        <v>0</v>
      </c>
      <c r="L2726" s="4">
        <v>1.64063</v>
      </c>
      <c r="M2726" s="4">
        <v>116.419389</v>
      </c>
      <c r="N2726" s="13">
        <v>-2.9</v>
      </c>
      <c r="P2726"/>
      <c r="Q2726" s="12"/>
      <c r="R2726" s="12"/>
    </row>
    <row r="2727" spans="1:18" x14ac:dyDescent="0.2">
      <c r="A2727">
        <v>23</v>
      </c>
      <c r="B2727" t="s">
        <v>15</v>
      </c>
      <c r="C2727">
        <v>2020</v>
      </c>
      <c r="D2727">
        <v>2</v>
      </c>
      <c r="E2727" s="4">
        <v>0</v>
      </c>
      <c r="F2727" s="9">
        <v>0</v>
      </c>
      <c r="G2727" s="6">
        <v>3913</v>
      </c>
      <c r="H2727" s="9">
        <f t="shared" si="42"/>
        <v>0</v>
      </c>
      <c r="I2727" s="6">
        <v>13468</v>
      </c>
      <c r="J2727" s="6">
        <f>VLOOKUP(Table1[[#This Row],[Province]],[1]Sheet1!$A$3:$K$37,8,FALSE)</f>
        <v>3721400</v>
      </c>
      <c r="K2727">
        <v>0</v>
      </c>
      <c r="L2727" s="4">
        <v>1.64063</v>
      </c>
      <c r="M2727" s="4">
        <v>116.419389</v>
      </c>
      <c r="N2727" s="13">
        <v>-2.9</v>
      </c>
      <c r="P2727"/>
      <c r="Q2727" s="12"/>
      <c r="R2727" s="12"/>
    </row>
    <row r="2728" spans="1:18" x14ac:dyDescent="0.2">
      <c r="A2728">
        <v>23</v>
      </c>
      <c r="B2728" t="s">
        <v>15</v>
      </c>
      <c r="C2728">
        <v>2020</v>
      </c>
      <c r="D2728">
        <v>3</v>
      </c>
      <c r="E2728" s="4">
        <v>0</v>
      </c>
      <c r="F2728" s="9">
        <v>0</v>
      </c>
      <c r="G2728" s="6">
        <v>3185</v>
      </c>
      <c r="H2728" s="9">
        <f t="shared" si="42"/>
        <v>0</v>
      </c>
      <c r="I2728" s="6">
        <v>14821</v>
      </c>
      <c r="J2728" s="6">
        <f>VLOOKUP(Table1[[#This Row],[Province]],[1]Sheet1!$A$3:$K$37,8,FALSE)</f>
        <v>3721400</v>
      </c>
      <c r="K2728">
        <v>0</v>
      </c>
      <c r="L2728" s="4">
        <v>1.64063</v>
      </c>
      <c r="M2728" s="4">
        <v>116.419389</v>
      </c>
      <c r="N2728" s="13">
        <v>-2.9</v>
      </c>
      <c r="P2728"/>
      <c r="Q2728" s="12"/>
      <c r="R2728" s="12"/>
    </row>
    <row r="2729" spans="1:18" x14ac:dyDescent="0.2">
      <c r="A2729">
        <v>23</v>
      </c>
      <c r="B2729" t="s">
        <v>15</v>
      </c>
      <c r="C2729">
        <v>2020</v>
      </c>
      <c r="D2729">
        <v>4</v>
      </c>
      <c r="E2729" s="4">
        <v>0</v>
      </c>
      <c r="F2729" s="9">
        <v>0</v>
      </c>
      <c r="G2729" s="6">
        <v>3251</v>
      </c>
      <c r="H2729" s="9">
        <f t="shared" si="42"/>
        <v>0</v>
      </c>
      <c r="I2729" s="6">
        <v>16960</v>
      </c>
      <c r="J2729" s="6">
        <f>VLOOKUP(Table1[[#This Row],[Province]],[1]Sheet1!$A$3:$K$37,8,FALSE)</f>
        <v>3721400</v>
      </c>
      <c r="K2729">
        <v>1</v>
      </c>
      <c r="L2729" s="4">
        <v>1.64063</v>
      </c>
      <c r="M2729" s="4">
        <v>116.419389</v>
      </c>
      <c r="N2729" s="13">
        <v>-2.9</v>
      </c>
      <c r="P2729"/>
      <c r="Q2729" s="12"/>
      <c r="R2729" s="12"/>
    </row>
    <row r="2730" spans="1:18" x14ac:dyDescent="0.2">
      <c r="A2730">
        <v>23</v>
      </c>
      <c r="B2730" t="s">
        <v>15</v>
      </c>
      <c r="C2730">
        <v>2020</v>
      </c>
      <c r="D2730">
        <v>5</v>
      </c>
      <c r="E2730" s="4">
        <v>0</v>
      </c>
      <c r="F2730" s="9">
        <v>0</v>
      </c>
      <c r="G2730" s="6">
        <v>3761</v>
      </c>
      <c r="H2730" s="9">
        <f t="shared" si="42"/>
        <v>0</v>
      </c>
      <c r="I2730" s="6">
        <v>16197</v>
      </c>
      <c r="J2730" s="6">
        <f>VLOOKUP(Table1[[#This Row],[Province]],[1]Sheet1!$A$3:$K$37,8,FALSE)</f>
        <v>3721400</v>
      </c>
      <c r="K2730">
        <v>0</v>
      </c>
      <c r="L2730" s="4">
        <v>1.64063</v>
      </c>
      <c r="M2730" s="4">
        <v>116.419389</v>
      </c>
      <c r="N2730" s="13">
        <v>-2.9</v>
      </c>
      <c r="P2730"/>
      <c r="Q2730" s="12"/>
      <c r="R2730" s="12"/>
    </row>
    <row r="2731" spans="1:18" x14ac:dyDescent="0.2">
      <c r="A2731">
        <v>23</v>
      </c>
      <c r="B2731" t="s">
        <v>15</v>
      </c>
      <c r="C2731">
        <v>2020</v>
      </c>
      <c r="D2731">
        <v>6</v>
      </c>
      <c r="E2731" s="4">
        <v>0</v>
      </c>
      <c r="F2731" s="9">
        <v>0</v>
      </c>
      <c r="G2731" s="6">
        <v>3570</v>
      </c>
      <c r="H2731" s="9">
        <f t="shared" si="42"/>
        <v>0</v>
      </c>
      <c r="I2731" s="6">
        <v>12482</v>
      </c>
      <c r="J2731" s="6">
        <f>VLOOKUP(Table1[[#This Row],[Province]],[1]Sheet1!$A$3:$K$37,8,FALSE)</f>
        <v>3721400</v>
      </c>
      <c r="K2731">
        <v>0</v>
      </c>
      <c r="L2731" s="4">
        <v>1.64063</v>
      </c>
      <c r="M2731" s="4">
        <v>116.419389</v>
      </c>
      <c r="N2731" s="13">
        <v>-2.9</v>
      </c>
      <c r="P2731"/>
      <c r="Q2731" s="12"/>
      <c r="R2731" s="12"/>
    </row>
    <row r="2732" spans="1:18" x14ac:dyDescent="0.2">
      <c r="A2732">
        <v>23</v>
      </c>
      <c r="B2732" t="s">
        <v>15</v>
      </c>
      <c r="C2732">
        <v>2020</v>
      </c>
      <c r="D2732">
        <v>7</v>
      </c>
      <c r="E2732" s="4">
        <v>0</v>
      </c>
      <c r="F2732" s="9">
        <v>0</v>
      </c>
      <c r="G2732" s="6">
        <v>5646</v>
      </c>
      <c r="H2732" s="9">
        <f t="shared" si="42"/>
        <v>0</v>
      </c>
      <c r="I2732" s="6">
        <v>12500</v>
      </c>
      <c r="J2732" s="6">
        <f>VLOOKUP(Table1[[#This Row],[Province]],[1]Sheet1!$A$3:$K$37,8,FALSE)</f>
        <v>3721400</v>
      </c>
      <c r="K2732">
        <v>0</v>
      </c>
      <c r="L2732" s="4">
        <v>1.64063</v>
      </c>
      <c r="M2732" s="4">
        <v>116.419389</v>
      </c>
      <c r="N2732" s="13">
        <v>-2.9</v>
      </c>
      <c r="P2732"/>
      <c r="Q2732" s="12"/>
      <c r="R2732" s="12"/>
    </row>
    <row r="2733" spans="1:18" x14ac:dyDescent="0.2">
      <c r="A2733">
        <v>23</v>
      </c>
      <c r="B2733" t="s">
        <v>15</v>
      </c>
      <c r="C2733">
        <v>2020</v>
      </c>
      <c r="D2733">
        <v>8</v>
      </c>
      <c r="E2733" s="4">
        <v>0</v>
      </c>
      <c r="F2733" s="9">
        <v>1E-3</v>
      </c>
      <c r="G2733" s="6">
        <v>2284</v>
      </c>
      <c r="H2733" s="9">
        <f t="shared" si="42"/>
        <v>1E-3</v>
      </c>
      <c r="I2733" s="6">
        <v>12500</v>
      </c>
      <c r="J2733" s="6">
        <f>VLOOKUP(Table1[[#This Row],[Province]],[1]Sheet1!$A$3:$K$37,8,FALSE)</f>
        <v>3721400</v>
      </c>
      <c r="K2733">
        <v>0</v>
      </c>
      <c r="L2733" s="4">
        <v>1.64063</v>
      </c>
      <c r="M2733" s="4">
        <v>116.419389</v>
      </c>
      <c r="N2733" s="13">
        <v>-2.9</v>
      </c>
      <c r="P2733"/>
      <c r="Q2733" s="12"/>
      <c r="R2733" s="12"/>
    </row>
    <row r="2734" spans="1:18" x14ac:dyDescent="0.2">
      <c r="A2734">
        <v>23</v>
      </c>
      <c r="B2734" t="s">
        <v>15</v>
      </c>
      <c r="C2734">
        <v>2020</v>
      </c>
      <c r="D2734">
        <v>9</v>
      </c>
      <c r="E2734" s="4">
        <v>0</v>
      </c>
      <c r="F2734" s="9">
        <v>0</v>
      </c>
      <c r="G2734" s="6">
        <v>3419</v>
      </c>
      <c r="H2734" s="9">
        <f t="shared" si="42"/>
        <v>0</v>
      </c>
      <c r="I2734" s="6">
        <v>12500</v>
      </c>
      <c r="J2734" s="6">
        <f>VLOOKUP(Table1[[#This Row],[Province]],[1]Sheet1!$A$3:$K$37,8,FALSE)</f>
        <v>3721400</v>
      </c>
      <c r="K2734">
        <v>0</v>
      </c>
      <c r="L2734" s="4">
        <v>1.64063</v>
      </c>
      <c r="M2734" s="4">
        <v>116.419389</v>
      </c>
      <c r="N2734" s="13">
        <v>-2.9</v>
      </c>
      <c r="P2734"/>
      <c r="Q2734" s="12"/>
      <c r="R2734" s="12"/>
    </row>
    <row r="2735" spans="1:18" x14ac:dyDescent="0.2">
      <c r="A2735">
        <v>23</v>
      </c>
      <c r="B2735" t="s">
        <v>15</v>
      </c>
      <c r="C2735">
        <v>2020</v>
      </c>
      <c r="D2735">
        <v>10</v>
      </c>
      <c r="E2735" s="4">
        <v>0</v>
      </c>
      <c r="F2735" s="9">
        <v>0</v>
      </c>
      <c r="G2735" s="6">
        <v>3982</v>
      </c>
      <c r="H2735" s="9">
        <f t="shared" si="42"/>
        <v>0</v>
      </c>
      <c r="I2735" s="6">
        <v>12500</v>
      </c>
      <c r="J2735" s="6">
        <f>VLOOKUP(Table1[[#This Row],[Province]],[1]Sheet1!$A$3:$K$37,8,FALSE)</f>
        <v>3721400</v>
      </c>
      <c r="K2735">
        <v>0</v>
      </c>
      <c r="L2735" s="4">
        <v>1.64063</v>
      </c>
      <c r="M2735" s="4">
        <v>116.419389</v>
      </c>
      <c r="N2735" s="13">
        <v>-2.9</v>
      </c>
      <c r="P2735"/>
      <c r="Q2735" s="12"/>
      <c r="R2735" s="12"/>
    </row>
    <row r="2736" spans="1:18" x14ac:dyDescent="0.2">
      <c r="A2736">
        <v>23</v>
      </c>
      <c r="B2736" t="s">
        <v>15</v>
      </c>
      <c r="C2736">
        <v>2020</v>
      </c>
      <c r="D2736">
        <v>11</v>
      </c>
      <c r="E2736" s="4">
        <v>0</v>
      </c>
      <c r="F2736" s="9">
        <v>0</v>
      </c>
      <c r="G2736" s="6">
        <v>3486</v>
      </c>
      <c r="H2736" s="9">
        <f t="shared" si="42"/>
        <v>0</v>
      </c>
      <c r="I2736" s="6">
        <v>12500</v>
      </c>
      <c r="J2736" s="6">
        <f>VLOOKUP(Table1[[#This Row],[Province]],[1]Sheet1!$A$3:$K$37,8,FALSE)</f>
        <v>3721400</v>
      </c>
      <c r="K2736">
        <v>0</v>
      </c>
      <c r="L2736" s="4">
        <v>1.64063</v>
      </c>
      <c r="M2736" s="4">
        <v>116.419389</v>
      </c>
      <c r="N2736" s="13">
        <v>-2.9</v>
      </c>
      <c r="P2736"/>
      <c r="Q2736" s="12"/>
      <c r="R2736" s="12"/>
    </row>
    <row r="2737" spans="1:18" x14ac:dyDescent="0.2">
      <c r="A2737">
        <v>23</v>
      </c>
      <c r="B2737" t="s">
        <v>15</v>
      </c>
      <c r="C2737">
        <v>2020</v>
      </c>
      <c r="D2737">
        <v>12</v>
      </c>
      <c r="E2737" s="4">
        <v>0</v>
      </c>
      <c r="F2737" s="9">
        <v>0</v>
      </c>
      <c r="G2737" s="6">
        <v>4529</v>
      </c>
      <c r="H2737" s="9">
        <f t="shared" si="42"/>
        <v>0</v>
      </c>
      <c r="I2737" s="6">
        <v>12500</v>
      </c>
      <c r="J2737" s="6">
        <f>VLOOKUP(Table1[[#This Row],[Province]],[1]Sheet1!$A$3:$K$37,8,FALSE)</f>
        <v>3721400</v>
      </c>
      <c r="K2737">
        <v>1</v>
      </c>
      <c r="L2737" s="4">
        <v>1.64063</v>
      </c>
      <c r="M2737" s="4">
        <v>116.419389</v>
      </c>
      <c r="N2737" s="13">
        <v>-2.9</v>
      </c>
      <c r="P2737"/>
      <c r="Q2737" s="12"/>
      <c r="R2737" s="12"/>
    </row>
    <row r="2738" spans="1:18" x14ac:dyDescent="0.2">
      <c r="A2738">
        <v>23</v>
      </c>
      <c r="B2738" t="s">
        <v>15</v>
      </c>
      <c r="C2738">
        <v>2021</v>
      </c>
      <c r="D2738">
        <v>1</v>
      </c>
      <c r="E2738" s="4">
        <v>0</v>
      </c>
      <c r="F2738" s="9">
        <v>2E-3</v>
      </c>
      <c r="G2738" s="6">
        <v>4815</v>
      </c>
      <c r="H2738" s="9">
        <f t="shared" si="42"/>
        <v>2E-3</v>
      </c>
      <c r="I2738" s="6">
        <v>12500</v>
      </c>
      <c r="J2738" s="6">
        <f>VLOOKUP(Table1[[#This Row],[Province]],[1]Sheet1!$A$3:$K$37,8,FALSE)</f>
        <v>3721400</v>
      </c>
      <c r="K2738">
        <v>0</v>
      </c>
      <c r="L2738" s="4">
        <v>1.64063</v>
      </c>
      <c r="M2738" s="4">
        <v>116.419389</v>
      </c>
      <c r="N2738" s="13">
        <v>2.5499999999999998</v>
      </c>
      <c r="P2738"/>
      <c r="Q2738" s="12"/>
      <c r="R2738" s="12"/>
    </row>
    <row r="2739" spans="1:18" x14ac:dyDescent="0.2">
      <c r="A2739">
        <v>23</v>
      </c>
      <c r="B2739" t="s">
        <v>15</v>
      </c>
      <c r="C2739">
        <v>2021</v>
      </c>
      <c r="D2739">
        <v>2</v>
      </c>
      <c r="E2739" s="4">
        <v>0</v>
      </c>
      <c r="F2739" s="9">
        <v>0</v>
      </c>
      <c r="G2739" s="6">
        <v>2331</v>
      </c>
      <c r="H2739" s="9">
        <f t="shared" si="42"/>
        <v>0</v>
      </c>
      <c r="I2739" s="6">
        <v>12500</v>
      </c>
      <c r="J2739" s="6">
        <f>VLOOKUP(Table1[[#This Row],[Province]],[1]Sheet1!$A$3:$K$37,8,FALSE)</f>
        <v>3721400</v>
      </c>
      <c r="K2739">
        <v>0</v>
      </c>
      <c r="L2739" s="4">
        <v>1.64063</v>
      </c>
      <c r="M2739" s="4">
        <v>116.419389</v>
      </c>
      <c r="N2739" s="13">
        <v>2.5499999999999998</v>
      </c>
      <c r="P2739"/>
      <c r="Q2739" s="12"/>
      <c r="R2739" s="12"/>
    </row>
    <row r="2740" spans="1:18" x14ac:dyDescent="0.2">
      <c r="A2740">
        <v>23</v>
      </c>
      <c r="B2740" t="s">
        <v>15</v>
      </c>
      <c r="C2740">
        <v>2021</v>
      </c>
      <c r="D2740">
        <v>3</v>
      </c>
      <c r="E2740" s="4">
        <v>0</v>
      </c>
      <c r="F2740" s="9">
        <v>0</v>
      </c>
      <c r="G2740" s="6">
        <v>2741</v>
      </c>
      <c r="H2740" s="9">
        <f t="shared" si="42"/>
        <v>0</v>
      </c>
      <c r="I2740" s="6">
        <v>12500</v>
      </c>
      <c r="J2740" s="6">
        <f>VLOOKUP(Table1[[#This Row],[Province]],[1]Sheet1!$A$3:$K$37,8,FALSE)</f>
        <v>3721400</v>
      </c>
      <c r="K2740">
        <v>0</v>
      </c>
      <c r="L2740" s="4">
        <v>1.64063</v>
      </c>
      <c r="M2740" s="4">
        <v>116.419389</v>
      </c>
      <c r="N2740" s="13">
        <v>2.5499999999999998</v>
      </c>
      <c r="P2740"/>
      <c r="Q2740" s="12"/>
      <c r="R2740" s="12"/>
    </row>
    <row r="2741" spans="1:18" x14ac:dyDescent="0.2">
      <c r="A2741">
        <v>23</v>
      </c>
      <c r="B2741" t="s">
        <v>15</v>
      </c>
      <c r="C2741">
        <v>2021</v>
      </c>
      <c r="D2741">
        <v>4</v>
      </c>
      <c r="E2741" s="4">
        <v>0</v>
      </c>
      <c r="F2741" s="9">
        <v>2E-3</v>
      </c>
      <c r="G2741" s="6">
        <v>3833</v>
      </c>
      <c r="H2741" s="9">
        <f t="shared" si="42"/>
        <v>2E-3</v>
      </c>
      <c r="I2741" s="6">
        <v>13450</v>
      </c>
      <c r="J2741" s="6">
        <f>VLOOKUP(Table1[[#This Row],[Province]],[1]Sheet1!$A$3:$K$37,8,FALSE)</f>
        <v>3721400</v>
      </c>
      <c r="K2741">
        <v>1</v>
      </c>
      <c r="L2741" s="4">
        <v>1.64063</v>
      </c>
      <c r="M2741" s="4">
        <v>116.419389</v>
      </c>
      <c r="N2741" s="13">
        <v>2.5499999999999998</v>
      </c>
      <c r="P2741"/>
      <c r="Q2741" s="12"/>
      <c r="R2741" s="12"/>
    </row>
    <row r="2742" spans="1:18" x14ac:dyDescent="0.2">
      <c r="A2742">
        <v>23</v>
      </c>
      <c r="B2742" t="s">
        <v>15</v>
      </c>
      <c r="C2742">
        <v>2021</v>
      </c>
      <c r="D2742">
        <v>5</v>
      </c>
      <c r="E2742" s="4">
        <v>0</v>
      </c>
      <c r="F2742" s="9">
        <v>0</v>
      </c>
      <c r="G2742" s="6">
        <v>3390</v>
      </c>
      <c r="H2742" s="9">
        <f t="shared" si="42"/>
        <v>0</v>
      </c>
      <c r="I2742" s="6">
        <v>13440</v>
      </c>
      <c r="J2742" s="6">
        <f>VLOOKUP(Table1[[#This Row],[Province]],[1]Sheet1!$A$3:$K$37,8,FALSE)</f>
        <v>3721400</v>
      </c>
      <c r="K2742">
        <v>0</v>
      </c>
      <c r="L2742" s="4">
        <v>1.64063</v>
      </c>
      <c r="M2742" s="4">
        <v>116.419389</v>
      </c>
      <c r="N2742" s="13">
        <v>2.5499999999999998</v>
      </c>
      <c r="P2742"/>
      <c r="Q2742" s="12"/>
      <c r="R2742" s="12"/>
    </row>
    <row r="2743" spans="1:18" x14ac:dyDescent="0.2">
      <c r="A2743">
        <v>23</v>
      </c>
      <c r="B2743" t="s">
        <v>15</v>
      </c>
      <c r="C2743">
        <v>2021</v>
      </c>
      <c r="D2743">
        <v>5</v>
      </c>
      <c r="E2743" s="4">
        <v>0</v>
      </c>
      <c r="F2743" s="9">
        <v>0</v>
      </c>
      <c r="G2743" s="6">
        <v>3105</v>
      </c>
      <c r="H2743" s="9">
        <f t="shared" si="42"/>
        <v>0</v>
      </c>
      <c r="I2743" s="6">
        <v>15350</v>
      </c>
      <c r="J2743" s="6">
        <f>VLOOKUP(Table1[[#This Row],[Province]],[1]Sheet1!$A$3:$K$37,8,FALSE)</f>
        <v>3721400</v>
      </c>
      <c r="K2743">
        <v>0</v>
      </c>
      <c r="L2743" s="4">
        <v>1.64063</v>
      </c>
      <c r="M2743" s="4">
        <v>116.419389</v>
      </c>
      <c r="N2743" s="13">
        <v>2.5499999999999998</v>
      </c>
      <c r="P2743"/>
      <c r="Q2743" s="12"/>
      <c r="R2743" s="12"/>
    </row>
    <row r="2744" spans="1:18" x14ac:dyDescent="0.2">
      <c r="A2744">
        <v>23</v>
      </c>
      <c r="B2744" t="s">
        <v>15</v>
      </c>
      <c r="C2744">
        <v>2021</v>
      </c>
      <c r="D2744">
        <v>6</v>
      </c>
      <c r="E2744" s="4">
        <v>0</v>
      </c>
      <c r="F2744" s="9">
        <v>0</v>
      </c>
      <c r="G2744" s="6">
        <v>2117</v>
      </c>
      <c r="H2744" s="9">
        <f t="shared" si="42"/>
        <v>0</v>
      </c>
      <c r="I2744" s="6">
        <v>13450</v>
      </c>
      <c r="J2744" s="6">
        <f>VLOOKUP(Table1[[#This Row],[Province]],[1]Sheet1!$A$3:$K$37,8,FALSE)</f>
        <v>3721400</v>
      </c>
      <c r="K2744">
        <v>0</v>
      </c>
      <c r="L2744" s="4">
        <v>1.64063</v>
      </c>
      <c r="M2744" s="4">
        <v>116.419389</v>
      </c>
      <c r="N2744" s="13">
        <v>2.5499999999999998</v>
      </c>
      <c r="P2744"/>
      <c r="Q2744" s="12"/>
      <c r="R2744" s="12"/>
    </row>
    <row r="2745" spans="1:18" x14ac:dyDescent="0.2">
      <c r="A2745">
        <v>23</v>
      </c>
      <c r="B2745" t="s">
        <v>15</v>
      </c>
      <c r="C2745">
        <v>2021</v>
      </c>
      <c r="D2745">
        <v>7</v>
      </c>
      <c r="E2745" s="4">
        <v>0</v>
      </c>
      <c r="F2745" s="9">
        <v>0</v>
      </c>
      <c r="G2745" s="6">
        <v>2453</v>
      </c>
      <c r="H2745" s="9">
        <f t="shared" si="42"/>
        <v>0</v>
      </c>
      <c r="I2745" s="6">
        <v>13175</v>
      </c>
      <c r="J2745" s="6">
        <f>VLOOKUP(Table1[[#This Row],[Province]],[1]Sheet1!$A$3:$K$37,8,FALSE)</f>
        <v>3721400</v>
      </c>
      <c r="K2745">
        <v>0</v>
      </c>
      <c r="L2745" s="4">
        <v>1.64063</v>
      </c>
      <c r="M2745" s="4">
        <v>116.419389</v>
      </c>
      <c r="N2745" s="13">
        <v>2.5499999999999998</v>
      </c>
      <c r="P2745"/>
      <c r="Q2745" s="12"/>
      <c r="R2745" s="12"/>
    </row>
    <row r="2746" spans="1:18" x14ac:dyDescent="0.2">
      <c r="A2746">
        <v>23</v>
      </c>
      <c r="B2746" t="s">
        <v>15</v>
      </c>
      <c r="C2746">
        <v>2021</v>
      </c>
      <c r="D2746">
        <v>8</v>
      </c>
      <c r="E2746" s="4">
        <v>0</v>
      </c>
      <c r="F2746" s="9">
        <v>0</v>
      </c>
      <c r="G2746" s="6">
        <v>1997</v>
      </c>
      <c r="H2746" s="9">
        <f t="shared" si="42"/>
        <v>0</v>
      </c>
      <c r="I2746" s="6">
        <v>13030</v>
      </c>
      <c r="J2746" s="6">
        <f>VLOOKUP(Table1[[#This Row],[Province]],[1]Sheet1!$A$3:$K$37,8,FALSE)</f>
        <v>3721400</v>
      </c>
      <c r="K2746">
        <v>0</v>
      </c>
      <c r="L2746" s="4">
        <v>1.64063</v>
      </c>
      <c r="M2746" s="4">
        <v>116.419389</v>
      </c>
      <c r="N2746" s="13">
        <v>2.5499999999999998</v>
      </c>
      <c r="P2746"/>
      <c r="Q2746" s="12"/>
      <c r="R2746" s="12"/>
    </row>
    <row r="2747" spans="1:18" x14ac:dyDescent="0.2">
      <c r="A2747">
        <v>23</v>
      </c>
      <c r="B2747" t="s">
        <v>15</v>
      </c>
      <c r="C2747">
        <v>2021</v>
      </c>
      <c r="D2747">
        <v>10</v>
      </c>
      <c r="E2747" s="4">
        <v>0</v>
      </c>
      <c r="F2747" s="9">
        <v>0</v>
      </c>
      <c r="G2747" s="6">
        <v>2602</v>
      </c>
      <c r="H2747" s="9">
        <f t="shared" si="42"/>
        <v>0</v>
      </c>
      <c r="I2747" s="6">
        <v>13000</v>
      </c>
      <c r="J2747" s="6">
        <f>VLOOKUP(Table1[[#This Row],[Province]],[1]Sheet1!$A$3:$K$37,8,FALSE)</f>
        <v>3721400</v>
      </c>
      <c r="K2747">
        <v>0</v>
      </c>
      <c r="L2747" s="4">
        <v>1.64063</v>
      </c>
      <c r="M2747" s="4">
        <v>116.419389</v>
      </c>
      <c r="N2747" s="13">
        <v>2.5499999999999998</v>
      </c>
      <c r="P2747"/>
      <c r="Q2747" s="12"/>
      <c r="R2747" s="12"/>
    </row>
    <row r="2748" spans="1:18" x14ac:dyDescent="0.2">
      <c r="A2748">
        <v>23</v>
      </c>
      <c r="B2748" t="s">
        <v>15</v>
      </c>
      <c r="C2748">
        <v>2021</v>
      </c>
      <c r="D2748">
        <v>11</v>
      </c>
      <c r="E2748" s="4">
        <v>0</v>
      </c>
      <c r="F2748" s="9">
        <v>1E-3</v>
      </c>
      <c r="G2748" s="6">
        <v>1919</v>
      </c>
      <c r="H2748" s="9">
        <f t="shared" si="42"/>
        <v>1E-3</v>
      </c>
      <c r="I2748" s="6">
        <v>13170</v>
      </c>
      <c r="J2748" s="6">
        <f>VLOOKUP(Table1[[#This Row],[Province]],[1]Sheet1!$A$3:$K$37,8,FALSE)</f>
        <v>3721400</v>
      </c>
      <c r="K2748">
        <v>0</v>
      </c>
      <c r="L2748" s="4">
        <v>1.64063</v>
      </c>
      <c r="M2748" s="4">
        <v>116.419389</v>
      </c>
      <c r="N2748" s="13">
        <v>2.5499999999999998</v>
      </c>
      <c r="P2748"/>
      <c r="Q2748" s="12"/>
      <c r="R2748" s="12"/>
    </row>
    <row r="2749" spans="1:18" x14ac:dyDescent="0.2">
      <c r="A2749">
        <v>23</v>
      </c>
      <c r="B2749" t="s">
        <v>15</v>
      </c>
      <c r="C2749">
        <v>2021</v>
      </c>
      <c r="D2749">
        <v>12</v>
      </c>
      <c r="E2749" s="4">
        <v>0</v>
      </c>
      <c r="F2749" s="9">
        <v>1.4999999999999999E-2</v>
      </c>
      <c r="G2749" s="6">
        <v>2308</v>
      </c>
      <c r="H2749" s="9">
        <f t="shared" si="42"/>
        <v>1.4999999999999999E-2</v>
      </c>
      <c r="I2749" s="6">
        <v>13500</v>
      </c>
      <c r="J2749" s="6">
        <f>VLOOKUP(Table1[[#This Row],[Province]],[1]Sheet1!$A$3:$K$37,8,FALSE)</f>
        <v>3721400</v>
      </c>
      <c r="K2749">
        <v>1</v>
      </c>
      <c r="L2749" s="4">
        <v>1.64063</v>
      </c>
      <c r="M2749" s="4">
        <v>116.419389</v>
      </c>
      <c r="N2749" s="13">
        <v>2.5499999999999998</v>
      </c>
      <c r="P2749"/>
      <c r="Q2749" s="12"/>
      <c r="R2749" s="12"/>
    </row>
    <row r="2750" spans="1:18" x14ac:dyDescent="0.2">
      <c r="A2750">
        <v>23</v>
      </c>
      <c r="B2750" t="s">
        <v>15</v>
      </c>
      <c r="C2750">
        <v>2022</v>
      </c>
      <c r="D2750">
        <v>1</v>
      </c>
      <c r="E2750" s="6">
        <v>0</v>
      </c>
      <c r="F2750" s="9">
        <v>3.0000000000000001E-3</v>
      </c>
      <c r="G2750" s="6">
        <v>1789</v>
      </c>
      <c r="H2750" s="9">
        <f t="shared" si="42"/>
        <v>3.0000000000000001E-3</v>
      </c>
      <c r="I2750" s="6">
        <v>14070</v>
      </c>
      <c r="J2750" s="6">
        <f>VLOOKUP(Table1[[#This Row],[Province]],[1]Sheet1!$A$3:$K$37,8,FALSE)</f>
        <v>3721400</v>
      </c>
      <c r="K2750">
        <v>0</v>
      </c>
      <c r="L2750" s="4">
        <v>1.64063</v>
      </c>
      <c r="M2750" s="4">
        <v>116.419389</v>
      </c>
      <c r="N2750" s="13">
        <v>4.4800000000000004</v>
      </c>
      <c r="P2750"/>
      <c r="Q2750" s="12"/>
      <c r="R2750" s="12"/>
    </row>
    <row r="2751" spans="1:18" x14ac:dyDescent="0.2">
      <c r="A2751">
        <v>23</v>
      </c>
      <c r="B2751" t="s">
        <v>15</v>
      </c>
      <c r="C2751">
        <v>2022</v>
      </c>
      <c r="D2751">
        <v>2</v>
      </c>
      <c r="E2751" s="6">
        <v>0</v>
      </c>
      <c r="F2751" s="9">
        <v>0.01</v>
      </c>
      <c r="G2751" s="6">
        <v>341</v>
      </c>
      <c r="H2751" s="9">
        <f t="shared" si="42"/>
        <v>0.01</v>
      </c>
      <c r="I2751" s="6">
        <v>14514</v>
      </c>
      <c r="J2751" s="6">
        <f>VLOOKUP(Table1[[#This Row],[Province]],[1]Sheet1!$A$3:$K$37,8,FALSE)</f>
        <v>3721400</v>
      </c>
      <c r="K2751">
        <v>0</v>
      </c>
      <c r="L2751" s="4">
        <v>1.64063</v>
      </c>
      <c r="M2751" s="4">
        <v>116.419389</v>
      </c>
      <c r="N2751" s="13">
        <v>4.4800000000000004</v>
      </c>
      <c r="P2751"/>
      <c r="Q2751" s="12"/>
      <c r="R2751" s="12"/>
    </row>
    <row r="2752" spans="1:18" x14ac:dyDescent="0.2">
      <c r="A2752">
        <v>23</v>
      </c>
      <c r="B2752" t="s">
        <v>15</v>
      </c>
      <c r="C2752">
        <v>2022</v>
      </c>
      <c r="D2752">
        <v>3</v>
      </c>
      <c r="E2752" s="6">
        <v>0</v>
      </c>
      <c r="F2752" s="9">
        <v>0</v>
      </c>
      <c r="G2752" s="6">
        <v>2169</v>
      </c>
      <c r="H2752" s="9">
        <f t="shared" si="42"/>
        <v>0</v>
      </c>
      <c r="I2752" s="6">
        <v>14959</v>
      </c>
      <c r="J2752" s="6">
        <f>VLOOKUP(Table1[[#This Row],[Province]],[1]Sheet1!$A$3:$K$37,8,FALSE)</f>
        <v>3721400</v>
      </c>
      <c r="K2752">
        <v>0</v>
      </c>
      <c r="L2752" s="4">
        <v>1.64063</v>
      </c>
      <c r="M2752" s="4">
        <v>116.419389</v>
      </c>
      <c r="N2752" s="13">
        <v>4.4800000000000004</v>
      </c>
      <c r="P2752"/>
      <c r="Q2752" s="12"/>
      <c r="R2752" s="12"/>
    </row>
    <row r="2753" spans="1:18" x14ac:dyDescent="0.2">
      <c r="A2753">
        <v>23</v>
      </c>
      <c r="B2753" t="s">
        <v>15</v>
      </c>
      <c r="C2753">
        <v>2022</v>
      </c>
      <c r="D2753">
        <v>4</v>
      </c>
      <c r="E2753" s="6">
        <v>0</v>
      </c>
      <c r="F2753" s="9">
        <v>0</v>
      </c>
      <c r="G2753" s="6">
        <v>3038</v>
      </c>
      <c r="H2753" s="9">
        <f t="shared" si="42"/>
        <v>0</v>
      </c>
      <c r="I2753" s="6">
        <v>15916</v>
      </c>
      <c r="J2753" s="6">
        <f>VLOOKUP(Table1[[#This Row],[Province]],[1]Sheet1!$A$3:$K$37,8,FALSE)</f>
        <v>3721400</v>
      </c>
      <c r="K2753">
        <v>1</v>
      </c>
      <c r="L2753" s="4">
        <v>1.64063</v>
      </c>
      <c r="M2753" s="4">
        <v>116.419389</v>
      </c>
      <c r="N2753" s="13">
        <v>4.4800000000000004</v>
      </c>
      <c r="P2753"/>
      <c r="Q2753" s="12"/>
      <c r="R2753" s="12"/>
    </row>
    <row r="2754" spans="1:18" x14ac:dyDescent="0.2">
      <c r="A2754">
        <v>23</v>
      </c>
      <c r="B2754" t="s">
        <v>15</v>
      </c>
      <c r="C2754">
        <v>2022</v>
      </c>
      <c r="D2754">
        <v>5</v>
      </c>
      <c r="E2754" s="6">
        <v>0</v>
      </c>
      <c r="F2754" s="9">
        <v>0</v>
      </c>
      <c r="G2754" s="6">
        <v>4442</v>
      </c>
      <c r="H2754" s="9">
        <f t="shared" ref="H2754:H2817" si="43">F2754+E2754</f>
        <v>0</v>
      </c>
      <c r="I2754" s="6">
        <v>15540</v>
      </c>
      <c r="J2754" s="6">
        <f>VLOOKUP(Table1[[#This Row],[Province]],[1]Sheet1!$A$3:$K$37,8,FALSE)</f>
        <v>3721400</v>
      </c>
      <c r="K2754">
        <v>0</v>
      </c>
      <c r="L2754" s="4">
        <v>1.64063</v>
      </c>
      <c r="M2754" s="4">
        <v>116.419389</v>
      </c>
      <c r="N2754" s="13">
        <v>4.4800000000000004</v>
      </c>
      <c r="P2754"/>
      <c r="Q2754" s="12"/>
      <c r="R2754" s="12"/>
    </row>
    <row r="2755" spans="1:18" x14ac:dyDescent="0.2">
      <c r="A2755">
        <v>23</v>
      </c>
      <c r="B2755" t="s">
        <v>15</v>
      </c>
      <c r="C2755">
        <v>2022</v>
      </c>
      <c r="D2755">
        <v>6</v>
      </c>
      <c r="E2755" s="6">
        <v>0</v>
      </c>
      <c r="F2755" s="9">
        <v>0</v>
      </c>
      <c r="G2755" s="6">
        <v>2704</v>
      </c>
      <c r="H2755" s="9">
        <f t="shared" si="43"/>
        <v>0</v>
      </c>
      <c r="I2755" s="6">
        <v>15355</v>
      </c>
      <c r="J2755" s="6">
        <f>VLOOKUP(Table1[[#This Row],[Province]],[1]Sheet1!$A$3:$K$37,8,FALSE)</f>
        <v>3721400</v>
      </c>
      <c r="K2755">
        <v>0</v>
      </c>
      <c r="L2755" s="4">
        <v>1.64063</v>
      </c>
      <c r="M2755" s="4">
        <v>116.419389</v>
      </c>
      <c r="N2755" s="13">
        <v>4.4800000000000004</v>
      </c>
      <c r="P2755"/>
      <c r="Q2755" s="12"/>
      <c r="R2755" s="12"/>
    </row>
    <row r="2756" spans="1:18" x14ac:dyDescent="0.2">
      <c r="A2756">
        <v>23</v>
      </c>
      <c r="B2756" t="s">
        <v>15</v>
      </c>
      <c r="C2756">
        <v>2022</v>
      </c>
      <c r="D2756">
        <v>7</v>
      </c>
      <c r="E2756" s="6">
        <v>0</v>
      </c>
      <c r="F2756" s="9">
        <v>0</v>
      </c>
      <c r="G2756" s="6">
        <v>2703</v>
      </c>
      <c r="H2756" s="9">
        <f t="shared" si="43"/>
        <v>0</v>
      </c>
      <c r="I2756" s="6">
        <v>15140</v>
      </c>
      <c r="J2756" s="6">
        <f>VLOOKUP(Table1[[#This Row],[Province]],[1]Sheet1!$A$3:$K$37,8,FALSE)</f>
        <v>3721400</v>
      </c>
      <c r="K2756">
        <v>0</v>
      </c>
      <c r="L2756" s="4">
        <v>1.64063</v>
      </c>
      <c r="M2756" s="4">
        <v>116.419389</v>
      </c>
      <c r="N2756" s="13">
        <v>4.4800000000000004</v>
      </c>
      <c r="P2756"/>
      <c r="Q2756" s="12"/>
      <c r="R2756" s="12"/>
    </row>
    <row r="2757" spans="1:18" x14ac:dyDescent="0.2">
      <c r="A2757">
        <v>23</v>
      </c>
      <c r="B2757" t="s">
        <v>15</v>
      </c>
      <c r="C2757">
        <v>2022</v>
      </c>
      <c r="D2757">
        <v>8</v>
      </c>
      <c r="E2757" s="6">
        <v>0</v>
      </c>
      <c r="F2757" s="9">
        <v>0</v>
      </c>
      <c r="G2757" s="6">
        <v>2058</v>
      </c>
      <c r="H2757" s="9">
        <f t="shared" si="43"/>
        <v>0</v>
      </c>
      <c r="I2757" s="6">
        <v>14695</v>
      </c>
      <c r="J2757" s="6">
        <f>VLOOKUP(Table1[[#This Row],[Province]],[1]Sheet1!$A$3:$K$37,8,FALSE)</f>
        <v>3721400</v>
      </c>
      <c r="K2757">
        <v>0</v>
      </c>
      <c r="L2757" s="4">
        <v>1.64063</v>
      </c>
      <c r="M2757" s="4">
        <v>116.419389</v>
      </c>
      <c r="N2757" s="13">
        <v>4.4800000000000004</v>
      </c>
      <c r="P2757"/>
      <c r="Q2757" s="12"/>
      <c r="R2757" s="12"/>
    </row>
    <row r="2758" spans="1:18" x14ac:dyDescent="0.2">
      <c r="A2758">
        <v>23</v>
      </c>
      <c r="B2758" t="s">
        <v>15</v>
      </c>
      <c r="C2758">
        <v>2022</v>
      </c>
      <c r="D2758">
        <v>9</v>
      </c>
      <c r="E2758" s="6">
        <v>0</v>
      </c>
      <c r="F2758" s="9">
        <v>0</v>
      </c>
      <c r="G2758" s="6">
        <v>3251</v>
      </c>
      <c r="H2758" s="9">
        <f t="shared" si="43"/>
        <v>0</v>
      </c>
      <c r="I2758" s="6">
        <v>13702</v>
      </c>
      <c r="J2758" s="6">
        <f>VLOOKUP(Table1[[#This Row],[Province]],[1]Sheet1!$A$3:$K$37,8,FALSE)</f>
        <v>3721400</v>
      </c>
      <c r="K2758">
        <v>0</v>
      </c>
      <c r="L2758" s="4">
        <v>1.64063</v>
      </c>
      <c r="M2758" s="4">
        <v>116.419389</v>
      </c>
      <c r="N2758" s="13">
        <v>4.4800000000000004</v>
      </c>
      <c r="P2758"/>
      <c r="Q2758" s="12"/>
      <c r="R2758" s="12"/>
    </row>
    <row r="2759" spans="1:18" x14ac:dyDescent="0.2">
      <c r="A2759">
        <v>23</v>
      </c>
      <c r="B2759" t="s">
        <v>15</v>
      </c>
      <c r="C2759">
        <v>2022</v>
      </c>
      <c r="D2759">
        <v>10</v>
      </c>
      <c r="E2759" s="6">
        <v>0</v>
      </c>
      <c r="F2759" s="9">
        <v>0</v>
      </c>
      <c r="G2759" s="6">
        <v>1840</v>
      </c>
      <c r="H2759" s="9">
        <f t="shared" si="43"/>
        <v>0</v>
      </c>
      <c r="I2759" s="6">
        <v>13582</v>
      </c>
      <c r="J2759" s="6">
        <f>VLOOKUP(Table1[[#This Row],[Province]],[1]Sheet1!$A$3:$K$37,8,FALSE)</f>
        <v>3721400</v>
      </c>
      <c r="K2759">
        <v>0</v>
      </c>
      <c r="L2759" s="4">
        <v>1.64063</v>
      </c>
      <c r="M2759" s="4">
        <v>116.419389</v>
      </c>
      <c r="N2759" s="13">
        <v>4.4800000000000004</v>
      </c>
      <c r="P2759"/>
      <c r="Q2759" s="12"/>
      <c r="R2759" s="12"/>
    </row>
    <row r="2760" spans="1:18" x14ac:dyDescent="0.2">
      <c r="A2760">
        <v>23</v>
      </c>
      <c r="B2760" t="s">
        <v>15</v>
      </c>
      <c r="C2760">
        <v>2022</v>
      </c>
      <c r="D2760">
        <v>11</v>
      </c>
      <c r="E2760" s="6">
        <v>0</v>
      </c>
      <c r="F2760" s="9">
        <v>0</v>
      </c>
      <c r="G2760" s="6">
        <v>2249</v>
      </c>
      <c r="H2760" s="9">
        <f t="shared" si="43"/>
        <v>0</v>
      </c>
      <c r="I2760" s="6">
        <v>14336</v>
      </c>
      <c r="J2760" s="6">
        <f>VLOOKUP(Table1[[#This Row],[Province]],[1]Sheet1!$A$3:$K$37,8,FALSE)</f>
        <v>3721400</v>
      </c>
      <c r="K2760">
        <v>0</v>
      </c>
      <c r="L2760" s="4">
        <v>1.64063</v>
      </c>
      <c r="M2760" s="4">
        <v>116.419389</v>
      </c>
      <c r="N2760" s="13">
        <v>4.4800000000000004</v>
      </c>
      <c r="P2760"/>
      <c r="Q2760" s="12"/>
      <c r="R2760" s="12"/>
    </row>
    <row r="2761" spans="1:18" x14ac:dyDescent="0.2">
      <c r="A2761">
        <v>23</v>
      </c>
      <c r="B2761" t="s">
        <v>15</v>
      </c>
      <c r="C2761">
        <v>2022</v>
      </c>
      <c r="D2761">
        <v>12</v>
      </c>
      <c r="E2761" s="6">
        <v>0</v>
      </c>
      <c r="F2761" s="9">
        <v>1E-3</v>
      </c>
      <c r="G2761" s="6">
        <v>3674</v>
      </c>
      <c r="H2761" s="9">
        <f t="shared" si="43"/>
        <v>1E-3</v>
      </c>
      <c r="I2761" s="6">
        <v>14348</v>
      </c>
      <c r="J2761" s="6">
        <f>VLOOKUP(Table1[[#This Row],[Province]],[1]Sheet1!$A$3:$K$37,8,FALSE)</f>
        <v>3721400</v>
      </c>
      <c r="K2761">
        <v>1</v>
      </c>
      <c r="L2761" s="4">
        <v>1.64063</v>
      </c>
      <c r="M2761" s="4">
        <v>116.419389</v>
      </c>
      <c r="N2761" s="13">
        <v>4.4800000000000004</v>
      </c>
      <c r="P2761"/>
      <c r="Q2761" s="12"/>
      <c r="R2761" s="12"/>
    </row>
    <row r="2762" spans="1:18" x14ac:dyDescent="0.2">
      <c r="A2762">
        <v>24</v>
      </c>
      <c r="B2762" t="s">
        <v>16</v>
      </c>
      <c r="C2762">
        <v>2015</v>
      </c>
      <c r="D2762">
        <v>5</v>
      </c>
      <c r="E2762" s="4">
        <v>0</v>
      </c>
      <c r="F2762" s="9">
        <v>0</v>
      </c>
      <c r="G2762" s="6">
        <v>672</v>
      </c>
      <c r="H2762" s="9">
        <f t="shared" si="43"/>
        <v>0</v>
      </c>
      <c r="I2762" s="6">
        <v>13000</v>
      </c>
      <c r="J2762" s="6">
        <f>VLOOKUP(Table1[[#This Row],[Province]],[1]Sheet1!$A$3:$K$37,8,FALSE)</f>
        <v>742200</v>
      </c>
      <c r="K2762">
        <v>0</v>
      </c>
      <c r="L2762" s="4">
        <v>3.0731000000000002</v>
      </c>
      <c r="M2762" s="4">
        <v>116.0414</v>
      </c>
      <c r="N2762" s="6"/>
      <c r="P2762"/>
      <c r="Q2762" s="12"/>
      <c r="R2762" s="12"/>
    </row>
    <row r="2763" spans="1:18" x14ac:dyDescent="0.2">
      <c r="A2763">
        <v>24</v>
      </c>
      <c r="B2763" t="s">
        <v>16</v>
      </c>
      <c r="C2763">
        <v>2015</v>
      </c>
      <c r="D2763">
        <v>6</v>
      </c>
      <c r="E2763" s="4">
        <v>0</v>
      </c>
      <c r="F2763" s="9">
        <v>0</v>
      </c>
      <c r="G2763" s="6">
        <v>764</v>
      </c>
      <c r="H2763" s="9">
        <f t="shared" si="43"/>
        <v>0</v>
      </c>
      <c r="I2763" s="6">
        <v>13000</v>
      </c>
      <c r="J2763" s="6">
        <f>VLOOKUP(Table1[[#This Row],[Province]],[1]Sheet1!$A$3:$K$37,8,FALSE)</f>
        <v>742200</v>
      </c>
      <c r="K2763">
        <v>1</v>
      </c>
      <c r="L2763" s="4">
        <v>3.0731000000000002</v>
      </c>
      <c r="M2763" s="4">
        <v>116.0414</v>
      </c>
      <c r="N2763" s="6"/>
      <c r="P2763"/>
      <c r="Q2763" s="12"/>
      <c r="R2763" s="12"/>
    </row>
    <row r="2764" spans="1:18" x14ac:dyDescent="0.2">
      <c r="A2764">
        <v>24</v>
      </c>
      <c r="B2764" t="s">
        <v>16</v>
      </c>
      <c r="C2764">
        <v>2015</v>
      </c>
      <c r="D2764">
        <v>7</v>
      </c>
      <c r="E2764" s="4">
        <v>0</v>
      </c>
      <c r="F2764" s="9">
        <v>0</v>
      </c>
      <c r="G2764" s="6">
        <v>522</v>
      </c>
      <c r="H2764" s="9">
        <f t="shared" si="43"/>
        <v>0</v>
      </c>
      <c r="I2764" s="6">
        <v>13421</v>
      </c>
      <c r="J2764" s="6">
        <f>VLOOKUP(Table1[[#This Row],[Province]],[1]Sheet1!$A$3:$K$37,8,FALSE)</f>
        <v>742200</v>
      </c>
      <c r="K2764">
        <v>0</v>
      </c>
      <c r="L2764" s="4">
        <v>3.0731000000000002</v>
      </c>
      <c r="M2764" s="4">
        <v>116.0414</v>
      </c>
      <c r="N2764" s="6"/>
      <c r="P2764"/>
      <c r="Q2764" s="12"/>
      <c r="R2764" s="12"/>
    </row>
    <row r="2765" spans="1:18" x14ac:dyDescent="0.2">
      <c r="A2765">
        <v>24</v>
      </c>
      <c r="B2765" t="s">
        <v>16</v>
      </c>
      <c r="C2765">
        <v>2015</v>
      </c>
      <c r="D2765">
        <v>8</v>
      </c>
      <c r="E2765" s="4">
        <v>0</v>
      </c>
      <c r="F2765" s="9">
        <v>0</v>
      </c>
      <c r="G2765" s="6">
        <v>516</v>
      </c>
      <c r="H2765" s="9">
        <f t="shared" si="43"/>
        <v>0</v>
      </c>
      <c r="I2765" s="6">
        <v>13050</v>
      </c>
      <c r="J2765" s="6">
        <f>VLOOKUP(Table1[[#This Row],[Province]],[1]Sheet1!$A$3:$K$37,8,FALSE)</f>
        <v>742200</v>
      </c>
      <c r="K2765">
        <v>0</v>
      </c>
      <c r="L2765" s="4">
        <v>3.0731000000000002</v>
      </c>
      <c r="M2765" s="4">
        <v>116.0414</v>
      </c>
      <c r="N2765" s="6"/>
      <c r="P2765"/>
      <c r="Q2765" s="12"/>
      <c r="R2765" s="12"/>
    </row>
    <row r="2766" spans="1:18" x14ac:dyDescent="0.2">
      <c r="A2766">
        <v>24</v>
      </c>
      <c r="B2766" t="s">
        <v>16</v>
      </c>
      <c r="C2766">
        <v>2015</v>
      </c>
      <c r="D2766">
        <v>9</v>
      </c>
      <c r="E2766" s="4">
        <v>0</v>
      </c>
      <c r="F2766" s="9">
        <v>0</v>
      </c>
      <c r="G2766" s="6">
        <v>693</v>
      </c>
      <c r="H2766" s="9">
        <f t="shared" si="43"/>
        <v>0</v>
      </c>
      <c r="I2766" s="6">
        <v>13000</v>
      </c>
      <c r="J2766" s="6">
        <f>VLOOKUP(Table1[[#This Row],[Province]],[1]Sheet1!$A$3:$K$37,8,FALSE)</f>
        <v>742200</v>
      </c>
      <c r="K2766">
        <v>0</v>
      </c>
      <c r="L2766" s="4">
        <v>3.0731000000000002</v>
      </c>
      <c r="M2766" s="4">
        <v>116.0414</v>
      </c>
      <c r="N2766" s="6"/>
      <c r="P2766"/>
      <c r="Q2766" s="12"/>
      <c r="R2766" s="12"/>
    </row>
    <row r="2767" spans="1:18" x14ac:dyDescent="0.2">
      <c r="A2767">
        <v>24</v>
      </c>
      <c r="B2767" t="s">
        <v>16</v>
      </c>
      <c r="C2767">
        <v>2015</v>
      </c>
      <c r="D2767">
        <v>10</v>
      </c>
      <c r="E2767" s="4">
        <v>0</v>
      </c>
      <c r="F2767" s="9">
        <v>0</v>
      </c>
      <c r="G2767" s="6">
        <v>462</v>
      </c>
      <c r="H2767" s="9">
        <f t="shared" si="43"/>
        <v>0</v>
      </c>
      <c r="I2767" s="6">
        <v>13000</v>
      </c>
      <c r="J2767" s="6">
        <f>VLOOKUP(Table1[[#This Row],[Province]],[1]Sheet1!$A$3:$K$37,8,FALSE)</f>
        <v>742200</v>
      </c>
      <c r="K2767">
        <v>0</v>
      </c>
      <c r="L2767" s="4">
        <v>3.0731000000000002</v>
      </c>
      <c r="M2767" s="4">
        <v>116.0414</v>
      </c>
      <c r="N2767" s="6"/>
      <c r="P2767"/>
      <c r="Q2767" s="12"/>
      <c r="R2767" s="12"/>
    </row>
    <row r="2768" spans="1:18" x14ac:dyDescent="0.2">
      <c r="A2768">
        <v>24</v>
      </c>
      <c r="B2768" t="s">
        <v>16</v>
      </c>
      <c r="C2768">
        <v>2015</v>
      </c>
      <c r="D2768">
        <v>11</v>
      </c>
      <c r="E2768" s="4">
        <v>0</v>
      </c>
      <c r="F2768" s="9">
        <v>0</v>
      </c>
      <c r="G2768" s="6">
        <v>609</v>
      </c>
      <c r="H2768" s="9">
        <f t="shared" si="43"/>
        <v>0</v>
      </c>
      <c r="I2768" s="6">
        <v>13000</v>
      </c>
      <c r="J2768" s="6">
        <f>VLOOKUP(Table1[[#This Row],[Province]],[1]Sheet1!$A$3:$K$37,8,FALSE)</f>
        <v>742200</v>
      </c>
      <c r="K2768">
        <v>0</v>
      </c>
      <c r="L2768" s="4">
        <v>3.0731000000000002</v>
      </c>
      <c r="M2768" s="4">
        <v>116.0414</v>
      </c>
      <c r="N2768" s="6"/>
      <c r="P2768"/>
      <c r="Q2768" s="12"/>
      <c r="R2768" s="12"/>
    </row>
    <row r="2769" spans="1:18" x14ac:dyDescent="0.2">
      <c r="A2769">
        <v>24</v>
      </c>
      <c r="B2769" t="s">
        <v>16</v>
      </c>
      <c r="C2769">
        <v>2015</v>
      </c>
      <c r="D2769">
        <v>12</v>
      </c>
      <c r="E2769" s="4">
        <v>0</v>
      </c>
      <c r="F2769" s="9">
        <v>0</v>
      </c>
      <c r="G2769" s="6">
        <v>653</v>
      </c>
      <c r="H2769" s="9">
        <f t="shared" si="43"/>
        <v>0</v>
      </c>
      <c r="I2769" s="6">
        <v>13500</v>
      </c>
      <c r="J2769" s="6">
        <f>VLOOKUP(Table1[[#This Row],[Province]],[1]Sheet1!$A$3:$K$37,8,FALSE)</f>
        <v>742200</v>
      </c>
      <c r="K2769">
        <v>1</v>
      </c>
      <c r="L2769" s="4">
        <v>3.0731000000000002</v>
      </c>
      <c r="M2769" s="4">
        <v>116.0414</v>
      </c>
      <c r="N2769" s="6"/>
      <c r="P2769"/>
      <c r="Q2769" s="12"/>
      <c r="R2769" s="12"/>
    </row>
    <row r="2770" spans="1:18" x14ac:dyDescent="0.2">
      <c r="A2770">
        <v>24</v>
      </c>
      <c r="B2770" t="s">
        <v>16</v>
      </c>
      <c r="C2770">
        <v>2016</v>
      </c>
      <c r="D2770">
        <v>1</v>
      </c>
      <c r="E2770" s="4">
        <v>0</v>
      </c>
      <c r="F2770" s="9">
        <v>0</v>
      </c>
      <c r="G2770" s="6">
        <v>704</v>
      </c>
      <c r="H2770" s="9">
        <f t="shared" si="43"/>
        <v>0</v>
      </c>
      <c r="I2770" s="6">
        <v>14000</v>
      </c>
      <c r="J2770" s="6">
        <f>VLOOKUP(Table1[[#This Row],[Province]],[1]Sheet1!$A$3:$K$37,8,FALSE)</f>
        <v>742200</v>
      </c>
      <c r="K2770">
        <v>0</v>
      </c>
      <c r="L2770" s="4">
        <v>3.0731000000000002</v>
      </c>
      <c r="M2770" s="4">
        <v>116.0414</v>
      </c>
      <c r="N2770" s="13">
        <v>3.55</v>
      </c>
      <c r="P2770"/>
      <c r="Q2770" s="12"/>
      <c r="R2770" s="12"/>
    </row>
    <row r="2771" spans="1:18" x14ac:dyDescent="0.2">
      <c r="A2771">
        <v>24</v>
      </c>
      <c r="B2771" t="s">
        <v>16</v>
      </c>
      <c r="C2771">
        <v>2016</v>
      </c>
      <c r="D2771">
        <v>2</v>
      </c>
      <c r="E2771" s="4">
        <v>0</v>
      </c>
      <c r="F2771" s="9">
        <v>0</v>
      </c>
      <c r="G2771" s="6">
        <v>627</v>
      </c>
      <c r="H2771" s="9">
        <f t="shared" si="43"/>
        <v>0</v>
      </c>
      <c r="I2771" s="6">
        <v>13900</v>
      </c>
      <c r="J2771" s="6">
        <f>VLOOKUP(Table1[[#This Row],[Province]],[1]Sheet1!$A$3:$K$37,8,FALSE)</f>
        <v>742200</v>
      </c>
      <c r="K2771">
        <v>0</v>
      </c>
      <c r="L2771" s="4">
        <v>3.0731000000000002</v>
      </c>
      <c r="M2771" s="4">
        <v>116.0414</v>
      </c>
      <c r="N2771" s="13">
        <v>3.55</v>
      </c>
      <c r="P2771"/>
      <c r="Q2771" s="12"/>
      <c r="R2771" s="12"/>
    </row>
    <row r="2772" spans="1:18" x14ac:dyDescent="0.2">
      <c r="A2772">
        <v>24</v>
      </c>
      <c r="B2772" t="s">
        <v>16</v>
      </c>
      <c r="C2772">
        <v>2016</v>
      </c>
      <c r="D2772">
        <v>3</v>
      </c>
      <c r="E2772" s="4">
        <v>0</v>
      </c>
      <c r="F2772" s="9">
        <v>0</v>
      </c>
      <c r="G2772" s="6">
        <v>427</v>
      </c>
      <c r="H2772" s="9">
        <f t="shared" si="43"/>
        <v>0</v>
      </c>
      <c r="I2772" s="6">
        <v>14000</v>
      </c>
      <c r="J2772" s="6">
        <f>VLOOKUP(Table1[[#This Row],[Province]],[1]Sheet1!$A$3:$K$37,8,FALSE)</f>
        <v>742200</v>
      </c>
      <c r="K2772">
        <v>0</v>
      </c>
      <c r="L2772" s="4">
        <v>3.0731000000000002</v>
      </c>
      <c r="M2772" s="4">
        <v>116.0414</v>
      </c>
      <c r="N2772" s="13">
        <v>3.55</v>
      </c>
      <c r="P2772"/>
      <c r="Q2772" s="12"/>
      <c r="R2772" s="12"/>
    </row>
    <row r="2773" spans="1:18" x14ac:dyDescent="0.2">
      <c r="A2773">
        <v>24</v>
      </c>
      <c r="B2773" t="s">
        <v>16</v>
      </c>
      <c r="C2773">
        <v>2016</v>
      </c>
      <c r="D2773">
        <v>4</v>
      </c>
      <c r="E2773" s="4">
        <v>0</v>
      </c>
      <c r="F2773" s="9">
        <v>0</v>
      </c>
      <c r="G2773" s="6">
        <v>400</v>
      </c>
      <c r="H2773" s="9">
        <f t="shared" si="43"/>
        <v>0</v>
      </c>
      <c r="I2773" s="6">
        <v>14000</v>
      </c>
      <c r="J2773" s="6">
        <f>VLOOKUP(Table1[[#This Row],[Province]],[1]Sheet1!$A$3:$K$37,8,FALSE)</f>
        <v>742200</v>
      </c>
      <c r="K2773">
        <v>0</v>
      </c>
      <c r="L2773" s="4">
        <v>3.0731000000000002</v>
      </c>
      <c r="M2773" s="4">
        <v>116.0414</v>
      </c>
      <c r="N2773" s="13">
        <v>3.55</v>
      </c>
      <c r="P2773"/>
      <c r="Q2773" s="12"/>
      <c r="R2773" s="12"/>
    </row>
    <row r="2774" spans="1:18" x14ac:dyDescent="0.2">
      <c r="A2774">
        <v>24</v>
      </c>
      <c r="B2774" t="s">
        <v>16</v>
      </c>
      <c r="C2774">
        <v>2016</v>
      </c>
      <c r="D2774">
        <v>5</v>
      </c>
      <c r="E2774" s="4">
        <v>0</v>
      </c>
      <c r="F2774" s="9">
        <v>0</v>
      </c>
      <c r="G2774" s="6">
        <v>652</v>
      </c>
      <c r="H2774" s="9">
        <f t="shared" si="43"/>
        <v>0</v>
      </c>
      <c r="I2774" s="6">
        <v>16400</v>
      </c>
      <c r="J2774" s="6">
        <f>VLOOKUP(Table1[[#This Row],[Province]],[1]Sheet1!$A$3:$K$37,8,FALSE)</f>
        <v>742200</v>
      </c>
      <c r="K2774">
        <v>0</v>
      </c>
      <c r="L2774" s="4">
        <v>3.0731000000000002</v>
      </c>
      <c r="M2774" s="4">
        <v>116.0414</v>
      </c>
      <c r="N2774" s="13">
        <v>3.55</v>
      </c>
      <c r="P2774"/>
      <c r="Q2774" s="12"/>
      <c r="R2774" s="12"/>
    </row>
    <row r="2775" spans="1:18" x14ac:dyDescent="0.2">
      <c r="A2775">
        <v>24</v>
      </c>
      <c r="B2775" t="s">
        <v>16</v>
      </c>
      <c r="C2775">
        <v>2016</v>
      </c>
      <c r="D2775">
        <v>6</v>
      </c>
      <c r="E2775" s="4">
        <v>0</v>
      </c>
      <c r="F2775" s="9">
        <v>0</v>
      </c>
      <c r="G2775" s="6">
        <v>691</v>
      </c>
      <c r="H2775" s="9">
        <f t="shared" si="43"/>
        <v>0</v>
      </c>
      <c r="I2775" s="6">
        <v>18000</v>
      </c>
      <c r="J2775" s="6">
        <f>VLOOKUP(Table1[[#This Row],[Province]],[1]Sheet1!$A$3:$K$37,8,FALSE)</f>
        <v>742200</v>
      </c>
      <c r="K2775">
        <v>1</v>
      </c>
      <c r="L2775" s="4">
        <v>3.0731000000000002</v>
      </c>
      <c r="M2775" s="4">
        <v>116.0414</v>
      </c>
      <c r="N2775" s="13">
        <v>3.55</v>
      </c>
      <c r="P2775"/>
      <c r="Q2775" s="12"/>
      <c r="R2775" s="12"/>
    </row>
    <row r="2776" spans="1:18" x14ac:dyDescent="0.2">
      <c r="A2776">
        <v>24</v>
      </c>
      <c r="B2776" t="s">
        <v>16</v>
      </c>
      <c r="C2776">
        <v>2016</v>
      </c>
      <c r="D2776">
        <v>7</v>
      </c>
      <c r="E2776" s="4">
        <v>0</v>
      </c>
      <c r="F2776" s="9">
        <v>0</v>
      </c>
      <c r="G2776" s="6">
        <v>660</v>
      </c>
      <c r="H2776" s="9">
        <f t="shared" si="43"/>
        <v>0</v>
      </c>
      <c r="I2776" s="6">
        <v>18000</v>
      </c>
      <c r="J2776" s="6">
        <f>VLOOKUP(Table1[[#This Row],[Province]],[1]Sheet1!$A$3:$K$37,8,FALSE)</f>
        <v>742200</v>
      </c>
      <c r="K2776">
        <v>0</v>
      </c>
      <c r="L2776" s="4">
        <v>3.0731000000000002</v>
      </c>
      <c r="M2776" s="4">
        <v>116.0414</v>
      </c>
      <c r="N2776" s="13">
        <v>3.55</v>
      </c>
      <c r="P2776"/>
      <c r="Q2776" s="12"/>
      <c r="R2776" s="12"/>
    </row>
    <row r="2777" spans="1:18" x14ac:dyDescent="0.2">
      <c r="A2777">
        <v>24</v>
      </c>
      <c r="B2777" t="s">
        <v>16</v>
      </c>
      <c r="C2777">
        <v>2016</v>
      </c>
      <c r="D2777">
        <v>8</v>
      </c>
      <c r="E2777" s="4">
        <v>0</v>
      </c>
      <c r="F2777" s="9">
        <v>0</v>
      </c>
      <c r="G2777" s="6">
        <v>652</v>
      </c>
      <c r="H2777" s="9">
        <f t="shared" si="43"/>
        <v>0</v>
      </c>
      <c r="I2777" s="6">
        <v>18000</v>
      </c>
      <c r="J2777" s="6">
        <f>VLOOKUP(Table1[[#This Row],[Province]],[1]Sheet1!$A$3:$K$37,8,FALSE)</f>
        <v>742200</v>
      </c>
      <c r="K2777">
        <v>0</v>
      </c>
      <c r="L2777" s="4">
        <v>3.0731000000000002</v>
      </c>
      <c r="M2777" s="4">
        <v>116.0414</v>
      </c>
      <c r="N2777" s="13">
        <v>3.55</v>
      </c>
      <c r="P2777"/>
      <c r="Q2777" s="12"/>
      <c r="R2777" s="12"/>
    </row>
    <row r="2778" spans="1:18" x14ac:dyDescent="0.2">
      <c r="A2778">
        <v>24</v>
      </c>
      <c r="B2778" t="s">
        <v>16</v>
      </c>
      <c r="C2778">
        <v>2016</v>
      </c>
      <c r="D2778">
        <v>9</v>
      </c>
      <c r="E2778" s="4">
        <v>0</v>
      </c>
      <c r="F2778" s="9">
        <v>0</v>
      </c>
      <c r="G2778" s="6">
        <v>252</v>
      </c>
      <c r="H2778" s="9">
        <f t="shared" si="43"/>
        <v>0</v>
      </c>
      <c r="I2778" s="6">
        <v>16143</v>
      </c>
      <c r="J2778" s="6">
        <f>VLOOKUP(Table1[[#This Row],[Province]],[1]Sheet1!$A$3:$K$37,8,FALSE)</f>
        <v>742200</v>
      </c>
      <c r="K2778">
        <v>0</v>
      </c>
      <c r="L2778" s="4">
        <v>3.0731000000000002</v>
      </c>
      <c r="M2778" s="4">
        <v>116.0414</v>
      </c>
      <c r="N2778" s="13">
        <v>3.55</v>
      </c>
      <c r="P2778"/>
      <c r="Q2778" s="12"/>
      <c r="R2778" s="12"/>
    </row>
    <row r="2779" spans="1:18" x14ac:dyDescent="0.2">
      <c r="A2779">
        <v>24</v>
      </c>
      <c r="B2779" t="s">
        <v>16</v>
      </c>
      <c r="C2779">
        <v>2016</v>
      </c>
      <c r="D2779">
        <v>10</v>
      </c>
      <c r="E2779" s="4">
        <v>0</v>
      </c>
      <c r="F2779" s="9">
        <v>0</v>
      </c>
      <c r="G2779" s="6">
        <v>1100</v>
      </c>
      <c r="H2779" s="9">
        <f t="shared" si="43"/>
        <v>0</v>
      </c>
      <c r="I2779" s="6">
        <v>15667</v>
      </c>
      <c r="J2779" s="6">
        <f>VLOOKUP(Table1[[#This Row],[Province]],[1]Sheet1!$A$3:$K$37,8,FALSE)</f>
        <v>742200</v>
      </c>
      <c r="K2779">
        <v>0</v>
      </c>
      <c r="L2779" s="4">
        <v>3.0731000000000002</v>
      </c>
      <c r="M2779" s="4">
        <v>116.0414</v>
      </c>
      <c r="N2779" s="13">
        <v>3.55</v>
      </c>
      <c r="P2779"/>
      <c r="Q2779" s="12"/>
      <c r="R2779" s="12"/>
    </row>
    <row r="2780" spans="1:18" x14ac:dyDescent="0.2">
      <c r="A2780">
        <v>24</v>
      </c>
      <c r="B2780" t="s">
        <v>16</v>
      </c>
      <c r="C2780">
        <v>2016</v>
      </c>
      <c r="D2780">
        <v>11</v>
      </c>
      <c r="E2780" s="4">
        <v>0</v>
      </c>
      <c r="F2780" s="9">
        <v>0</v>
      </c>
      <c r="G2780" s="6">
        <v>312</v>
      </c>
      <c r="H2780" s="9">
        <f t="shared" si="43"/>
        <v>0</v>
      </c>
      <c r="I2780" s="6">
        <v>17000</v>
      </c>
      <c r="J2780" s="6">
        <f>VLOOKUP(Table1[[#This Row],[Province]],[1]Sheet1!$A$3:$K$37,8,FALSE)</f>
        <v>742200</v>
      </c>
      <c r="K2780">
        <v>0</v>
      </c>
      <c r="L2780" s="4">
        <v>3.0731000000000002</v>
      </c>
      <c r="M2780" s="4">
        <v>116.0414</v>
      </c>
      <c r="N2780" s="13">
        <v>3.55</v>
      </c>
      <c r="P2780"/>
      <c r="Q2780" s="12"/>
      <c r="R2780" s="12"/>
    </row>
    <row r="2781" spans="1:18" x14ac:dyDescent="0.2">
      <c r="A2781">
        <v>24</v>
      </c>
      <c r="B2781" t="s">
        <v>16</v>
      </c>
      <c r="C2781">
        <v>2016</v>
      </c>
      <c r="D2781">
        <v>12</v>
      </c>
      <c r="E2781" s="4">
        <v>0</v>
      </c>
      <c r="F2781" s="9">
        <v>0</v>
      </c>
      <c r="G2781" s="6">
        <v>312</v>
      </c>
      <c r="H2781" s="9">
        <f t="shared" si="43"/>
        <v>0</v>
      </c>
      <c r="I2781" s="6">
        <v>17000</v>
      </c>
      <c r="J2781" s="6">
        <f>VLOOKUP(Table1[[#This Row],[Province]],[1]Sheet1!$A$3:$K$37,8,FALSE)</f>
        <v>742200</v>
      </c>
      <c r="K2781">
        <v>1</v>
      </c>
      <c r="L2781" s="4">
        <v>3.0731000000000002</v>
      </c>
      <c r="M2781" s="4">
        <v>116.0414</v>
      </c>
      <c r="N2781" s="13">
        <v>3.55</v>
      </c>
      <c r="P2781"/>
      <c r="Q2781" s="12"/>
      <c r="R2781" s="12"/>
    </row>
    <row r="2782" spans="1:18" x14ac:dyDescent="0.2">
      <c r="A2782">
        <v>24</v>
      </c>
      <c r="B2782" t="s">
        <v>16</v>
      </c>
      <c r="C2782">
        <v>2017</v>
      </c>
      <c r="D2782">
        <v>1</v>
      </c>
      <c r="E2782" s="4">
        <v>0</v>
      </c>
      <c r="F2782" s="9">
        <v>0</v>
      </c>
      <c r="G2782" s="6">
        <v>618</v>
      </c>
      <c r="H2782" s="9">
        <f t="shared" si="43"/>
        <v>0</v>
      </c>
      <c r="I2782" s="6">
        <v>17000</v>
      </c>
      <c r="J2782" s="6">
        <f>VLOOKUP(Table1[[#This Row],[Province]],[1]Sheet1!$A$3:$K$37,8,FALSE)</f>
        <v>742200</v>
      </c>
      <c r="K2782">
        <v>0</v>
      </c>
      <c r="L2782" s="4">
        <v>3.0731000000000002</v>
      </c>
      <c r="M2782" s="4">
        <v>116.0414</v>
      </c>
      <c r="N2782" s="13">
        <v>6.8</v>
      </c>
      <c r="P2782"/>
      <c r="Q2782" s="12"/>
      <c r="R2782" s="12"/>
    </row>
    <row r="2783" spans="1:18" x14ac:dyDescent="0.2">
      <c r="A2783">
        <v>24</v>
      </c>
      <c r="B2783" t="s">
        <v>16</v>
      </c>
      <c r="C2783">
        <v>2017</v>
      </c>
      <c r="D2783">
        <v>2</v>
      </c>
      <c r="E2783" s="4">
        <v>0</v>
      </c>
      <c r="F2783" s="9">
        <v>0</v>
      </c>
      <c r="G2783" s="6">
        <v>355</v>
      </c>
      <c r="H2783" s="9">
        <f t="shared" si="43"/>
        <v>0</v>
      </c>
      <c r="I2783" s="6">
        <v>17000</v>
      </c>
      <c r="J2783" s="6">
        <f>VLOOKUP(Table1[[#This Row],[Province]],[1]Sheet1!$A$3:$K$37,8,FALSE)</f>
        <v>742200</v>
      </c>
      <c r="K2783">
        <v>0</v>
      </c>
      <c r="L2783" s="4">
        <v>3.0731000000000002</v>
      </c>
      <c r="M2783" s="4">
        <v>116.0414</v>
      </c>
      <c r="N2783" s="13">
        <v>6.8</v>
      </c>
      <c r="P2783"/>
      <c r="Q2783" s="12"/>
      <c r="R2783" s="12"/>
    </row>
    <row r="2784" spans="1:18" x14ac:dyDescent="0.2">
      <c r="A2784">
        <v>24</v>
      </c>
      <c r="B2784" t="s">
        <v>16</v>
      </c>
      <c r="C2784">
        <v>2017</v>
      </c>
      <c r="D2784">
        <v>3</v>
      </c>
      <c r="E2784" s="4">
        <v>0</v>
      </c>
      <c r="F2784" s="9">
        <v>0</v>
      </c>
      <c r="G2784" s="6">
        <v>277</v>
      </c>
      <c r="H2784" s="9">
        <f t="shared" si="43"/>
        <v>0</v>
      </c>
      <c r="I2784" s="6">
        <v>17000</v>
      </c>
      <c r="J2784" s="6">
        <f>VLOOKUP(Table1[[#This Row],[Province]],[1]Sheet1!$A$3:$K$37,8,FALSE)</f>
        <v>742200</v>
      </c>
      <c r="K2784">
        <v>0</v>
      </c>
      <c r="L2784" s="4">
        <v>3.0731000000000002</v>
      </c>
      <c r="M2784" s="4">
        <v>116.0414</v>
      </c>
      <c r="N2784" s="13">
        <v>6.8</v>
      </c>
      <c r="P2784"/>
      <c r="Q2784" s="12"/>
      <c r="R2784" s="12"/>
    </row>
    <row r="2785" spans="1:18" x14ac:dyDescent="0.2">
      <c r="A2785">
        <v>24</v>
      </c>
      <c r="B2785" t="s">
        <v>16</v>
      </c>
      <c r="C2785">
        <v>2017</v>
      </c>
      <c r="D2785">
        <v>4</v>
      </c>
      <c r="E2785" s="4">
        <v>0</v>
      </c>
      <c r="F2785" s="9">
        <v>0</v>
      </c>
      <c r="G2785" s="6">
        <v>198</v>
      </c>
      <c r="H2785" s="9">
        <f t="shared" si="43"/>
        <v>0</v>
      </c>
      <c r="I2785" s="6">
        <v>17000</v>
      </c>
      <c r="J2785" s="6">
        <f>VLOOKUP(Table1[[#This Row],[Province]],[1]Sheet1!$A$3:$K$37,8,FALSE)</f>
        <v>742200</v>
      </c>
      <c r="K2785">
        <v>0</v>
      </c>
      <c r="L2785" s="4">
        <v>3.0731000000000002</v>
      </c>
      <c r="M2785" s="4">
        <v>116.0414</v>
      </c>
      <c r="N2785" s="13">
        <v>6.8</v>
      </c>
      <c r="P2785"/>
      <c r="Q2785" s="12"/>
      <c r="R2785" s="12"/>
    </row>
    <row r="2786" spans="1:18" x14ac:dyDescent="0.2">
      <c r="A2786">
        <v>24</v>
      </c>
      <c r="B2786" t="s">
        <v>16</v>
      </c>
      <c r="C2786">
        <v>2017</v>
      </c>
      <c r="D2786">
        <v>5</v>
      </c>
      <c r="E2786" s="4">
        <v>0</v>
      </c>
      <c r="F2786" s="9">
        <v>0</v>
      </c>
      <c r="G2786" s="6">
        <v>191</v>
      </c>
      <c r="H2786" s="9">
        <f t="shared" si="43"/>
        <v>0</v>
      </c>
      <c r="I2786" s="6">
        <v>16000</v>
      </c>
      <c r="J2786" s="6">
        <f>VLOOKUP(Table1[[#This Row],[Province]],[1]Sheet1!$A$3:$K$37,8,FALSE)</f>
        <v>742200</v>
      </c>
      <c r="K2786">
        <v>1</v>
      </c>
      <c r="L2786" s="4">
        <v>3.0731000000000002</v>
      </c>
      <c r="M2786" s="4">
        <v>116.0414</v>
      </c>
      <c r="N2786" s="13">
        <v>6.8</v>
      </c>
      <c r="P2786"/>
      <c r="Q2786" s="12"/>
      <c r="R2786" s="12"/>
    </row>
    <row r="2787" spans="1:18" x14ac:dyDescent="0.2">
      <c r="A2787">
        <v>24</v>
      </c>
      <c r="B2787" t="s">
        <v>16</v>
      </c>
      <c r="C2787">
        <v>2017</v>
      </c>
      <c r="D2787">
        <v>6</v>
      </c>
      <c r="E2787" s="4">
        <v>0</v>
      </c>
      <c r="F2787" s="9">
        <v>0</v>
      </c>
      <c r="G2787" s="6">
        <v>353</v>
      </c>
      <c r="H2787" s="9">
        <f t="shared" si="43"/>
        <v>0</v>
      </c>
      <c r="I2787" s="6">
        <v>15000</v>
      </c>
      <c r="J2787" s="6">
        <f>VLOOKUP(Table1[[#This Row],[Province]],[1]Sheet1!$A$3:$K$37,8,FALSE)</f>
        <v>742200</v>
      </c>
      <c r="K2787">
        <v>0</v>
      </c>
      <c r="L2787" s="4">
        <v>3.0731000000000002</v>
      </c>
      <c r="M2787" s="4">
        <v>116.0414</v>
      </c>
      <c r="N2787" s="13">
        <v>6.8</v>
      </c>
      <c r="P2787"/>
      <c r="Q2787" s="12"/>
      <c r="R2787" s="12"/>
    </row>
    <row r="2788" spans="1:18" x14ac:dyDescent="0.2">
      <c r="A2788">
        <v>24</v>
      </c>
      <c r="B2788" t="s">
        <v>16</v>
      </c>
      <c r="C2788">
        <v>2017</v>
      </c>
      <c r="D2788">
        <v>7</v>
      </c>
      <c r="E2788" s="4">
        <v>0</v>
      </c>
      <c r="F2788" s="9">
        <v>0</v>
      </c>
      <c r="G2788" s="6">
        <v>393</v>
      </c>
      <c r="H2788" s="9">
        <f t="shared" si="43"/>
        <v>0</v>
      </c>
      <c r="I2788" s="6">
        <v>15000</v>
      </c>
      <c r="J2788" s="6">
        <f>VLOOKUP(Table1[[#This Row],[Province]],[1]Sheet1!$A$3:$K$37,8,FALSE)</f>
        <v>742200</v>
      </c>
      <c r="K2788">
        <v>0</v>
      </c>
      <c r="L2788" s="4">
        <v>3.0731000000000002</v>
      </c>
      <c r="M2788" s="4">
        <v>116.0414</v>
      </c>
      <c r="N2788" s="13">
        <v>6.8</v>
      </c>
      <c r="P2788"/>
      <c r="Q2788" s="12"/>
      <c r="R2788" s="12"/>
    </row>
    <row r="2789" spans="1:18" x14ac:dyDescent="0.2">
      <c r="A2789">
        <v>24</v>
      </c>
      <c r="B2789" t="s">
        <v>16</v>
      </c>
      <c r="C2789">
        <v>2017</v>
      </c>
      <c r="D2789">
        <v>8</v>
      </c>
      <c r="E2789" s="4">
        <v>0</v>
      </c>
      <c r="F2789" s="9">
        <v>0</v>
      </c>
      <c r="G2789" s="6">
        <v>753</v>
      </c>
      <c r="H2789" s="9">
        <f t="shared" si="43"/>
        <v>0</v>
      </c>
      <c r="I2789" s="6">
        <v>15000</v>
      </c>
      <c r="J2789" s="6">
        <f>VLOOKUP(Table1[[#This Row],[Province]],[1]Sheet1!$A$3:$K$37,8,FALSE)</f>
        <v>742200</v>
      </c>
      <c r="K2789">
        <v>0</v>
      </c>
      <c r="L2789" s="4">
        <v>3.0731000000000002</v>
      </c>
      <c r="M2789" s="4">
        <v>116.0414</v>
      </c>
      <c r="N2789" s="13">
        <v>6.8</v>
      </c>
      <c r="P2789"/>
      <c r="Q2789" s="12"/>
      <c r="R2789" s="12"/>
    </row>
    <row r="2790" spans="1:18" x14ac:dyDescent="0.2">
      <c r="A2790">
        <v>24</v>
      </c>
      <c r="B2790" t="s">
        <v>16</v>
      </c>
      <c r="C2790">
        <v>2017</v>
      </c>
      <c r="D2790">
        <v>9</v>
      </c>
      <c r="E2790" s="4">
        <v>0</v>
      </c>
      <c r="F2790" s="9">
        <v>0</v>
      </c>
      <c r="G2790" s="6">
        <v>730</v>
      </c>
      <c r="H2790" s="9">
        <f t="shared" si="43"/>
        <v>0</v>
      </c>
      <c r="I2790" s="6">
        <v>15111</v>
      </c>
      <c r="J2790" s="6">
        <f>VLOOKUP(Table1[[#This Row],[Province]],[1]Sheet1!$A$3:$K$37,8,FALSE)</f>
        <v>742200</v>
      </c>
      <c r="K2790">
        <v>0</v>
      </c>
      <c r="L2790" s="4">
        <v>3.0731000000000002</v>
      </c>
      <c r="M2790" s="4">
        <v>116.0414</v>
      </c>
      <c r="N2790" s="13">
        <v>6.8</v>
      </c>
      <c r="P2790"/>
      <c r="Q2790" s="12"/>
      <c r="R2790" s="12"/>
    </row>
    <row r="2791" spans="1:18" x14ac:dyDescent="0.2">
      <c r="A2791">
        <v>24</v>
      </c>
      <c r="B2791" t="s">
        <v>16</v>
      </c>
      <c r="C2791">
        <v>2017</v>
      </c>
      <c r="D2791">
        <v>10</v>
      </c>
      <c r="E2791" s="4">
        <v>0</v>
      </c>
      <c r="F2791" s="9">
        <v>0</v>
      </c>
      <c r="G2791" s="6">
        <v>948</v>
      </c>
      <c r="H2791" s="9">
        <f t="shared" si="43"/>
        <v>0</v>
      </c>
      <c r="I2791" s="6">
        <v>14091</v>
      </c>
      <c r="J2791" s="6">
        <f>VLOOKUP(Table1[[#This Row],[Province]],[1]Sheet1!$A$3:$K$37,8,FALSE)</f>
        <v>742200</v>
      </c>
      <c r="K2791">
        <v>0</v>
      </c>
      <c r="L2791" s="4">
        <v>3.0731000000000002</v>
      </c>
      <c r="M2791" s="4">
        <v>116.0414</v>
      </c>
      <c r="N2791" s="13">
        <v>6.8</v>
      </c>
      <c r="P2791"/>
      <c r="Q2791" s="12"/>
      <c r="R2791" s="12"/>
    </row>
    <row r="2792" spans="1:18" x14ac:dyDescent="0.2">
      <c r="A2792">
        <v>24</v>
      </c>
      <c r="B2792" t="s">
        <v>16</v>
      </c>
      <c r="C2792">
        <v>2017</v>
      </c>
      <c r="D2792">
        <v>11</v>
      </c>
      <c r="E2792" s="4">
        <v>0</v>
      </c>
      <c r="F2792" s="9">
        <v>0</v>
      </c>
      <c r="G2792" s="6">
        <v>248</v>
      </c>
      <c r="H2792" s="9">
        <f t="shared" si="43"/>
        <v>0</v>
      </c>
      <c r="I2792" s="6">
        <v>12500</v>
      </c>
      <c r="J2792" s="6">
        <f>VLOOKUP(Table1[[#This Row],[Province]],[1]Sheet1!$A$3:$K$37,8,FALSE)</f>
        <v>742200</v>
      </c>
      <c r="K2792">
        <v>0</v>
      </c>
      <c r="L2792" s="4">
        <v>3.0731000000000002</v>
      </c>
      <c r="M2792" s="4">
        <v>116.0414</v>
      </c>
      <c r="N2792" s="13">
        <v>6.8</v>
      </c>
      <c r="P2792"/>
      <c r="Q2792" s="12"/>
      <c r="R2792" s="12"/>
    </row>
    <row r="2793" spans="1:18" x14ac:dyDescent="0.2">
      <c r="A2793">
        <v>24</v>
      </c>
      <c r="B2793" t="s">
        <v>16</v>
      </c>
      <c r="C2793">
        <v>2017</v>
      </c>
      <c r="D2793">
        <v>12</v>
      </c>
      <c r="E2793" s="4">
        <v>0</v>
      </c>
      <c r="F2793" s="9">
        <v>0</v>
      </c>
      <c r="G2793" s="6">
        <v>461</v>
      </c>
      <c r="H2793" s="9">
        <f t="shared" si="43"/>
        <v>0</v>
      </c>
      <c r="I2793" s="6">
        <v>12500</v>
      </c>
      <c r="J2793" s="6">
        <f>VLOOKUP(Table1[[#This Row],[Province]],[1]Sheet1!$A$3:$K$37,8,FALSE)</f>
        <v>742200</v>
      </c>
      <c r="K2793">
        <v>1</v>
      </c>
      <c r="L2793" s="4">
        <v>3.0731000000000002</v>
      </c>
      <c r="M2793" s="4">
        <v>116.0414</v>
      </c>
      <c r="N2793" s="13">
        <v>6.8</v>
      </c>
      <c r="P2793"/>
      <c r="Q2793" s="12"/>
      <c r="R2793" s="12"/>
    </row>
    <row r="2794" spans="1:18" x14ac:dyDescent="0.2">
      <c r="A2794">
        <v>24</v>
      </c>
      <c r="B2794" t="s">
        <v>16</v>
      </c>
      <c r="C2794">
        <v>2018</v>
      </c>
      <c r="D2794">
        <v>1</v>
      </c>
      <c r="E2794" s="4">
        <v>0</v>
      </c>
      <c r="F2794" s="9">
        <v>0</v>
      </c>
      <c r="G2794" s="6">
        <v>396</v>
      </c>
      <c r="H2794" s="9">
        <f t="shared" si="43"/>
        <v>0</v>
      </c>
      <c r="I2794" s="6">
        <v>12795</v>
      </c>
      <c r="J2794" s="6">
        <f>VLOOKUP(Table1[[#This Row],[Province]],[1]Sheet1!$A$3:$K$37,8,FALSE)</f>
        <v>742200</v>
      </c>
      <c r="K2794">
        <v>0</v>
      </c>
      <c r="L2794" s="4">
        <v>3.0731000000000002</v>
      </c>
      <c r="M2794" s="4">
        <v>116.0414</v>
      </c>
      <c r="N2794" s="13">
        <v>5.36</v>
      </c>
      <c r="P2794"/>
      <c r="Q2794" s="12"/>
      <c r="R2794" s="12"/>
    </row>
    <row r="2795" spans="1:18" x14ac:dyDescent="0.2">
      <c r="A2795">
        <v>24</v>
      </c>
      <c r="B2795" t="s">
        <v>16</v>
      </c>
      <c r="C2795">
        <v>2018</v>
      </c>
      <c r="D2795">
        <v>2</v>
      </c>
      <c r="E2795" s="4">
        <v>0</v>
      </c>
      <c r="F2795" s="9">
        <v>0</v>
      </c>
      <c r="G2795" s="6">
        <v>496</v>
      </c>
      <c r="H2795" s="9">
        <f t="shared" si="43"/>
        <v>0</v>
      </c>
      <c r="I2795" s="6">
        <v>12737</v>
      </c>
      <c r="J2795" s="6">
        <f>VLOOKUP(Table1[[#This Row],[Province]],[1]Sheet1!$A$3:$K$37,8,FALSE)</f>
        <v>742200</v>
      </c>
      <c r="K2795">
        <v>0</v>
      </c>
      <c r="L2795" s="4">
        <v>3.0731000000000002</v>
      </c>
      <c r="M2795" s="4">
        <v>116.0414</v>
      </c>
      <c r="N2795" s="13">
        <v>5.36</v>
      </c>
      <c r="P2795"/>
      <c r="Q2795" s="12"/>
      <c r="R2795" s="12"/>
    </row>
    <row r="2796" spans="1:18" x14ac:dyDescent="0.2">
      <c r="A2796">
        <v>24</v>
      </c>
      <c r="B2796" t="s">
        <v>16</v>
      </c>
      <c r="C2796">
        <v>2018</v>
      </c>
      <c r="D2796">
        <v>3</v>
      </c>
      <c r="E2796" s="4">
        <v>0</v>
      </c>
      <c r="F2796" s="9">
        <v>0</v>
      </c>
      <c r="G2796" s="6">
        <v>652</v>
      </c>
      <c r="H2796" s="9">
        <f t="shared" si="43"/>
        <v>0</v>
      </c>
      <c r="I2796" s="6">
        <v>12750</v>
      </c>
      <c r="J2796" s="6">
        <f>VLOOKUP(Table1[[#This Row],[Province]],[1]Sheet1!$A$3:$K$37,8,FALSE)</f>
        <v>742200</v>
      </c>
      <c r="K2796">
        <v>0</v>
      </c>
      <c r="L2796" s="4">
        <v>3.0731000000000002</v>
      </c>
      <c r="M2796" s="4">
        <v>116.0414</v>
      </c>
      <c r="N2796" s="13">
        <v>5.36</v>
      </c>
      <c r="P2796"/>
      <c r="Q2796" s="12"/>
      <c r="R2796" s="12"/>
    </row>
    <row r="2797" spans="1:18" x14ac:dyDescent="0.2">
      <c r="A2797">
        <v>24</v>
      </c>
      <c r="B2797" t="s">
        <v>16</v>
      </c>
      <c r="C2797">
        <v>2018</v>
      </c>
      <c r="D2797">
        <v>4</v>
      </c>
      <c r="E2797" s="4">
        <v>0</v>
      </c>
      <c r="F2797" s="9">
        <v>0</v>
      </c>
      <c r="G2797" s="6">
        <v>426</v>
      </c>
      <c r="H2797" s="9">
        <f t="shared" si="43"/>
        <v>0</v>
      </c>
      <c r="I2797" s="6">
        <v>12714</v>
      </c>
      <c r="J2797" s="6">
        <f>VLOOKUP(Table1[[#This Row],[Province]],[1]Sheet1!$A$3:$K$37,8,FALSE)</f>
        <v>742200</v>
      </c>
      <c r="K2797">
        <v>0</v>
      </c>
      <c r="L2797" s="4">
        <v>3.0731000000000002</v>
      </c>
      <c r="M2797" s="4">
        <v>116.0414</v>
      </c>
      <c r="N2797" s="13">
        <v>5.36</v>
      </c>
      <c r="P2797"/>
      <c r="Q2797" s="12"/>
      <c r="R2797" s="12"/>
    </row>
    <row r="2798" spans="1:18" x14ac:dyDescent="0.2">
      <c r="A2798">
        <v>24</v>
      </c>
      <c r="B2798" t="s">
        <v>16</v>
      </c>
      <c r="C2798">
        <v>2018</v>
      </c>
      <c r="D2798">
        <v>5</v>
      </c>
      <c r="E2798" s="4">
        <v>0</v>
      </c>
      <c r="F2798" s="9">
        <v>0</v>
      </c>
      <c r="G2798" s="6">
        <v>1080</v>
      </c>
      <c r="H2798" s="9">
        <f t="shared" si="43"/>
        <v>0</v>
      </c>
      <c r="I2798" s="6">
        <v>12816</v>
      </c>
      <c r="J2798" s="6">
        <f>VLOOKUP(Table1[[#This Row],[Province]],[1]Sheet1!$A$3:$K$37,8,FALSE)</f>
        <v>742200</v>
      </c>
      <c r="K2798">
        <v>1</v>
      </c>
      <c r="L2798" s="4">
        <v>3.0731000000000002</v>
      </c>
      <c r="M2798" s="4">
        <v>116.0414</v>
      </c>
      <c r="N2798" s="13">
        <v>5.36</v>
      </c>
      <c r="P2798"/>
      <c r="Q2798" s="12"/>
      <c r="R2798" s="12"/>
    </row>
    <row r="2799" spans="1:18" x14ac:dyDescent="0.2">
      <c r="A2799">
        <v>24</v>
      </c>
      <c r="B2799" t="s">
        <v>16</v>
      </c>
      <c r="C2799">
        <v>2018</v>
      </c>
      <c r="D2799">
        <v>6</v>
      </c>
      <c r="E2799" s="4">
        <v>0</v>
      </c>
      <c r="F2799" s="9">
        <v>0</v>
      </c>
      <c r="G2799" s="6">
        <v>415</v>
      </c>
      <c r="H2799" s="9">
        <f t="shared" si="43"/>
        <v>0</v>
      </c>
      <c r="I2799" s="6">
        <v>13425</v>
      </c>
      <c r="J2799" s="6">
        <f>VLOOKUP(Table1[[#This Row],[Province]],[1]Sheet1!$A$3:$K$37,8,FALSE)</f>
        <v>742200</v>
      </c>
      <c r="K2799">
        <v>0</v>
      </c>
      <c r="L2799" s="4">
        <v>3.0731000000000002</v>
      </c>
      <c r="M2799" s="4">
        <v>116.0414</v>
      </c>
      <c r="N2799" s="13">
        <v>5.36</v>
      </c>
      <c r="P2799"/>
      <c r="Q2799" s="12"/>
      <c r="R2799" s="12"/>
    </row>
    <row r="2800" spans="1:18" x14ac:dyDescent="0.2">
      <c r="A2800">
        <v>24</v>
      </c>
      <c r="B2800" t="s">
        <v>16</v>
      </c>
      <c r="C2800">
        <v>2018</v>
      </c>
      <c r="D2800">
        <v>7</v>
      </c>
      <c r="E2800" s="4">
        <v>0</v>
      </c>
      <c r="F2800" s="9">
        <v>0</v>
      </c>
      <c r="G2800" s="6">
        <v>896</v>
      </c>
      <c r="H2800" s="9">
        <f t="shared" si="43"/>
        <v>0</v>
      </c>
      <c r="I2800" s="6">
        <v>13375</v>
      </c>
      <c r="J2800" s="6">
        <f>VLOOKUP(Table1[[#This Row],[Province]],[1]Sheet1!$A$3:$K$37,8,FALSE)</f>
        <v>742200</v>
      </c>
      <c r="K2800">
        <v>0</v>
      </c>
      <c r="L2800" s="4">
        <v>3.0731000000000002</v>
      </c>
      <c r="M2800" s="4">
        <v>116.0414</v>
      </c>
      <c r="N2800" s="13">
        <v>5.36</v>
      </c>
      <c r="P2800"/>
      <c r="Q2800" s="12"/>
      <c r="R2800" s="12"/>
    </row>
    <row r="2801" spans="1:18" x14ac:dyDescent="0.2">
      <c r="A2801">
        <v>24</v>
      </c>
      <c r="B2801" t="s">
        <v>16</v>
      </c>
      <c r="C2801">
        <v>2018</v>
      </c>
      <c r="D2801">
        <v>8</v>
      </c>
      <c r="E2801" s="4">
        <v>0</v>
      </c>
      <c r="F2801" s="9">
        <v>0</v>
      </c>
      <c r="G2801" s="6">
        <v>428</v>
      </c>
      <c r="H2801" s="9">
        <f t="shared" si="43"/>
        <v>0</v>
      </c>
      <c r="I2801" s="6">
        <v>12390</v>
      </c>
      <c r="J2801" s="6">
        <f>VLOOKUP(Table1[[#This Row],[Province]],[1]Sheet1!$A$3:$K$37,8,FALSE)</f>
        <v>742200</v>
      </c>
      <c r="K2801">
        <v>0</v>
      </c>
      <c r="L2801" s="4">
        <v>3.0731000000000002</v>
      </c>
      <c r="M2801" s="4">
        <v>116.0414</v>
      </c>
      <c r="N2801" s="13">
        <v>5.36</v>
      </c>
      <c r="P2801"/>
      <c r="Q2801" s="12"/>
      <c r="R2801" s="12"/>
    </row>
    <row r="2802" spans="1:18" x14ac:dyDescent="0.2">
      <c r="A2802">
        <v>24</v>
      </c>
      <c r="B2802" t="s">
        <v>16</v>
      </c>
      <c r="C2802">
        <v>2018</v>
      </c>
      <c r="D2802">
        <v>9</v>
      </c>
      <c r="E2802" s="4">
        <v>0</v>
      </c>
      <c r="F2802" s="9">
        <v>0</v>
      </c>
      <c r="G2802" s="6">
        <v>811</v>
      </c>
      <c r="H2802" s="9">
        <f t="shared" si="43"/>
        <v>0</v>
      </c>
      <c r="I2802" s="6">
        <v>12000</v>
      </c>
      <c r="J2802" s="6">
        <f>VLOOKUP(Table1[[#This Row],[Province]],[1]Sheet1!$A$3:$K$37,8,FALSE)</f>
        <v>742200</v>
      </c>
      <c r="K2802">
        <v>0</v>
      </c>
      <c r="L2802" s="4">
        <v>3.0731000000000002</v>
      </c>
      <c r="M2802" s="4">
        <v>116.0414</v>
      </c>
      <c r="N2802" s="13">
        <v>5.36</v>
      </c>
      <c r="P2802"/>
      <c r="Q2802" s="12"/>
      <c r="R2802" s="12"/>
    </row>
    <row r="2803" spans="1:18" x14ac:dyDescent="0.2">
      <c r="A2803">
        <v>24</v>
      </c>
      <c r="B2803" t="s">
        <v>16</v>
      </c>
      <c r="C2803">
        <v>2018</v>
      </c>
      <c r="D2803">
        <v>10</v>
      </c>
      <c r="E2803" s="4">
        <v>0</v>
      </c>
      <c r="F2803" s="9">
        <v>0</v>
      </c>
      <c r="G2803" s="6">
        <v>586</v>
      </c>
      <c r="H2803" s="9">
        <f t="shared" si="43"/>
        <v>0</v>
      </c>
      <c r="I2803" s="6">
        <v>12000</v>
      </c>
      <c r="J2803" s="6">
        <f>VLOOKUP(Table1[[#This Row],[Province]],[1]Sheet1!$A$3:$K$37,8,FALSE)</f>
        <v>742200</v>
      </c>
      <c r="K2803">
        <v>0</v>
      </c>
      <c r="L2803" s="4">
        <v>3.0731000000000002</v>
      </c>
      <c r="M2803" s="4">
        <v>116.0414</v>
      </c>
      <c r="N2803" s="13">
        <v>5.36</v>
      </c>
      <c r="P2803"/>
      <c r="Q2803" s="12"/>
      <c r="R2803" s="12"/>
    </row>
    <row r="2804" spans="1:18" x14ac:dyDescent="0.2">
      <c r="A2804">
        <v>24</v>
      </c>
      <c r="B2804" t="s">
        <v>16</v>
      </c>
      <c r="C2804">
        <v>2018</v>
      </c>
      <c r="D2804">
        <v>11</v>
      </c>
      <c r="E2804" s="4">
        <v>0</v>
      </c>
      <c r="F2804" s="9">
        <v>0</v>
      </c>
      <c r="G2804" s="6">
        <v>347</v>
      </c>
      <c r="H2804" s="9">
        <f t="shared" si="43"/>
        <v>0</v>
      </c>
      <c r="I2804" s="6">
        <v>12000</v>
      </c>
      <c r="J2804" s="6">
        <f>VLOOKUP(Table1[[#This Row],[Province]],[1]Sheet1!$A$3:$K$37,8,FALSE)</f>
        <v>742200</v>
      </c>
      <c r="K2804">
        <v>0</v>
      </c>
      <c r="L2804" s="4">
        <v>3.0731000000000002</v>
      </c>
      <c r="M2804" s="4">
        <v>116.0414</v>
      </c>
      <c r="N2804" s="13">
        <v>5.36</v>
      </c>
      <c r="P2804"/>
      <c r="Q2804" s="12"/>
      <c r="R2804" s="12"/>
    </row>
    <row r="2805" spans="1:18" x14ac:dyDescent="0.2">
      <c r="A2805">
        <v>24</v>
      </c>
      <c r="B2805" t="s">
        <v>16</v>
      </c>
      <c r="C2805">
        <v>2018</v>
      </c>
      <c r="D2805">
        <v>12</v>
      </c>
      <c r="E2805" s="4">
        <v>0</v>
      </c>
      <c r="F2805" s="9">
        <v>0</v>
      </c>
      <c r="G2805" s="6">
        <v>302</v>
      </c>
      <c r="H2805" s="9">
        <f t="shared" si="43"/>
        <v>0</v>
      </c>
      <c r="I2805" s="6">
        <v>12300</v>
      </c>
      <c r="J2805" s="6">
        <f>VLOOKUP(Table1[[#This Row],[Province]],[1]Sheet1!$A$3:$K$37,8,FALSE)</f>
        <v>742200</v>
      </c>
      <c r="K2805">
        <v>1</v>
      </c>
      <c r="L2805" s="4">
        <v>3.0731000000000002</v>
      </c>
      <c r="M2805" s="4">
        <v>116.0414</v>
      </c>
      <c r="N2805" s="13">
        <v>5.36</v>
      </c>
      <c r="P2805"/>
      <c r="Q2805" s="12"/>
      <c r="R2805" s="12"/>
    </row>
    <row r="2806" spans="1:18" x14ac:dyDescent="0.2">
      <c r="A2806">
        <v>24</v>
      </c>
      <c r="B2806" t="s">
        <v>16</v>
      </c>
      <c r="C2806">
        <v>2019</v>
      </c>
      <c r="D2806">
        <v>1</v>
      </c>
      <c r="E2806" s="4">
        <v>0</v>
      </c>
      <c r="F2806" s="9">
        <v>0</v>
      </c>
      <c r="G2806" s="6">
        <v>198</v>
      </c>
      <c r="H2806" s="9">
        <f t="shared" si="43"/>
        <v>0</v>
      </c>
      <c r="I2806" s="6">
        <v>11555</v>
      </c>
      <c r="J2806" s="6">
        <f>VLOOKUP(Table1[[#This Row],[Province]],[1]Sheet1!$A$3:$K$37,8,FALSE)</f>
        <v>742200</v>
      </c>
      <c r="K2806">
        <v>0</v>
      </c>
      <c r="L2806" s="4">
        <v>3.0731000000000002</v>
      </c>
      <c r="M2806" s="4">
        <v>116.0414</v>
      </c>
      <c r="N2806" s="13">
        <v>6.89</v>
      </c>
      <c r="P2806"/>
      <c r="Q2806" s="12"/>
      <c r="R2806" s="12"/>
    </row>
    <row r="2807" spans="1:18" x14ac:dyDescent="0.2">
      <c r="A2807">
        <v>24</v>
      </c>
      <c r="B2807" t="s">
        <v>16</v>
      </c>
      <c r="C2807">
        <v>2019</v>
      </c>
      <c r="D2807">
        <v>2</v>
      </c>
      <c r="E2807" s="4">
        <v>0</v>
      </c>
      <c r="F2807" s="9">
        <v>0</v>
      </c>
      <c r="G2807" s="6">
        <v>62</v>
      </c>
      <c r="H2807" s="9">
        <f t="shared" si="43"/>
        <v>0</v>
      </c>
      <c r="I2807" s="6">
        <v>12250</v>
      </c>
      <c r="J2807" s="6">
        <f>VLOOKUP(Table1[[#This Row],[Province]],[1]Sheet1!$A$3:$K$37,8,FALSE)</f>
        <v>742200</v>
      </c>
      <c r="K2807">
        <v>0</v>
      </c>
      <c r="L2807" s="4">
        <v>3.0731000000000002</v>
      </c>
      <c r="M2807" s="4">
        <v>116.0414</v>
      </c>
      <c r="N2807" s="13">
        <v>6.89</v>
      </c>
      <c r="P2807"/>
      <c r="Q2807" s="12"/>
      <c r="R2807" s="12"/>
    </row>
    <row r="2808" spans="1:18" x14ac:dyDescent="0.2">
      <c r="A2808">
        <v>24</v>
      </c>
      <c r="B2808" t="s">
        <v>16</v>
      </c>
      <c r="C2808">
        <v>2019</v>
      </c>
      <c r="D2808">
        <v>3</v>
      </c>
      <c r="E2808" s="4">
        <v>0</v>
      </c>
      <c r="F2808" s="9">
        <v>0</v>
      </c>
      <c r="G2808" s="6">
        <v>414</v>
      </c>
      <c r="H2808" s="9">
        <f t="shared" si="43"/>
        <v>0</v>
      </c>
      <c r="I2808" s="6">
        <v>12536</v>
      </c>
      <c r="J2808" s="6">
        <f>VLOOKUP(Table1[[#This Row],[Province]],[1]Sheet1!$A$3:$K$37,8,FALSE)</f>
        <v>742200</v>
      </c>
      <c r="K2808">
        <v>0</v>
      </c>
      <c r="L2808" s="4">
        <v>3.0731000000000002</v>
      </c>
      <c r="M2808" s="4">
        <v>116.0414</v>
      </c>
      <c r="N2808" s="13">
        <v>6.89</v>
      </c>
      <c r="P2808"/>
      <c r="Q2808" s="12"/>
      <c r="R2808" s="12"/>
    </row>
    <row r="2809" spans="1:18" x14ac:dyDescent="0.2">
      <c r="A2809">
        <v>24</v>
      </c>
      <c r="B2809" t="s">
        <v>16</v>
      </c>
      <c r="C2809">
        <v>2019</v>
      </c>
      <c r="D2809">
        <v>4</v>
      </c>
      <c r="E2809" s="4">
        <v>0</v>
      </c>
      <c r="F2809" s="9">
        <v>0</v>
      </c>
      <c r="G2809" s="6">
        <v>92</v>
      </c>
      <c r="H2809" s="9">
        <f t="shared" si="43"/>
        <v>0</v>
      </c>
      <c r="I2809" s="6">
        <v>12712</v>
      </c>
      <c r="J2809" s="6">
        <f>VLOOKUP(Table1[[#This Row],[Province]],[1]Sheet1!$A$3:$K$37,8,FALSE)</f>
        <v>742200</v>
      </c>
      <c r="K2809">
        <v>0</v>
      </c>
      <c r="L2809" s="4">
        <v>3.0731000000000002</v>
      </c>
      <c r="M2809" s="4">
        <v>116.0414</v>
      </c>
      <c r="N2809" s="13">
        <v>6.89</v>
      </c>
      <c r="P2809"/>
      <c r="Q2809" s="12"/>
      <c r="R2809" s="12"/>
    </row>
    <row r="2810" spans="1:18" x14ac:dyDescent="0.2">
      <c r="A2810">
        <v>24</v>
      </c>
      <c r="B2810" t="s">
        <v>16</v>
      </c>
      <c r="C2810">
        <v>2019</v>
      </c>
      <c r="D2810">
        <v>5</v>
      </c>
      <c r="E2810" s="4">
        <v>0</v>
      </c>
      <c r="F2810" s="9">
        <v>0</v>
      </c>
      <c r="G2810" s="6">
        <v>183</v>
      </c>
      <c r="H2810" s="9">
        <f t="shared" si="43"/>
        <v>0</v>
      </c>
      <c r="I2810" s="6">
        <v>12573</v>
      </c>
      <c r="J2810" s="6">
        <f>VLOOKUP(Table1[[#This Row],[Province]],[1]Sheet1!$A$3:$K$37,8,FALSE)</f>
        <v>742200</v>
      </c>
      <c r="K2810">
        <v>1</v>
      </c>
      <c r="L2810" s="4">
        <v>3.0731000000000002</v>
      </c>
      <c r="M2810" s="4">
        <v>116.0414</v>
      </c>
      <c r="N2810" s="13">
        <v>6.89</v>
      </c>
      <c r="P2810"/>
      <c r="Q2810" s="12"/>
      <c r="R2810" s="12"/>
    </row>
    <row r="2811" spans="1:18" x14ac:dyDescent="0.2">
      <c r="A2811">
        <v>24</v>
      </c>
      <c r="B2811" t="s">
        <v>16</v>
      </c>
      <c r="C2811">
        <v>2019</v>
      </c>
      <c r="D2811">
        <v>6</v>
      </c>
      <c r="E2811" s="4">
        <v>0</v>
      </c>
      <c r="F2811" s="9">
        <v>0</v>
      </c>
      <c r="G2811" s="6">
        <v>567</v>
      </c>
      <c r="H2811" s="9">
        <f t="shared" si="43"/>
        <v>0</v>
      </c>
      <c r="I2811" s="6">
        <v>12244</v>
      </c>
      <c r="J2811" s="6">
        <f>VLOOKUP(Table1[[#This Row],[Province]],[1]Sheet1!$A$3:$K$37,8,FALSE)</f>
        <v>742200</v>
      </c>
      <c r="K2811">
        <v>0</v>
      </c>
      <c r="L2811" s="4">
        <v>3.0731000000000002</v>
      </c>
      <c r="M2811" s="4">
        <v>116.0414</v>
      </c>
      <c r="N2811" s="13">
        <v>6.89</v>
      </c>
      <c r="P2811"/>
      <c r="Q2811" s="12"/>
      <c r="R2811" s="12"/>
    </row>
    <row r="2812" spans="1:18" x14ac:dyDescent="0.2">
      <c r="A2812">
        <v>24</v>
      </c>
      <c r="B2812" t="s">
        <v>16</v>
      </c>
      <c r="C2812">
        <v>2019</v>
      </c>
      <c r="D2812">
        <v>7</v>
      </c>
      <c r="E2812" s="4">
        <v>0</v>
      </c>
      <c r="F2812" s="9">
        <v>0</v>
      </c>
      <c r="G2812" s="6">
        <v>298</v>
      </c>
      <c r="H2812" s="9">
        <f t="shared" si="43"/>
        <v>0</v>
      </c>
      <c r="I2812" s="6">
        <v>12287</v>
      </c>
      <c r="J2812" s="6">
        <f>VLOOKUP(Table1[[#This Row],[Province]],[1]Sheet1!$A$3:$K$37,8,FALSE)</f>
        <v>742200</v>
      </c>
      <c r="K2812">
        <v>0</v>
      </c>
      <c r="L2812" s="4">
        <v>3.0731000000000002</v>
      </c>
      <c r="M2812" s="4">
        <v>116.0414</v>
      </c>
      <c r="N2812" s="13">
        <v>6.89</v>
      </c>
      <c r="P2812"/>
      <c r="Q2812" s="12"/>
      <c r="R2812" s="12"/>
    </row>
    <row r="2813" spans="1:18" x14ac:dyDescent="0.2">
      <c r="A2813">
        <v>24</v>
      </c>
      <c r="B2813" t="s">
        <v>16</v>
      </c>
      <c r="C2813">
        <v>2019</v>
      </c>
      <c r="D2813">
        <v>8</v>
      </c>
      <c r="E2813" s="4">
        <v>0</v>
      </c>
      <c r="F2813" s="9">
        <v>0</v>
      </c>
      <c r="G2813" s="6">
        <v>988</v>
      </c>
      <c r="H2813" s="9">
        <f t="shared" si="43"/>
        <v>0</v>
      </c>
      <c r="I2813" s="6">
        <v>12145</v>
      </c>
      <c r="J2813" s="6">
        <f>VLOOKUP(Table1[[#This Row],[Province]],[1]Sheet1!$A$3:$K$37,8,FALSE)</f>
        <v>742200</v>
      </c>
      <c r="K2813">
        <v>0</v>
      </c>
      <c r="L2813" s="4">
        <v>3.0731000000000002</v>
      </c>
      <c r="M2813" s="4">
        <v>116.0414</v>
      </c>
      <c r="N2813" s="13">
        <v>6.89</v>
      </c>
      <c r="P2813"/>
      <c r="Q2813" s="12"/>
      <c r="R2813" s="12"/>
    </row>
    <row r="2814" spans="1:18" x14ac:dyDescent="0.2">
      <c r="A2814">
        <v>24</v>
      </c>
      <c r="B2814" t="s">
        <v>16</v>
      </c>
      <c r="C2814">
        <v>2019</v>
      </c>
      <c r="D2814">
        <v>9</v>
      </c>
      <c r="E2814" s="4">
        <v>0</v>
      </c>
      <c r="F2814" s="9">
        <v>0</v>
      </c>
      <c r="G2814" s="6">
        <v>550</v>
      </c>
      <c r="H2814" s="9">
        <f t="shared" si="43"/>
        <v>0</v>
      </c>
      <c r="I2814" s="6">
        <v>12490</v>
      </c>
      <c r="J2814" s="6">
        <f>VLOOKUP(Table1[[#This Row],[Province]],[1]Sheet1!$A$3:$K$37,8,FALSE)</f>
        <v>742200</v>
      </c>
      <c r="K2814">
        <v>0</v>
      </c>
      <c r="L2814" s="4">
        <v>3.0731000000000002</v>
      </c>
      <c r="M2814" s="4">
        <v>116.0414</v>
      </c>
      <c r="N2814" s="13">
        <v>6.89</v>
      </c>
      <c r="P2814"/>
      <c r="Q2814" s="12"/>
      <c r="R2814" s="12"/>
    </row>
    <row r="2815" spans="1:18" x14ac:dyDescent="0.2">
      <c r="A2815">
        <v>24</v>
      </c>
      <c r="B2815" t="s">
        <v>16</v>
      </c>
      <c r="C2815">
        <v>2019</v>
      </c>
      <c r="D2815">
        <v>10</v>
      </c>
      <c r="E2815" s="4">
        <v>0</v>
      </c>
      <c r="F2815" s="9">
        <v>0</v>
      </c>
      <c r="G2815" s="6">
        <v>761</v>
      </c>
      <c r="H2815" s="9">
        <f t="shared" si="43"/>
        <v>0</v>
      </c>
      <c r="I2815" s="6">
        <v>12604</v>
      </c>
      <c r="J2815" s="6">
        <f>VLOOKUP(Table1[[#This Row],[Province]],[1]Sheet1!$A$3:$K$37,8,FALSE)</f>
        <v>742200</v>
      </c>
      <c r="K2815">
        <v>0</v>
      </c>
      <c r="L2815" s="4">
        <v>3.0731000000000002</v>
      </c>
      <c r="M2815" s="4">
        <v>116.0414</v>
      </c>
      <c r="N2815" s="13">
        <v>6.89</v>
      </c>
      <c r="P2815"/>
      <c r="Q2815" s="12"/>
      <c r="R2815" s="12"/>
    </row>
    <row r="2816" spans="1:18" x14ac:dyDescent="0.2">
      <c r="A2816">
        <v>24</v>
      </c>
      <c r="B2816" t="s">
        <v>16</v>
      </c>
      <c r="C2816">
        <v>2019</v>
      </c>
      <c r="D2816">
        <v>11</v>
      </c>
      <c r="E2816" s="4">
        <v>0</v>
      </c>
      <c r="F2816" s="9">
        <v>0</v>
      </c>
      <c r="G2816" s="6">
        <v>988</v>
      </c>
      <c r="H2816" s="9">
        <f t="shared" si="43"/>
        <v>0</v>
      </c>
      <c r="I2816" s="6">
        <v>12587</v>
      </c>
      <c r="J2816" s="6">
        <f>VLOOKUP(Table1[[#This Row],[Province]],[1]Sheet1!$A$3:$K$37,8,FALSE)</f>
        <v>742200</v>
      </c>
      <c r="K2816">
        <v>0</v>
      </c>
      <c r="L2816" s="4">
        <v>3.0731000000000002</v>
      </c>
      <c r="M2816" s="4">
        <v>116.0414</v>
      </c>
      <c r="N2816" s="13">
        <v>6.89</v>
      </c>
      <c r="P2816"/>
      <c r="Q2816" s="12"/>
      <c r="R2816" s="12"/>
    </row>
    <row r="2817" spans="1:18" x14ac:dyDescent="0.2">
      <c r="A2817">
        <v>24</v>
      </c>
      <c r="B2817" t="s">
        <v>16</v>
      </c>
      <c r="C2817">
        <v>2019</v>
      </c>
      <c r="D2817">
        <v>12</v>
      </c>
      <c r="E2817" s="4">
        <v>0</v>
      </c>
      <c r="F2817" s="9">
        <v>0</v>
      </c>
      <c r="G2817" s="6">
        <v>811</v>
      </c>
      <c r="H2817" s="9">
        <f t="shared" si="43"/>
        <v>0</v>
      </c>
      <c r="I2817" s="6">
        <v>12294</v>
      </c>
      <c r="J2817" s="6">
        <f>VLOOKUP(Table1[[#This Row],[Province]],[1]Sheet1!$A$3:$K$37,8,FALSE)</f>
        <v>742200</v>
      </c>
      <c r="K2817">
        <v>1</v>
      </c>
      <c r="L2817" s="4">
        <v>3.0731000000000002</v>
      </c>
      <c r="M2817" s="4">
        <v>116.0414</v>
      </c>
      <c r="N2817" s="13">
        <v>6.89</v>
      </c>
      <c r="P2817"/>
      <c r="Q2817" s="12"/>
      <c r="R2817" s="12"/>
    </row>
    <row r="2818" spans="1:18" x14ac:dyDescent="0.2">
      <c r="A2818">
        <v>24</v>
      </c>
      <c r="B2818" t="s">
        <v>16</v>
      </c>
      <c r="C2818">
        <v>2020</v>
      </c>
      <c r="D2818">
        <v>1</v>
      </c>
      <c r="E2818" s="4">
        <v>0</v>
      </c>
      <c r="F2818" s="9">
        <v>0</v>
      </c>
      <c r="G2818" s="6">
        <v>831</v>
      </c>
      <c r="H2818" s="9">
        <f t="shared" ref="H2818:H2881" si="44">F2818+E2818</f>
        <v>0</v>
      </c>
      <c r="I2818" s="6">
        <v>12125</v>
      </c>
      <c r="J2818" s="6">
        <f>VLOOKUP(Table1[[#This Row],[Province]],[1]Sheet1!$A$3:$K$37,8,FALSE)</f>
        <v>742200</v>
      </c>
      <c r="K2818">
        <v>0</v>
      </c>
      <c r="L2818" s="4">
        <v>3.0731000000000002</v>
      </c>
      <c r="M2818" s="4">
        <v>116.0414</v>
      </c>
      <c r="N2818" s="13">
        <v>-1.0900000000000001</v>
      </c>
      <c r="P2818"/>
      <c r="Q2818" s="12"/>
      <c r="R2818" s="12"/>
    </row>
    <row r="2819" spans="1:18" x14ac:dyDescent="0.2">
      <c r="A2819">
        <v>24</v>
      </c>
      <c r="B2819" t="s">
        <v>16</v>
      </c>
      <c r="C2819">
        <v>2020</v>
      </c>
      <c r="D2819">
        <v>2</v>
      </c>
      <c r="E2819" s="4">
        <v>0</v>
      </c>
      <c r="F2819" s="9">
        <v>0</v>
      </c>
      <c r="G2819" s="6">
        <v>774</v>
      </c>
      <c r="H2819" s="9">
        <f t="shared" si="44"/>
        <v>0</v>
      </c>
      <c r="I2819" s="6">
        <v>12690</v>
      </c>
      <c r="J2819" s="6">
        <f>VLOOKUP(Table1[[#This Row],[Province]],[1]Sheet1!$A$3:$K$37,8,FALSE)</f>
        <v>742200</v>
      </c>
      <c r="K2819">
        <v>0</v>
      </c>
      <c r="L2819" s="4">
        <v>3.0731000000000002</v>
      </c>
      <c r="M2819" s="4">
        <v>116.0414</v>
      </c>
      <c r="N2819" s="13">
        <v>-1.0900000000000001</v>
      </c>
      <c r="P2819"/>
      <c r="Q2819" s="12"/>
      <c r="R2819" s="12"/>
    </row>
    <row r="2820" spans="1:18" x14ac:dyDescent="0.2">
      <c r="A2820">
        <v>24</v>
      </c>
      <c r="B2820" t="s">
        <v>16</v>
      </c>
      <c r="C2820">
        <v>2020</v>
      </c>
      <c r="D2820">
        <v>3</v>
      </c>
      <c r="E2820" s="4">
        <v>0</v>
      </c>
      <c r="F2820" s="9">
        <v>0</v>
      </c>
      <c r="G2820" s="6">
        <v>857</v>
      </c>
      <c r="H2820" s="9">
        <f t="shared" si="44"/>
        <v>0</v>
      </c>
      <c r="I2820" s="6">
        <v>14021</v>
      </c>
      <c r="J2820" s="6">
        <f>VLOOKUP(Table1[[#This Row],[Province]],[1]Sheet1!$A$3:$K$37,8,FALSE)</f>
        <v>742200</v>
      </c>
      <c r="K2820">
        <v>0</v>
      </c>
      <c r="L2820" s="4">
        <v>3.0731000000000002</v>
      </c>
      <c r="M2820" s="4">
        <v>116.0414</v>
      </c>
      <c r="N2820" s="13">
        <v>-1.0900000000000001</v>
      </c>
      <c r="P2820"/>
      <c r="Q2820" s="12"/>
      <c r="R2820" s="12"/>
    </row>
    <row r="2821" spans="1:18" x14ac:dyDescent="0.2">
      <c r="A2821">
        <v>24</v>
      </c>
      <c r="B2821" t="s">
        <v>16</v>
      </c>
      <c r="C2821">
        <v>2020</v>
      </c>
      <c r="D2821">
        <v>4</v>
      </c>
      <c r="E2821" s="4">
        <v>0</v>
      </c>
      <c r="F2821" s="9">
        <v>0</v>
      </c>
      <c r="G2821" s="6">
        <v>558</v>
      </c>
      <c r="H2821" s="9">
        <f t="shared" si="44"/>
        <v>0</v>
      </c>
      <c r="I2821" s="6">
        <v>18700</v>
      </c>
      <c r="J2821" s="6">
        <f>VLOOKUP(Table1[[#This Row],[Province]],[1]Sheet1!$A$3:$K$37,8,FALSE)</f>
        <v>742200</v>
      </c>
      <c r="K2821">
        <v>1</v>
      </c>
      <c r="L2821" s="4">
        <v>3.0731000000000002</v>
      </c>
      <c r="M2821" s="4">
        <v>116.0414</v>
      </c>
      <c r="N2821" s="13">
        <v>-1.0900000000000001</v>
      </c>
      <c r="P2821"/>
      <c r="Q2821" s="12"/>
      <c r="R2821" s="12"/>
    </row>
    <row r="2822" spans="1:18" x14ac:dyDescent="0.2">
      <c r="A2822">
        <v>24</v>
      </c>
      <c r="B2822" t="s">
        <v>16</v>
      </c>
      <c r="C2822">
        <v>2020</v>
      </c>
      <c r="D2822">
        <v>5</v>
      </c>
      <c r="E2822" s="4">
        <v>0</v>
      </c>
      <c r="F2822" s="9">
        <v>0</v>
      </c>
      <c r="G2822" s="6">
        <v>776</v>
      </c>
      <c r="H2822" s="9">
        <f t="shared" si="44"/>
        <v>0</v>
      </c>
      <c r="I2822" s="6">
        <v>18188</v>
      </c>
      <c r="J2822" s="6">
        <f>VLOOKUP(Table1[[#This Row],[Province]],[1]Sheet1!$A$3:$K$37,8,FALSE)</f>
        <v>742200</v>
      </c>
      <c r="K2822">
        <v>0</v>
      </c>
      <c r="L2822" s="4">
        <v>3.0731000000000002</v>
      </c>
      <c r="M2822" s="4">
        <v>116.0414</v>
      </c>
      <c r="N2822" s="13">
        <v>-1.0900000000000001</v>
      </c>
      <c r="P2822"/>
      <c r="Q2822" s="12"/>
      <c r="R2822" s="12"/>
    </row>
    <row r="2823" spans="1:18" x14ac:dyDescent="0.2">
      <c r="A2823">
        <v>24</v>
      </c>
      <c r="B2823" t="s">
        <v>16</v>
      </c>
      <c r="C2823">
        <v>2020</v>
      </c>
      <c r="D2823">
        <v>6</v>
      </c>
      <c r="E2823" s="4">
        <v>0</v>
      </c>
      <c r="F2823" s="9">
        <v>0</v>
      </c>
      <c r="G2823" s="6">
        <v>624</v>
      </c>
      <c r="H2823" s="9">
        <f t="shared" si="44"/>
        <v>0</v>
      </c>
      <c r="I2823" s="6">
        <v>16971</v>
      </c>
      <c r="J2823" s="6">
        <f>VLOOKUP(Table1[[#This Row],[Province]],[1]Sheet1!$A$3:$K$37,8,FALSE)</f>
        <v>742200</v>
      </c>
      <c r="K2823">
        <v>0</v>
      </c>
      <c r="L2823" s="4">
        <v>3.0731000000000002</v>
      </c>
      <c r="M2823" s="4">
        <v>116.0414</v>
      </c>
      <c r="N2823" s="13">
        <v>-1.0900000000000001</v>
      </c>
      <c r="P2823"/>
      <c r="Q2823" s="12"/>
      <c r="R2823" s="12"/>
    </row>
    <row r="2824" spans="1:18" x14ac:dyDescent="0.2">
      <c r="A2824">
        <v>24</v>
      </c>
      <c r="B2824" t="s">
        <v>16</v>
      </c>
      <c r="C2824">
        <v>2020</v>
      </c>
      <c r="D2824">
        <v>7</v>
      </c>
      <c r="E2824" s="4">
        <v>0</v>
      </c>
      <c r="F2824" s="9">
        <v>0</v>
      </c>
      <c r="G2824" s="6">
        <v>732</v>
      </c>
      <c r="H2824" s="9">
        <f t="shared" si="44"/>
        <v>0</v>
      </c>
      <c r="I2824" s="6">
        <v>15433</v>
      </c>
      <c r="J2824" s="6">
        <f>VLOOKUP(Table1[[#This Row],[Province]],[1]Sheet1!$A$3:$K$37,8,FALSE)</f>
        <v>742200</v>
      </c>
      <c r="K2824">
        <v>0</v>
      </c>
      <c r="L2824" s="4">
        <v>3.0731000000000002</v>
      </c>
      <c r="M2824" s="4">
        <v>116.0414</v>
      </c>
      <c r="N2824" s="13">
        <v>-1.0900000000000001</v>
      </c>
      <c r="P2824"/>
      <c r="Q2824" s="12"/>
      <c r="R2824" s="12"/>
    </row>
    <row r="2825" spans="1:18" x14ac:dyDescent="0.2">
      <c r="A2825">
        <v>24</v>
      </c>
      <c r="B2825" t="s">
        <v>16</v>
      </c>
      <c r="C2825">
        <v>2020</v>
      </c>
      <c r="D2825">
        <v>8</v>
      </c>
      <c r="E2825" s="4">
        <v>0</v>
      </c>
      <c r="F2825" s="9">
        <v>0</v>
      </c>
      <c r="G2825" s="6">
        <v>596</v>
      </c>
      <c r="H2825" s="9">
        <f t="shared" si="44"/>
        <v>0</v>
      </c>
      <c r="I2825" s="6">
        <v>15000</v>
      </c>
      <c r="J2825" s="6">
        <f>VLOOKUP(Table1[[#This Row],[Province]],[1]Sheet1!$A$3:$K$37,8,FALSE)</f>
        <v>742200</v>
      </c>
      <c r="K2825">
        <v>0</v>
      </c>
      <c r="L2825" s="4">
        <v>3.0731000000000002</v>
      </c>
      <c r="M2825" s="4">
        <v>116.0414</v>
      </c>
      <c r="N2825" s="13">
        <v>-1.0900000000000001</v>
      </c>
      <c r="P2825"/>
      <c r="Q2825" s="12"/>
      <c r="R2825" s="12"/>
    </row>
    <row r="2826" spans="1:18" x14ac:dyDescent="0.2">
      <c r="A2826">
        <v>24</v>
      </c>
      <c r="B2826" t="s">
        <v>16</v>
      </c>
      <c r="C2826">
        <v>2020</v>
      </c>
      <c r="D2826">
        <v>9</v>
      </c>
      <c r="E2826" s="4">
        <v>0</v>
      </c>
      <c r="F2826" s="9">
        <v>0</v>
      </c>
      <c r="G2826" s="6">
        <v>608</v>
      </c>
      <c r="H2826" s="9">
        <f t="shared" si="44"/>
        <v>0</v>
      </c>
      <c r="I2826" s="6">
        <v>15000</v>
      </c>
      <c r="J2826" s="6">
        <f>VLOOKUP(Table1[[#This Row],[Province]],[1]Sheet1!$A$3:$K$37,8,FALSE)</f>
        <v>742200</v>
      </c>
      <c r="K2826">
        <v>0</v>
      </c>
      <c r="L2826" s="4">
        <v>3.0731000000000002</v>
      </c>
      <c r="M2826" s="4">
        <v>116.0414</v>
      </c>
      <c r="N2826" s="13">
        <v>-1.0900000000000001</v>
      </c>
      <c r="P2826"/>
      <c r="Q2826" s="12"/>
      <c r="R2826" s="12"/>
    </row>
    <row r="2827" spans="1:18" x14ac:dyDescent="0.2">
      <c r="A2827">
        <v>24</v>
      </c>
      <c r="B2827" t="s">
        <v>16</v>
      </c>
      <c r="C2827">
        <v>2020</v>
      </c>
      <c r="D2827">
        <v>10</v>
      </c>
      <c r="E2827" s="4">
        <v>0</v>
      </c>
      <c r="F2827" s="9">
        <v>0</v>
      </c>
      <c r="G2827" s="6">
        <v>704</v>
      </c>
      <c r="H2827" s="9">
        <f t="shared" si="44"/>
        <v>0</v>
      </c>
      <c r="I2827" s="6">
        <v>15000</v>
      </c>
      <c r="J2827" s="6">
        <f>VLOOKUP(Table1[[#This Row],[Province]],[1]Sheet1!$A$3:$K$37,8,FALSE)</f>
        <v>742200</v>
      </c>
      <c r="K2827">
        <v>0</v>
      </c>
      <c r="L2827" s="4">
        <v>3.0731000000000002</v>
      </c>
      <c r="M2827" s="4">
        <v>116.0414</v>
      </c>
      <c r="N2827" s="13">
        <v>-1.0900000000000001</v>
      </c>
      <c r="P2827"/>
      <c r="Q2827" s="12"/>
      <c r="R2827" s="12"/>
    </row>
    <row r="2828" spans="1:18" x14ac:dyDescent="0.2">
      <c r="A2828">
        <v>24</v>
      </c>
      <c r="B2828" t="s">
        <v>16</v>
      </c>
      <c r="C2828">
        <v>2020</v>
      </c>
      <c r="D2828">
        <v>11</v>
      </c>
      <c r="E2828" s="4">
        <v>0</v>
      </c>
      <c r="F2828" s="9">
        <v>0</v>
      </c>
      <c r="G2828" s="6">
        <v>668</v>
      </c>
      <c r="H2828" s="9">
        <f t="shared" si="44"/>
        <v>0</v>
      </c>
      <c r="I2828" s="6">
        <v>15000</v>
      </c>
      <c r="J2828" s="6">
        <f>VLOOKUP(Table1[[#This Row],[Province]],[1]Sheet1!$A$3:$K$37,8,FALSE)</f>
        <v>742200</v>
      </c>
      <c r="K2828">
        <v>0</v>
      </c>
      <c r="L2828" s="4">
        <v>3.0731000000000002</v>
      </c>
      <c r="M2828" s="4">
        <v>116.0414</v>
      </c>
      <c r="N2828" s="13">
        <v>-1.0900000000000001</v>
      </c>
      <c r="P2828"/>
      <c r="Q2828" s="12"/>
      <c r="R2828" s="12"/>
    </row>
    <row r="2829" spans="1:18" x14ac:dyDescent="0.2">
      <c r="A2829">
        <v>24</v>
      </c>
      <c r="B2829" t="s">
        <v>16</v>
      </c>
      <c r="C2829">
        <v>2020</v>
      </c>
      <c r="D2829">
        <v>12</v>
      </c>
      <c r="E2829" s="4">
        <v>0</v>
      </c>
      <c r="F2829" s="9">
        <v>0</v>
      </c>
      <c r="G2829" s="6">
        <v>1056</v>
      </c>
      <c r="H2829" s="9">
        <f t="shared" si="44"/>
        <v>0</v>
      </c>
      <c r="I2829" s="6">
        <v>15000</v>
      </c>
      <c r="J2829" s="6">
        <f>VLOOKUP(Table1[[#This Row],[Province]],[1]Sheet1!$A$3:$K$37,8,FALSE)</f>
        <v>742200</v>
      </c>
      <c r="K2829">
        <v>1</v>
      </c>
      <c r="L2829" s="4">
        <v>3.0731000000000002</v>
      </c>
      <c r="M2829" s="4">
        <v>116.0414</v>
      </c>
      <c r="N2829" s="13">
        <v>-1.0900000000000001</v>
      </c>
      <c r="P2829"/>
      <c r="Q2829" s="12"/>
      <c r="R2829" s="12"/>
    </row>
    <row r="2830" spans="1:18" x14ac:dyDescent="0.2">
      <c r="A2830">
        <v>24</v>
      </c>
      <c r="B2830" t="s">
        <v>16</v>
      </c>
      <c r="C2830">
        <v>2021</v>
      </c>
      <c r="D2830">
        <v>1</v>
      </c>
      <c r="E2830" s="4">
        <v>0</v>
      </c>
      <c r="F2830" s="9">
        <v>0</v>
      </c>
      <c r="G2830" s="6">
        <v>427</v>
      </c>
      <c r="H2830" s="9">
        <f t="shared" si="44"/>
        <v>0</v>
      </c>
      <c r="I2830" s="6">
        <v>15000</v>
      </c>
      <c r="J2830" s="6">
        <f>VLOOKUP(Table1[[#This Row],[Province]],[1]Sheet1!$A$3:$K$37,9,FALSE)</f>
        <v>701800</v>
      </c>
      <c r="K2830">
        <v>0</v>
      </c>
      <c r="L2830" s="4">
        <v>3.0731000000000002</v>
      </c>
      <c r="M2830" s="4">
        <v>116.0414</v>
      </c>
      <c r="N2830" s="13">
        <v>3.99</v>
      </c>
      <c r="P2830"/>
      <c r="Q2830" s="12"/>
      <c r="R2830" s="12"/>
    </row>
    <row r="2831" spans="1:18" x14ac:dyDescent="0.2">
      <c r="A2831">
        <v>24</v>
      </c>
      <c r="B2831" t="s">
        <v>16</v>
      </c>
      <c r="C2831">
        <v>2021</v>
      </c>
      <c r="D2831">
        <v>2</v>
      </c>
      <c r="E2831" s="4">
        <v>0</v>
      </c>
      <c r="F2831" s="9">
        <v>0</v>
      </c>
      <c r="G2831" s="6">
        <v>640</v>
      </c>
      <c r="H2831" s="9">
        <f t="shared" si="44"/>
        <v>0</v>
      </c>
      <c r="I2831" s="6">
        <v>15000</v>
      </c>
      <c r="J2831" s="6">
        <f>VLOOKUP(Table1[[#This Row],[Province]],[1]Sheet1!$A$3:$K$37,9,FALSE)</f>
        <v>701800</v>
      </c>
      <c r="K2831">
        <v>0</v>
      </c>
      <c r="L2831" s="4">
        <v>3.0731000000000002</v>
      </c>
      <c r="M2831" s="4">
        <v>116.0414</v>
      </c>
      <c r="N2831" s="13">
        <v>3.99</v>
      </c>
      <c r="P2831"/>
      <c r="Q2831" s="12"/>
      <c r="R2831" s="12"/>
    </row>
    <row r="2832" spans="1:18" x14ac:dyDescent="0.2">
      <c r="A2832">
        <v>24</v>
      </c>
      <c r="B2832" t="s">
        <v>16</v>
      </c>
      <c r="C2832">
        <v>2021</v>
      </c>
      <c r="D2832">
        <v>3</v>
      </c>
      <c r="E2832" s="4">
        <v>0</v>
      </c>
      <c r="F2832" s="9">
        <v>0</v>
      </c>
      <c r="G2832" s="6">
        <v>745</v>
      </c>
      <c r="H2832" s="9">
        <f t="shared" si="44"/>
        <v>0</v>
      </c>
      <c r="I2832" s="6">
        <v>15000</v>
      </c>
      <c r="J2832" s="6">
        <f>VLOOKUP(Table1[[#This Row],[Province]],[1]Sheet1!$A$3:$K$37,9,FALSE)</f>
        <v>701800</v>
      </c>
      <c r="K2832">
        <v>0</v>
      </c>
      <c r="L2832" s="4">
        <v>3.0731000000000002</v>
      </c>
      <c r="M2832" s="4">
        <v>116.0414</v>
      </c>
      <c r="N2832" s="13">
        <v>3.99</v>
      </c>
      <c r="P2832"/>
      <c r="Q2832" s="12"/>
      <c r="R2832" s="12"/>
    </row>
    <row r="2833" spans="1:18" x14ac:dyDescent="0.2">
      <c r="A2833">
        <v>24</v>
      </c>
      <c r="B2833" t="s">
        <v>16</v>
      </c>
      <c r="C2833">
        <v>2021</v>
      </c>
      <c r="D2833">
        <v>4</v>
      </c>
      <c r="E2833" s="4">
        <v>0</v>
      </c>
      <c r="F2833" s="9">
        <v>0</v>
      </c>
      <c r="G2833" s="6">
        <v>652</v>
      </c>
      <c r="H2833" s="9">
        <f t="shared" si="44"/>
        <v>0</v>
      </c>
      <c r="I2833" s="6">
        <v>13500</v>
      </c>
      <c r="J2833" s="6">
        <f>VLOOKUP(Table1[[#This Row],[Province]],[1]Sheet1!$A$3:$K$37,9,FALSE)</f>
        <v>701800</v>
      </c>
      <c r="K2833">
        <v>1</v>
      </c>
      <c r="L2833" s="4">
        <v>3.0731000000000002</v>
      </c>
      <c r="M2833" s="4">
        <v>116.0414</v>
      </c>
      <c r="N2833" s="13">
        <v>3.99</v>
      </c>
      <c r="P2833"/>
      <c r="Q2833" s="12"/>
      <c r="R2833" s="12"/>
    </row>
    <row r="2834" spans="1:18" x14ac:dyDescent="0.2">
      <c r="A2834">
        <v>24</v>
      </c>
      <c r="B2834" t="s">
        <v>16</v>
      </c>
      <c r="C2834">
        <v>2021</v>
      </c>
      <c r="D2834">
        <v>5</v>
      </c>
      <c r="E2834" s="4">
        <v>0</v>
      </c>
      <c r="F2834" s="9">
        <v>0</v>
      </c>
      <c r="G2834" s="6">
        <v>847</v>
      </c>
      <c r="H2834" s="9">
        <f t="shared" si="44"/>
        <v>0</v>
      </c>
      <c r="I2834" s="6">
        <v>13380</v>
      </c>
      <c r="J2834" s="6">
        <f>VLOOKUP(Table1[[#This Row],[Province]],[1]Sheet1!$A$3:$K$37,9,FALSE)</f>
        <v>701800</v>
      </c>
      <c r="K2834">
        <v>0</v>
      </c>
      <c r="L2834" s="4">
        <v>3.0731000000000002</v>
      </c>
      <c r="M2834" s="4">
        <v>116.0414</v>
      </c>
      <c r="N2834" s="13">
        <v>3.99</v>
      </c>
      <c r="P2834"/>
      <c r="Q2834" s="12"/>
      <c r="R2834" s="12"/>
    </row>
    <row r="2835" spans="1:18" x14ac:dyDescent="0.2">
      <c r="A2835">
        <v>24</v>
      </c>
      <c r="B2835" t="s">
        <v>16</v>
      </c>
      <c r="C2835">
        <v>2021</v>
      </c>
      <c r="D2835">
        <v>6</v>
      </c>
      <c r="E2835" s="4">
        <v>0</v>
      </c>
      <c r="F2835" s="9">
        <v>0</v>
      </c>
      <c r="G2835" s="6">
        <v>894</v>
      </c>
      <c r="H2835" s="9">
        <f t="shared" si="44"/>
        <v>0</v>
      </c>
      <c r="I2835" s="6">
        <v>13400</v>
      </c>
      <c r="J2835" s="6">
        <f>VLOOKUP(Table1[[#This Row],[Province]],[1]Sheet1!$A$3:$K$37,9,FALSE)</f>
        <v>701800</v>
      </c>
      <c r="K2835">
        <v>0</v>
      </c>
      <c r="L2835" s="4">
        <v>3.0731000000000002</v>
      </c>
      <c r="M2835" s="4">
        <v>116.0414</v>
      </c>
      <c r="N2835" s="13">
        <v>3.99</v>
      </c>
      <c r="P2835"/>
      <c r="Q2835" s="12"/>
      <c r="R2835" s="12"/>
    </row>
    <row r="2836" spans="1:18" x14ac:dyDescent="0.2">
      <c r="A2836">
        <v>24</v>
      </c>
      <c r="B2836" t="s">
        <v>16</v>
      </c>
      <c r="C2836">
        <v>2021</v>
      </c>
      <c r="D2836">
        <v>7</v>
      </c>
      <c r="E2836" s="4">
        <v>0</v>
      </c>
      <c r="F2836" s="9">
        <v>0</v>
      </c>
      <c r="G2836" s="6">
        <v>433</v>
      </c>
      <c r="H2836" s="9">
        <f t="shared" si="44"/>
        <v>0</v>
      </c>
      <c r="I2836" s="6">
        <v>13575</v>
      </c>
      <c r="J2836" s="6">
        <f>VLOOKUP(Table1[[#This Row],[Province]],[1]Sheet1!$A$3:$K$37,9,FALSE)</f>
        <v>701800</v>
      </c>
      <c r="K2836">
        <v>0</v>
      </c>
      <c r="L2836" s="4">
        <v>3.0731000000000002</v>
      </c>
      <c r="M2836" s="4">
        <v>116.0414</v>
      </c>
      <c r="N2836" s="13">
        <v>3.99</v>
      </c>
      <c r="P2836"/>
      <c r="Q2836" s="12"/>
      <c r="R2836" s="12"/>
    </row>
    <row r="2837" spans="1:18" x14ac:dyDescent="0.2">
      <c r="A2837">
        <v>24</v>
      </c>
      <c r="B2837" t="s">
        <v>16</v>
      </c>
      <c r="C2837">
        <v>2021</v>
      </c>
      <c r="D2837">
        <v>8</v>
      </c>
      <c r="E2837" s="4">
        <v>0</v>
      </c>
      <c r="F2837" s="9">
        <v>0</v>
      </c>
      <c r="G2837" s="6">
        <v>509</v>
      </c>
      <c r="H2837" s="9">
        <f t="shared" si="44"/>
        <v>0</v>
      </c>
      <c r="I2837" s="6">
        <v>13700</v>
      </c>
      <c r="J2837" s="6">
        <f>VLOOKUP(Table1[[#This Row],[Province]],[1]Sheet1!$A$3:$K$37,9,FALSE)</f>
        <v>701800</v>
      </c>
      <c r="K2837">
        <v>0</v>
      </c>
      <c r="L2837" s="4">
        <v>3.0731000000000002</v>
      </c>
      <c r="M2837" s="4">
        <v>116.0414</v>
      </c>
      <c r="N2837" s="13">
        <v>3.99</v>
      </c>
      <c r="P2837"/>
      <c r="Q2837" s="12"/>
      <c r="R2837" s="12"/>
    </row>
    <row r="2838" spans="1:18" x14ac:dyDescent="0.2">
      <c r="A2838">
        <v>24</v>
      </c>
      <c r="B2838" t="s">
        <v>16</v>
      </c>
      <c r="C2838">
        <v>2021</v>
      </c>
      <c r="D2838">
        <v>9</v>
      </c>
      <c r="E2838" s="4">
        <v>0</v>
      </c>
      <c r="F2838" s="9">
        <v>0</v>
      </c>
      <c r="G2838" s="6">
        <v>712</v>
      </c>
      <c r="H2838" s="9">
        <f t="shared" si="44"/>
        <v>0</v>
      </c>
      <c r="I2838" s="6">
        <v>12816</v>
      </c>
      <c r="J2838" s="6">
        <f>VLOOKUP(Table1[[#This Row],[Province]],[1]Sheet1!$A$3:$K$37,9,FALSE)</f>
        <v>701800</v>
      </c>
      <c r="K2838">
        <v>0</v>
      </c>
      <c r="L2838" s="4">
        <v>3.0731000000000002</v>
      </c>
      <c r="M2838" s="4">
        <v>116.0414</v>
      </c>
      <c r="N2838" s="13">
        <v>3.99</v>
      </c>
      <c r="P2838"/>
      <c r="Q2838" s="12"/>
      <c r="R2838" s="12"/>
    </row>
    <row r="2839" spans="1:18" x14ac:dyDescent="0.2">
      <c r="A2839">
        <v>24</v>
      </c>
      <c r="B2839" t="s">
        <v>16</v>
      </c>
      <c r="C2839">
        <v>2021</v>
      </c>
      <c r="D2839">
        <v>10</v>
      </c>
      <c r="E2839" s="4">
        <v>0</v>
      </c>
      <c r="F2839" s="9">
        <v>0</v>
      </c>
      <c r="G2839" s="6">
        <v>630</v>
      </c>
      <c r="H2839" s="9">
        <f t="shared" si="44"/>
        <v>0</v>
      </c>
      <c r="I2839" s="6">
        <v>13413</v>
      </c>
      <c r="J2839" s="6">
        <f>VLOOKUP(Table1[[#This Row],[Province]],[1]Sheet1!$A$3:$K$37,9,FALSE)</f>
        <v>701800</v>
      </c>
      <c r="K2839">
        <v>0</v>
      </c>
      <c r="L2839" s="4">
        <v>3.0731000000000002</v>
      </c>
      <c r="M2839" s="4">
        <v>116.0414</v>
      </c>
      <c r="N2839" s="13">
        <v>3.99</v>
      </c>
      <c r="P2839"/>
      <c r="Q2839" s="12"/>
      <c r="R2839" s="12"/>
    </row>
    <row r="2840" spans="1:18" x14ac:dyDescent="0.2">
      <c r="A2840">
        <v>24</v>
      </c>
      <c r="B2840" t="s">
        <v>16</v>
      </c>
      <c r="C2840">
        <v>2021</v>
      </c>
      <c r="D2840">
        <v>11</v>
      </c>
      <c r="E2840" s="4">
        <v>0</v>
      </c>
      <c r="F2840" s="9">
        <v>0</v>
      </c>
      <c r="G2840" s="6">
        <v>393</v>
      </c>
      <c r="H2840" s="9">
        <f t="shared" si="44"/>
        <v>0</v>
      </c>
      <c r="I2840" s="6">
        <v>13480</v>
      </c>
      <c r="J2840" s="6">
        <f>VLOOKUP(Table1[[#This Row],[Province]],[1]Sheet1!$A$3:$K$37,9,FALSE)</f>
        <v>701800</v>
      </c>
      <c r="K2840">
        <v>0</v>
      </c>
      <c r="L2840" s="4">
        <v>3.0731000000000002</v>
      </c>
      <c r="M2840" s="4">
        <v>116.0414</v>
      </c>
      <c r="N2840" s="13">
        <v>3.99</v>
      </c>
      <c r="P2840"/>
      <c r="Q2840" s="12"/>
      <c r="R2840" s="12"/>
    </row>
    <row r="2841" spans="1:18" x14ac:dyDescent="0.2">
      <c r="A2841">
        <v>24</v>
      </c>
      <c r="B2841" t="s">
        <v>16</v>
      </c>
      <c r="C2841">
        <v>2021</v>
      </c>
      <c r="D2841">
        <v>12</v>
      </c>
      <c r="E2841" s="4">
        <v>0</v>
      </c>
      <c r="F2841" s="9">
        <v>0</v>
      </c>
      <c r="G2841" s="6">
        <v>455</v>
      </c>
      <c r="H2841" s="9">
        <f t="shared" si="44"/>
        <v>0</v>
      </c>
      <c r="I2841" s="6">
        <v>13383</v>
      </c>
      <c r="J2841" s="6">
        <f>VLOOKUP(Table1[[#This Row],[Province]],[1]Sheet1!$A$3:$K$37,9,FALSE)</f>
        <v>701800</v>
      </c>
      <c r="K2841">
        <v>1</v>
      </c>
      <c r="L2841" s="4">
        <v>3.0731000000000002</v>
      </c>
      <c r="M2841" s="4">
        <v>116.0414</v>
      </c>
      <c r="N2841" s="13">
        <v>3.99</v>
      </c>
      <c r="P2841"/>
      <c r="Q2841" s="12"/>
      <c r="R2841" s="12"/>
    </row>
    <row r="2842" spans="1:18" x14ac:dyDescent="0.2">
      <c r="A2842">
        <v>24</v>
      </c>
      <c r="B2842" t="s">
        <v>16</v>
      </c>
      <c r="C2842">
        <v>2022</v>
      </c>
      <c r="D2842">
        <v>1</v>
      </c>
      <c r="E2842" s="6">
        <v>0</v>
      </c>
      <c r="F2842" s="9">
        <v>0</v>
      </c>
      <c r="G2842" s="6">
        <v>371</v>
      </c>
      <c r="H2842" s="9">
        <f t="shared" si="44"/>
        <v>0</v>
      </c>
      <c r="I2842" s="6">
        <v>13860</v>
      </c>
      <c r="J2842" s="6">
        <f>VLOOKUP(Table1[[#This Row],[Province]],[1]Sheet1!$A$3:$K$37,9,FALSE)</f>
        <v>701800</v>
      </c>
      <c r="K2842">
        <v>0</v>
      </c>
      <c r="L2842" s="4">
        <v>3.0731000000000002</v>
      </c>
      <c r="M2842" s="4">
        <v>116.0414</v>
      </c>
      <c r="N2842" s="13">
        <v>5.32</v>
      </c>
      <c r="P2842"/>
      <c r="Q2842" s="12"/>
      <c r="R2842" s="12"/>
    </row>
    <row r="2843" spans="1:18" x14ac:dyDescent="0.2">
      <c r="A2843">
        <v>24</v>
      </c>
      <c r="B2843" t="s">
        <v>16</v>
      </c>
      <c r="C2843">
        <v>2022</v>
      </c>
      <c r="D2843">
        <v>3</v>
      </c>
      <c r="E2843" s="6">
        <v>0</v>
      </c>
      <c r="F2843" s="9">
        <v>0</v>
      </c>
      <c r="G2843" s="6">
        <v>483</v>
      </c>
      <c r="H2843" s="9">
        <f t="shared" si="44"/>
        <v>0</v>
      </c>
      <c r="I2843" s="6">
        <v>14714</v>
      </c>
      <c r="J2843" s="6">
        <f>VLOOKUP(Table1[[#This Row],[Province]],[1]Sheet1!$A$3:$K$37,9,FALSE)</f>
        <v>701800</v>
      </c>
      <c r="K2843">
        <v>0</v>
      </c>
      <c r="L2843" s="4">
        <v>3.0731000000000002</v>
      </c>
      <c r="M2843" s="4">
        <v>116.0414</v>
      </c>
      <c r="N2843" s="13">
        <v>5.32</v>
      </c>
      <c r="P2843"/>
      <c r="Q2843" s="12"/>
      <c r="R2843" s="12"/>
    </row>
    <row r="2844" spans="1:18" x14ac:dyDescent="0.2">
      <c r="A2844">
        <v>24</v>
      </c>
      <c r="B2844" t="s">
        <v>16</v>
      </c>
      <c r="C2844">
        <v>2022</v>
      </c>
      <c r="D2844">
        <v>4</v>
      </c>
      <c r="E2844" s="6">
        <v>0</v>
      </c>
      <c r="F2844" s="9">
        <v>0</v>
      </c>
      <c r="G2844" s="6">
        <v>356</v>
      </c>
      <c r="H2844" s="9">
        <f t="shared" si="44"/>
        <v>0</v>
      </c>
      <c r="I2844" s="6">
        <v>15013</v>
      </c>
      <c r="J2844" s="6">
        <f>VLOOKUP(Table1[[#This Row],[Province]],[1]Sheet1!$A$3:$K$37,9,FALSE)</f>
        <v>701800</v>
      </c>
      <c r="K2844">
        <v>1</v>
      </c>
      <c r="L2844" s="4">
        <v>3.0731000000000002</v>
      </c>
      <c r="M2844" s="4">
        <v>116.0414</v>
      </c>
      <c r="N2844" s="13">
        <v>5.32</v>
      </c>
      <c r="P2844"/>
      <c r="Q2844" s="12"/>
      <c r="R2844" s="12"/>
    </row>
    <row r="2845" spans="1:18" x14ac:dyDescent="0.2">
      <c r="A2845">
        <v>24</v>
      </c>
      <c r="B2845" t="s">
        <v>16</v>
      </c>
      <c r="C2845">
        <v>2022</v>
      </c>
      <c r="D2845">
        <v>5</v>
      </c>
      <c r="E2845" s="6">
        <v>0</v>
      </c>
      <c r="F2845" s="9">
        <v>0</v>
      </c>
      <c r="G2845" s="6">
        <v>577</v>
      </c>
      <c r="H2845" s="9">
        <f t="shared" si="44"/>
        <v>0</v>
      </c>
      <c r="I2845" s="6">
        <v>15000</v>
      </c>
      <c r="J2845" s="6">
        <f>VLOOKUP(Table1[[#This Row],[Province]],[1]Sheet1!$A$3:$K$37,9,FALSE)</f>
        <v>701800</v>
      </c>
      <c r="K2845">
        <v>0</v>
      </c>
      <c r="L2845" s="4">
        <v>3.0731000000000002</v>
      </c>
      <c r="M2845" s="4">
        <v>116.0414</v>
      </c>
      <c r="N2845" s="13">
        <v>5.32</v>
      </c>
      <c r="P2845"/>
      <c r="Q2845" s="12"/>
      <c r="R2845" s="12"/>
    </row>
    <row r="2846" spans="1:18" x14ac:dyDescent="0.2">
      <c r="A2846">
        <v>24</v>
      </c>
      <c r="B2846" t="s">
        <v>16</v>
      </c>
      <c r="C2846">
        <v>2022</v>
      </c>
      <c r="D2846">
        <v>5</v>
      </c>
      <c r="E2846" s="6">
        <v>0</v>
      </c>
      <c r="F2846" s="9">
        <v>0</v>
      </c>
      <c r="G2846" s="6">
        <v>429</v>
      </c>
      <c r="H2846" s="9">
        <f t="shared" si="44"/>
        <v>0</v>
      </c>
      <c r="I2846" s="6">
        <v>15500</v>
      </c>
      <c r="J2846" s="6">
        <f>VLOOKUP(Table1[[#This Row],[Province]],[1]Sheet1!$A$3:$K$37,9,FALSE)</f>
        <v>701800</v>
      </c>
      <c r="K2846">
        <v>0</v>
      </c>
      <c r="L2846" s="4">
        <v>3.0731000000000002</v>
      </c>
      <c r="M2846" s="4">
        <v>116.0414</v>
      </c>
      <c r="N2846" s="13">
        <v>5.32</v>
      </c>
      <c r="P2846"/>
      <c r="Q2846" s="12"/>
      <c r="R2846" s="12"/>
    </row>
    <row r="2847" spans="1:18" x14ac:dyDescent="0.2">
      <c r="A2847">
        <v>24</v>
      </c>
      <c r="B2847" t="s">
        <v>16</v>
      </c>
      <c r="C2847">
        <v>2022</v>
      </c>
      <c r="D2847">
        <v>6</v>
      </c>
      <c r="E2847" s="6">
        <v>0</v>
      </c>
      <c r="F2847" s="9">
        <v>0</v>
      </c>
      <c r="G2847" s="6">
        <v>332</v>
      </c>
      <c r="H2847" s="9">
        <f t="shared" si="44"/>
        <v>0</v>
      </c>
      <c r="I2847" s="6">
        <v>15629</v>
      </c>
      <c r="J2847" s="6">
        <f>VLOOKUP(Table1[[#This Row],[Province]],[1]Sheet1!$A$3:$K$37,9,FALSE)</f>
        <v>701800</v>
      </c>
      <c r="K2847">
        <v>0</v>
      </c>
      <c r="L2847" s="4">
        <v>3.0731000000000002</v>
      </c>
      <c r="M2847" s="4">
        <v>116.0414</v>
      </c>
      <c r="N2847" s="13">
        <v>5.32</v>
      </c>
      <c r="P2847"/>
      <c r="Q2847" s="12"/>
      <c r="R2847" s="12"/>
    </row>
    <row r="2848" spans="1:18" x14ac:dyDescent="0.2">
      <c r="A2848">
        <v>24</v>
      </c>
      <c r="B2848" t="s">
        <v>16</v>
      </c>
      <c r="C2848">
        <v>2022</v>
      </c>
      <c r="D2848">
        <v>7</v>
      </c>
      <c r="E2848" s="6">
        <v>0</v>
      </c>
      <c r="F2848" s="9">
        <v>0</v>
      </c>
      <c r="G2848" s="6">
        <v>63</v>
      </c>
      <c r="H2848" s="9">
        <f t="shared" si="44"/>
        <v>0</v>
      </c>
      <c r="I2848" s="6">
        <v>15500</v>
      </c>
      <c r="J2848" s="6">
        <f>VLOOKUP(Table1[[#This Row],[Province]],[1]Sheet1!$A$3:$K$37,9,FALSE)</f>
        <v>701800</v>
      </c>
      <c r="K2848">
        <v>0</v>
      </c>
      <c r="L2848" s="4">
        <v>3.0731000000000002</v>
      </c>
      <c r="M2848" s="4">
        <v>116.0414</v>
      </c>
      <c r="N2848" s="13">
        <v>5.32</v>
      </c>
      <c r="P2848"/>
      <c r="Q2848" s="12"/>
      <c r="R2848" s="12"/>
    </row>
    <row r="2849" spans="1:18" x14ac:dyDescent="0.2">
      <c r="A2849">
        <v>24</v>
      </c>
      <c r="B2849" t="s">
        <v>16</v>
      </c>
      <c r="C2849">
        <v>2022</v>
      </c>
      <c r="D2849">
        <v>8</v>
      </c>
      <c r="E2849" s="6">
        <v>0</v>
      </c>
      <c r="F2849" s="9">
        <v>0</v>
      </c>
      <c r="G2849" s="6">
        <v>403</v>
      </c>
      <c r="H2849" s="9">
        <f t="shared" si="44"/>
        <v>0</v>
      </c>
      <c r="I2849" s="6">
        <v>15500</v>
      </c>
      <c r="J2849" s="6">
        <f>VLOOKUP(Table1[[#This Row],[Province]],[1]Sheet1!$A$3:$K$37,9,FALSE)</f>
        <v>701800</v>
      </c>
      <c r="K2849">
        <v>0</v>
      </c>
      <c r="L2849" s="4">
        <v>3.0731000000000002</v>
      </c>
      <c r="M2849" s="4">
        <v>116.0414</v>
      </c>
      <c r="N2849" s="13">
        <v>5.32</v>
      </c>
      <c r="P2849"/>
      <c r="Q2849" s="12"/>
      <c r="R2849" s="12"/>
    </row>
    <row r="2850" spans="1:18" x14ac:dyDescent="0.2">
      <c r="A2850">
        <v>24</v>
      </c>
      <c r="B2850" t="s">
        <v>16</v>
      </c>
      <c r="C2850">
        <v>2022</v>
      </c>
      <c r="D2850">
        <v>9</v>
      </c>
      <c r="E2850" s="6">
        <v>0</v>
      </c>
      <c r="F2850" s="9">
        <v>0</v>
      </c>
      <c r="G2850" s="6">
        <v>564</v>
      </c>
      <c r="H2850" s="9">
        <f t="shared" si="44"/>
        <v>0</v>
      </c>
      <c r="I2850" s="6">
        <v>14778</v>
      </c>
      <c r="J2850" s="6">
        <f>VLOOKUP(Table1[[#This Row],[Province]],[1]Sheet1!$A$3:$K$37,9,FALSE)</f>
        <v>701800</v>
      </c>
      <c r="K2850">
        <v>0</v>
      </c>
      <c r="L2850" s="4">
        <v>3.0731000000000002</v>
      </c>
      <c r="M2850" s="4">
        <v>116.0414</v>
      </c>
      <c r="N2850" s="13">
        <v>5.32</v>
      </c>
      <c r="P2850"/>
      <c r="Q2850" s="12"/>
      <c r="R2850" s="12"/>
    </row>
    <row r="2851" spans="1:18" x14ac:dyDescent="0.2">
      <c r="A2851">
        <v>24</v>
      </c>
      <c r="B2851" t="s">
        <v>16</v>
      </c>
      <c r="C2851">
        <v>2022</v>
      </c>
      <c r="D2851">
        <v>10</v>
      </c>
      <c r="E2851" s="6">
        <v>0</v>
      </c>
      <c r="F2851" s="9">
        <v>0</v>
      </c>
      <c r="G2851" s="6">
        <v>825</v>
      </c>
      <c r="H2851" s="9">
        <f t="shared" si="44"/>
        <v>0</v>
      </c>
      <c r="I2851" s="6">
        <v>14768</v>
      </c>
      <c r="J2851" s="6">
        <f>VLOOKUP(Table1[[#This Row],[Province]],[1]Sheet1!$A$3:$K$37,9,FALSE)</f>
        <v>701800</v>
      </c>
      <c r="K2851">
        <v>0</v>
      </c>
      <c r="L2851" s="4">
        <v>3.0731000000000002</v>
      </c>
      <c r="M2851" s="4">
        <v>116.0414</v>
      </c>
      <c r="N2851" s="13">
        <v>5.32</v>
      </c>
      <c r="P2851"/>
      <c r="Q2851" s="12"/>
      <c r="R2851" s="12"/>
    </row>
    <row r="2852" spans="1:18" x14ac:dyDescent="0.2">
      <c r="A2852">
        <v>24</v>
      </c>
      <c r="B2852" t="s">
        <v>16</v>
      </c>
      <c r="C2852">
        <v>2022</v>
      </c>
      <c r="D2852">
        <v>11</v>
      </c>
      <c r="E2852" s="6">
        <v>0</v>
      </c>
      <c r="F2852" s="9">
        <v>0</v>
      </c>
      <c r="G2852" s="6">
        <v>502</v>
      </c>
      <c r="H2852" s="9">
        <f t="shared" si="44"/>
        <v>0</v>
      </c>
      <c r="I2852" s="6">
        <v>15500</v>
      </c>
      <c r="J2852" s="6">
        <f>VLOOKUP(Table1[[#This Row],[Province]],[1]Sheet1!$A$3:$K$37,9,FALSE)</f>
        <v>701800</v>
      </c>
      <c r="K2852">
        <v>0</v>
      </c>
      <c r="L2852" s="4">
        <v>3.0731000000000002</v>
      </c>
      <c r="M2852" s="4">
        <v>116.0414</v>
      </c>
      <c r="N2852" s="13">
        <v>5.32</v>
      </c>
      <c r="P2852"/>
      <c r="Q2852" s="12"/>
      <c r="R2852" s="12"/>
    </row>
    <row r="2853" spans="1:18" x14ac:dyDescent="0.2">
      <c r="A2853">
        <v>24</v>
      </c>
      <c r="B2853" t="s">
        <v>16</v>
      </c>
      <c r="C2853">
        <v>2022</v>
      </c>
      <c r="D2853">
        <v>12</v>
      </c>
      <c r="E2853" s="6">
        <v>0</v>
      </c>
      <c r="F2853" s="9">
        <v>0</v>
      </c>
      <c r="G2853" s="6">
        <v>502</v>
      </c>
      <c r="H2853" s="9">
        <f t="shared" si="44"/>
        <v>0</v>
      </c>
      <c r="I2853" s="6">
        <v>15500</v>
      </c>
      <c r="J2853" s="6">
        <f>VLOOKUP(Table1[[#This Row],[Province]],[1]Sheet1!$A$3:$K$37,9,FALSE)</f>
        <v>701800</v>
      </c>
      <c r="K2853">
        <v>1</v>
      </c>
      <c r="L2853" s="4">
        <v>3.0731000000000002</v>
      </c>
      <c r="M2853" s="4">
        <v>116.0414</v>
      </c>
      <c r="N2853" s="13">
        <v>5.32</v>
      </c>
      <c r="P2853"/>
      <c r="Q2853" s="12"/>
      <c r="R2853" s="12"/>
    </row>
    <row r="2854" spans="1:18" x14ac:dyDescent="0.2">
      <c r="A2854">
        <v>25</v>
      </c>
      <c r="B2854" t="s">
        <v>30</v>
      </c>
      <c r="C2854">
        <v>2013</v>
      </c>
      <c r="D2854">
        <v>1</v>
      </c>
      <c r="E2854" s="4">
        <v>0</v>
      </c>
      <c r="F2854" s="9">
        <v>0</v>
      </c>
      <c r="G2854" s="6">
        <v>1606</v>
      </c>
      <c r="H2854" s="9">
        <f t="shared" si="44"/>
        <v>0</v>
      </c>
      <c r="I2854" s="6">
        <v>12000</v>
      </c>
      <c r="J2854" s="6">
        <f>VLOOKUP(Table1[[#This Row],[Province]],[1]Sheet1!$A$3:$K$37,9,FALSE)</f>
        <v>2621900</v>
      </c>
      <c r="K2854">
        <v>0</v>
      </c>
      <c r="L2854" s="4">
        <v>0.62469300000000005</v>
      </c>
      <c r="M2854" s="4">
        <v>123.975002</v>
      </c>
      <c r="N2854" s="6"/>
      <c r="P2854"/>
      <c r="Q2854" s="12"/>
      <c r="R2854" s="12"/>
    </row>
    <row r="2855" spans="1:18" x14ac:dyDescent="0.2">
      <c r="A2855">
        <v>25</v>
      </c>
      <c r="B2855" t="s">
        <v>30</v>
      </c>
      <c r="C2855">
        <v>2013</v>
      </c>
      <c r="D2855">
        <v>2</v>
      </c>
      <c r="E2855" s="4">
        <v>0</v>
      </c>
      <c r="F2855" s="9">
        <v>0</v>
      </c>
      <c r="G2855" s="6">
        <v>1539</v>
      </c>
      <c r="H2855" s="9">
        <f t="shared" si="44"/>
        <v>0</v>
      </c>
      <c r="I2855" s="6">
        <v>12000</v>
      </c>
      <c r="J2855" s="6">
        <f>VLOOKUP(Table1[[#This Row],[Province]],[1]Sheet1!$A$3:$K$37,9,FALSE)</f>
        <v>2621900</v>
      </c>
      <c r="K2855">
        <v>0</v>
      </c>
      <c r="L2855" s="4">
        <v>0.62469300000000005</v>
      </c>
      <c r="M2855" s="4">
        <v>123.975002</v>
      </c>
      <c r="N2855" s="6"/>
      <c r="P2855"/>
      <c r="Q2855" s="12"/>
      <c r="R2855" s="12"/>
    </row>
    <row r="2856" spans="1:18" x14ac:dyDescent="0.2">
      <c r="A2856">
        <v>25</v>
      </c>
      <c r="B2856" t="s">
        <v>30</v>
      </c>
      <c r="C2856">
        <v>2013</v>
      </c>
      <c r="D2856">
        <v>3</v>
      </c>
      <c r="E2856" s="4">
        <v>0</v>
      </c>
      <c r="F2856" s="9">
        <v>0</v>
      </c>
      <c r="G2856" s="6">
        <v>1587</v>
      </c>
      <c r="H2856" s="9">
        <f t="shared" si="44"/>
        <v>0</v>
      </c>
      <c r="I2856" s="6">
        <v>12000</v>
      </c>
      <c r="J2856" s="6">
        <f>VLOOKUP(Table1[[#This Row],[Province]],[1]Sheet1!$A$3:$K$37,9,FALSE)</f>
        <v>2621900</v>
      </c>
      <c r="K2856">
        <v>0</v>
      </c>
      <c r="L2856" s="4">
        <v>0.62469300000000005</v>
      </c>
      <c r="M2856" s="4">
        <v>123.975002</v>
      </c>
      <c r="N2856" s="6"/>
      <c r="P2856"/>
      <c r="Q2856" s="12"/>
      <c r="R2856" s="12"/>
    </row>
    <row r="2857" spans="1:18" x14ac:dyDescent="0.2">
      <c r="A2857">
        <v>25</v>
      </c>
      <c r="B2857" t="s">
        <v>30</v>
      </c>
      <c r="C2857">
        <v>2013</v>
      </c>
      <c r="D2857">
        <v>4</v>
      </c>
      <c r="E2857" s="4">
        <v>0</v>
      </c>
      <c r="F2857" s="9">
        <v>0</v>
      </c>
      <c r="G2857" s="6">
        <v>2062</v>
      </c>
      <c r="H2857" s="9">
        <f t="shared" si="44"/>
        <v>0</v>
      </c>
      <c r="I2857" s="6">
        <v>12000</v>
      </c>
      <c r="J2857" s="6">
        <f>VLOOKUP(Table1[[#This Row],[Province]],[1]Sheet1!$A$3:$K$37,9,FALSE)</f>
        <v>2621900</v>
      </c>
      <c r="K2857">
        <v>0</v>
      </c>
      <c r="L2857" s="4">
        <v>0.62469300000000005</v>
      </c>
      <c r="M2857" s="4">
        <v>123.975002</v>
      </c>
      <c r="N2857" s="6"/>
      <c r="P2857"/>
      <c r="Q2857" s="12"/>
      <c r="R2857" s="12"/>
    </row>
    <row r="2858" spans="1:18" x14ac:dyDescent="0.2">
      <c r="A2858">
        <v>25</v>
      </c>
      <c r="B2858" t="s">
        <v>30</v>
      </c>
      <c r="C2858">
        <v>2013</v>
      </c>
      <c r="D2858">
        <v>5</v>
      </c>
      <c r="E2858" s="4">
        <v>0</v>
      </c>
      <c r="F2858" s="9">
        <v>0</v>
      </c>
      <c r="G2858" s="6">
        <v>2499</v>
      </c>
      <c r="H2858" s="9">
        <f t="shared" si="44"/>
        <v>0</v>
      </c>
      <c r="I2858" s="6">
        <v>12000</v>
      </c>
      <c r="J2858" s="6">
        <f>VLOOKUP(Table1[[#This Row],[Province]],[1]Sheet1!$A$3:$K$37,9,FALSE)</f>
        <v>2621900</v>
      </c>
      <c r="K2858">
        <v>0</v>
      </c>
      <c r="L2858" s="4">
        <v>0.62469300000000005</v>
      </c>
      <c r="M2858" s="4">
        <v>123.975002</v>
      </c>
      <c r="N2858" s="6"/>
      <c r="P2858"/>
      <c r="Q2858" s="12"/>
      <c r="R2858" s="12"/>
    </row>
    <row r="2859" spans="1:18" x14ac:dyDescent="0.2">
      <c r="A2859">
        <v>25</v>
      </c>
      <c r="B2859" t="s">
        <v>30</v>
      </c>
      <c r="C2859">
        <v>2013</v>
      </c>
      <c r="D2859">
        <v>6</v>
      </c>
      <c r="E2859" s="4">
        <v>0</v>
      </c>
      <c r="F2859" s="9">
        <v>0</v>
      </c>
      <c r="G2859" s="6">
        <v>2081</v>
      </c>
      <c r="H2859" s="9">
        <f t="shared" si="44"/>
        <v>0</v>
      </c>
      <c r="I2859" s="6">
        <v>12000</v>
      </c>
      <c r="J2859" s="6">
        <f>VLOOKUP(Table1[[#This Row],[Province]],[1]Sheet1!$A$3:$K$37,9,FALSE)</f>
        <v>2621900</v>
      </c>
      <c r="K2859">
        <v>0</v>
      </c>
      <c r="L2859" s="4">
        <v>0.62469300000000005</v>
      </c>
      <c r="M2859" s="4">
        <v>123.975002</v>
      </c>
      <c r="N2859" s="6"/>
      <c r="P2859"/>
      <c r="Q2859" s="12"/>
      <c r="R2859" s="12"/>
    </row>
    <row r="2860" spans="1:18" x14ac:dyDescent="0.2">
      <c r="A2860">
        <v>25</v>
      </c>
      <c r="B2860" t="s">
        <v>30</v>
      </c>
      <c r="C2860">
        <v>2013</v>
      </c>
      <c r="D2860">
        <v>7</v>
      </c>
      <c r="E2860" s="4">
        <v>0</v>
      </c>
      <c r="F2860" s="9">
        <v>0</v>
      </c>
      <c r="G2860" s="6">
        <v>3610</v>
      </c>
      <c r="H2860" s="9">
        <f t="shared" si="44"/>
        <v>0</v>
      </c>
      <c r="I2860" s="6">
        <v>13091</v>
      </c>
      <c r="J2860" s="6">
        <f>VLOOKUP(Table1[[#This Row],[Province]],[1]Sheet1!$A$3:$K$37,9,FALSE)</f>
        <v>2621900</v>
      </c>
      <c r="K2860">
        <v>1</v>
      </c>
      <c r="L2860" s="4">
        <v>0.62469300000000005</v>
      </c>
      <c r="M2860" s="4">
        <v>123.975002</v>
      </c>
      <c r="N2860" s="6"/>
      <c r="P2860"/>
      <c r="Q2860" s="12"/>
      <c r="R2860" s="12"/>
    </row>
    <row r="2861" spans="1:18" x14ac:dyDescent="0.2">
      <c r="A2861">
        <v>25</v>
      </c>
      <c r="B2861" t="s">
        <v>30</v>
      </c>
      <c r="C2861">
        <v>2013</v>
      </c>
      <c r="D2861">
        <v>8</v>
      </c>
      <c r="E2861" s="4">
        <v>0</v>
      </c>
      <c r="F2861" s="9">
        <v>0</v>
      </c>
      <c r="G2861" s="6">
        <v>1321</v>
      </c>
      <c r="H2861" s="9">
        <f t="shared" si="44"/>
        <v>0</v>
      </c>
      <c r="I2861" s="6">
        <v>12000</v>
      </c>
      <c r="J2861" s="6">
        <f>VLOOKUP(Table1[[#This Row],[Province]],[1]Sheet1!$A$3:$K$37,9,FALSE)</f>
        <v>2621900</v>
      </c>
      <c r="K2861">
        <v>0</v>
      </c>
      <c r="L2861" s="4">
        <v>0.62469300000000005</v>
      </c>
      <c r="M2861" s="4">
        <v>123.975002</v>
      </c>
      <c r="N2861" s="6"/>
      <c r="P2861"/>
      <c r="Q2861" s="12"/>
      <c r="R2861" s="12"/>
    </row>
    <row r="2862" spans="1:18" x14ac:dyDescent="0.2">
      <c r="A2862">
        <v>25</v>
      </c>
      <c r="B2862" t="s">
        <v>30</v>
      </c>
      <c r="C2862">
        <v>2013</v>
      </c>
      <c r="D2862">
        <v>9</v>
      </c>
      <c r="E2862" s="4">
        <v>0</v>
      </c>
      <c r="F2862" s="9">
        <v>0</v>
      </c>
      <c r="G2862" s="6">
        <v>2822</v>
      </c>
      <c r="H2862" s="9">
        <f t="shared" si="44"/>
        <v>0</v>
      </c>
      <c r="I2862" s="6">
        <v>12000</v>
      </c>
      <c r="J2862" s="6">
        <f>VLOOKUP(Table1[[#This Row],[Province]],[1]Sheet1!$A$3:$K$37,9,FALSE)</f>
        <v>2621900</v>
      </c>
      <c r="K2862">
        <v>0</v>
      </c>
      <c r="L2862" s="4">
        <v>0.62469300000000005</v>
      </c>
      <c r="M2862" s="4">
        <v>123.975002</v>
      </c>
      <c r="N2862" s="6"/>
      <c r="P2862"/>
      <c r="Q2862" s="12"/>
      <c r="R2862" s="12"/>
    </row>
    <row r="2863" spans="1:18" x14ac:dyDescent="0.2">
      <c r="A2863">
        <v>25</v>
      </c>
      <c r="B2863" t="s">
        <v>30</v>
      </c>
      <c r="C2863">
        <v>2013</v>
      </c>
      <c r="D2863">
        <v>10</v>
      </c>
      <c r="E2863" s="4">
        <v>0</v>
      </c>
      <c r="F2863" s="9">
        <v>0</v>
      </c>
      <c r="G2863" s="6">
        <v>2309</v>
      </c>
      <c r="H2863" s="9">
        <f t="shared" si="44"/>
        <v>0</v>
      </c>
      <c r="I2863" s="6">
        <v>12000</v>
      </c>
      <c r="J2863" s="6">
        <f>VLOOKUP(Table1[[#This Row],[Province]],[1]Sheet1!$A$3:$K$37,9,FALSE)</f>
        <v>2621900</v>
      </c>
      <c r="K2863">
        <v>0</v>
      </c>
      <c r="L2863" s="4">
        <v>0.62469300000000005</v>
      </c>
      <c r="M2863" s="4">
        <v>123.975002</v>
      </c>
      <c r="N2863" s="6"/>
      <c r="P2863"/>
      <c r="Q2863" s="12"/>
      <c r="R2863" s="12"/>
    </row>
    <row r="2864" spans="1:18" x14ac:dyDescent="0.2">
      <c r="A2864">
        <v>25</v>
      </c>
      <c r="B2864" t="s">
        <v>30</v>
      </c>
      <c r="C2864">
        <v>2013</v>
      </c>
      <c r="D2864">
        <v>11</v>
      </c>
      <c r="E2864" s="4">
        <v>0</v>
      </c>
      <c r="F2864" s="9">
        <v>0</v>
      </c>
      <c r="G2864" s="6">
        <v>1701</v>
      </c>
      <c r="H2864" s="9">
        <f t="shared" si="44"/>
        <v>0</v>
      </c>
      <c r="I2864" s="6">
        <v>12100</v>
      </c>
      <c r="J2864" s="6">
        <f>VLOOKUP(Table1[[#This Row],[Province]],[1]Sheet1!$A$3:$K$37,9,FALSE)</f>
        <v>2621900</v>
      </c>
      <c r="K2864">
        <v>0</v>
      </c>
      <c r="L2864" s="4">
        <v>0.62469300000000005</v>
      </c>
      <c r="M2864" s="4">
        <v>123.975002</v>
      </c>
      <c r="N2864" s="6"/>
      <c r="P2864"/>
      <c r="Q2864" s="12"/>
      <c r="R2864" s="12"/>
    </row>
    <row r="2865" spans="1:18" x14ac:dyDescent="0.2">
      <c r="A2865">
        <v>25</v>
      </c>
      <c r="B2865" t="s">
        <v>30</v>
      </c>
      <c r="C2865">
        <v>2013</v>
      </c>
      <c r="D2865">
        <v>12</v>
      </c>
      <c r="E2865" s="4">
        <v>0</v>
      </c>
      <c r="F2865" s="9">
        <v>0</v>
      </c>
      <c r="G2865" s="6">
        <v>2366</v>
      </c>
      <c r="H2865" s="9">
        <f t="shared" si="44"/>
        <v>0</v>
      </c>
      <c r="I2865" s="6">
        <v>12000</v>
      </c>
      <c r="J2865" s="6">
        <f>VLOOKUP(Table1[[#This Row],[Province]],[1]Sheet1!$A$3:$K$37,9,FALSE)</f>
        <v>2621900</v>
      </c>
      <c r="K2865">
        <v>1</v>
      </c>
      <c r="L2865" s="4">
        <v>0.62469300000000005</v>
      </c>
      <c r="M2865" s="4">
        <v>123.975002</v>
      </c>
      <c r="N2865" s="6"/>
      <c r="P2865"/>
      <c r="Q2865" s="12"/>
      <c r="R2865" s="12"/>
    </row>
    <row r="2866" spans="1:18" x14ac:dyDescent="0.2">
      <c r="A2866">
        <v>25</v>
      </c>
      <c r="B2866" t="s">
        <v>30</v>
      </c>
      <c r="C2866">
        <v>2014</v>
      </c>
      <c r="D2866">
        <v>1</v>
      </c>
      <c r="E2866" s="4">
        <v>0</v>
      </c>
      <c r="F2866" s="9">
        <v>0</v>
      </c>
      <c r="G2866" s="6">
        <v>1656</v>
      </c>
      <c r="H2866" s="9">
        <f t="shared" si="44"/>
        <v>0</v>
      </c>
      <c r="I2866" s="6">
        <v>12000</v>
      </c>
      <c r="J2866" s="6">
        <f>VLOOKUP(Table1[[#This Row],[Province]],[1]Sheet1!$A$3:$K$37,9,FALSE)</f>
        <v>2621900</v>
      </c>
      <c r="K2866">
        <v>0</v>
      </c>
      <c r="L2866" s="4">
        <v>0.62469300000000005</v>
      </c>
      <c r="M2866" s="4">
        <v>123.975002</v>
      </c>
      <c r="N2866" s="6"/>
      <c r="P2866"/>
      <c r="Q2866" s="12"/>
      <c r="R2866" s="12"/>
    </row>
    <row r="2867" spans="1:18" x14ac:dyDescent="0.2">
      <c r="A2867">
        <v>25</v>
      </c>
      <c r="B2867" t="s">
        <v>30</v>
      </c>
      <c r="C2867">
        <v>2014</v>
      </c>
      <c r="D2867">
        <v>2</v>
      </c>
      <c r="E2867" s="4">
        <v>0</v>
      </c>
      <c r="F2867" s="9">
        <v>0</v>
      </c>
      <c r="G2867" s="6">
        <v>1477</v>
      </c>
      <c r="H2867" s="9">
        <f t="shared" si="44"/>
        <v>0</v>
      </c>
      <c r="I2867" s="6">
        <v>12000</v>
      </c>
      <c r="J2867" s="6">
        <f>VLOOKUP(Table1[[#This Row],[Province]],[1]Sheet1!$A$3:$K$37,9,FALSE)</f>
        <v>2621900</v>
      </c>
      <c r="K2867">
        <v>0</v>
      </c>
      <c r="L2867" s="4">
        <v>0.62469300000000005</v>
      </c>
      <c r="M2867" s="4">
        <v>123.975002</v>
      </c>
      <c r="N2867" s="6"/>
      <c r="P2867"/>
      <c r="Q2867" s="12"/>
      <c r="R2867" s="12"/>
    </row>
    <row r="2868" spans="1:18" x14ac:dyDescent="0.2">
      <c r="A2868">
        <v>25</v>
      </c>
      <c r="B2868" t="s">
        <v>30</v>
      </c>
      <c r="C2868">
        <v>2014</v>
      </c>
      <c r="D2868">
        <v>3</v>
      </c>
      <c r="E2868" s="4">
        <v>0</v>
      </c>
      <c r="F2868" s="9">
        <v>0</v>
      </c>
      <c r="G2868" s="6">
        <v>1659</v>
      </c>
      <c r="H2868" s="9">
        <f t="shared" si="44"/>
        <v>0</v>
      </c>
      <c r="I2868" s="6">
        <v>12000</v>
      </c>
      <c r="J2868" s="6">
        <f>VLOOKUP(Table1[[#This Row],[Province]],[1]Sheet1!$A$3:$K$37,9,FALSE)</f>
        <v>2621900</v>
      </c>
      <c r="K2868">
        <v>0</v>
      </c>
      <c r="L2868" s="4">
        <v>0.62469300000000005</v>
      </c>
      <c r="M2868" s="4">
        <v>123.975002</v>
      </c>
      <c r="N2868" s="6"/>
      <c r="P2868"/>
      <c r="Q2868" s="12"/>
      <c r="R2868" s="12"/>
    </row>
    <row r="2869" spans="1:18" x14ac:dyDescent="0.2">
      <c r="A2869">
        <v>25</v>
      </c>
      <c r="B2869" t="s">
        <v>30</v>
      </c>
      <c r="C2869">
        <v>2014</v>
      </c>
      <c r="D2869">
        <v>4</v>
      </c>
      <c r="E2869" s="4">
        <v>0</v>
      </c>
      <c r="F2869" s="9">
        <v>0</v>
      </c>
      <c r="G2869" s="6">
        <v>2137</v>
      </c>
      <c r="H2869" s="9">
        <f t="shared" si="44"/>
        <v>0</v>
      </c>
      <c r="I2869" s="6">
        <v>12000</v>
      </c>
      <c r="J2869" s="6">
        <f>VLOOKUP(Table1[[#This Row],[Province]],[1]Sheet1!$A$3:$K$37,9,FALSE)</f>
        <v>2621900</v>
      </c>
      <c r="K2869">
        <v>0</v>
      </c>
      <c r="L2869" s="4">
        <v>0.62469300000000005</v>
      </c>
      <c r="M2869" s="4">
        <v>123.975002</v>
      </c>
      <c r="N2869" s="6"/>
      <c r="P2869"/>
      <c r="Q2869" s="12"/>
      <c r="R2869" s="12"/>
    </row>
    <row r="2870" spans="1:18" x14ac:dyDescent="0.2">
      <c r="A2870">
        <v>25</v>
      </c>
      <c r="B2870" t="s">
        <v>30</v>
      </c>
      <c r="C2870">
        <v>2014</v>
      </c>
      <c r="D2870">
        <v>5</v>
      </c>
      <c r="E2870" s="4">
        <v>0</v>
      </c>
      <c r="F2870" s="9">
        <v>0</v>
      </c>
      <c r="G2870" s="6">
        <v>2393</v>
      </c>
      <c r="H2870" s="9">
        <f t="shared" si="44"/>
        <v>0</v>
      </c>
      <c r="I2870" s="6">
        <v>12000</v>
      </c>
      <c r="J2870" s="6">
        <f>VLOOKUP(Table1[[#This Row],[Province]],[1]Sheet1!$A$3:$K$37,9,FALSE)</f>
        <v>2621900</v>
      </c>
      <c r="K2870">
        <v>0</v>
      </c>
      <c r="L2870" s="4">
        <v>0.62469300000000005</v>
      </c>
      <c r="M2870" s="4">
        <v>123.975002</v>
      </c>
      <c r="N2870" s="6"/>
      <c r="P2870"/>
      <c r="Q2870" s="12"/>
      <c r="R2870" s="12"/>
    </row>
    <row r="2871" spans="1:18" x14ac:dyDescent="0.2">
      <c r="A2871">
        <v>25</v>
      </c>
      <c r="B2871" t="s">
        <v>30</v>
      </c>
      <c r="C2871">
        <v>2014</v>
      </c>
      <c r="D2871">
        <v>6</v>
      </c>
      <c r="E2871" s="4">
        <v>0</v>
      </c>
      <c r="F2871" s="9">
        <v>0</v>
      </c>
      <c r="G2871" s="6">
        <v>3406</v>
      </c>
      <c r="H2871" s="9">
        <f t="shared" si="44"/>
        <v>0</v>
      </c>
      <c r="I2871" s="6">
        <v>12000</v>
      </c>
      <c r="J2871" s="6">
        <f>VLOOKUP(Table1[[#This Row],[Province]],[1]Sheet1!$A$3:$K$37,9,FALSE)</f>
        <v>2621900</v>
      </c>
      <c r="K2871">
        <v>1</v>
      </c>
      <c r="L2871" s="4">
        <v>0.62469300000000005</v>
      </c>
      <c r="M2871" s="4">
        <v>123.975002</v>
      </c>
      <c r="N2871" s="6"/>
      <c r="P2871"/>
      <c r="Q2871" s="12"/>
      <c r="R2871" s="12"/>
    </row>
    <row r="2872" spans="1:18" x14ac:dyDescent="0.2">
      <c r="A2872">
        <v>25</v>
      </c>
      <c r="B2872" t="s">
        <v>30</v>
      </c>
      <c r="C2872">
        <v>2014</v>
      </c>
      <c r="D2872">
        <v>7</v>
      </c>
      <c r="E2872" s="4">
        <v>0</v>
      </c>
      <c r="F2872" s="9">
        <v>0</v>
      </c>
      <c r="G2872" s="6">
        <v>2137</v>
      </c>
      <c r="H2872" s="9">
        <f t="shared" si="44"/>
        <v>0</v>
      </c>
      <c r="I2872" s="6">
        <v>12000</v>
      </c>
      <c r="J2872" s="6">
        <f>VLOOKUP(Table1[[#This Row],[Province]],[1]Sheet1!$A$3:$K$37,9,FALSE)</f>
        <v>2621900</v>
      </c>
      <c r="K2872">
        <v>0</v>
      </c>
      <c r="L2872" s="4">
        <v>0.62469300000000005</v>
      </c>
      <c r="M2872" s="4">
        <v>123.975002</v>
      </c>
      <c r="N2872" s="6"/>
      <c r="P2872"/>
      <c r="Q2872" s="12"/>
      <c r="R2872" s="12"/>
    </row>
    <row r="2873" spans="1:18" x14ac:dyDescent="0.2">
      <c r="A2873">
        <v>25</v>
      </c>
      <c r="B2873" t="s">
        <v>30</v>
      </c>
      <c r="C2873">
        <v>2014</v>
      </c>
      <c r="D2873">
        <v>8</v>
      </c>
      <c r="E2873" s="4">
        <v>0</v>
      </c>
      <c r="F2873" s="9">
        <v>0</v>
      </c>
      <c r="G2873" s="6">
        <v>2060</v>
      </c>
      <c r="H2873" s="9">
        <f t="shared" si="44"/>
        <v>0</v>
      </c>
      <c r="I2873" s="6">
        <v>12000</v>
      </c>
      <c r="J2873" s="6">
        <f>VLOOKUP(Table1[[#This Row],[Province]],[1]Sheet1!$A$3:$K$37,9,FALSE)</f>
        <v>2621900</v>
      </c>
      <c r="K2873">
        <v>0</v>
      </c>
      <c r="L2873" s="4">
        <v>0.62469300000000005</v>
      </c>
      <c r="M2873" s="4">
        <v>123.975002</v>
      </c>
      <c r="N2873" s="6"/>
      <c r="P2873"/>
      <c r="Q2873" s="12"/>
      <c r="R2873" s="12"/>
    </row>
    <row r="2874" spans="1:18" x14ac:dyDescent="0.2">
      <c r="A2874">
        <v>25</v>
      </c>
      <c r="B2874" t="s">
        <v>30</v>
      </c>
      <c r="C2874">
        <v>2014</v>
      </c>
      <c r="D2874">
        <v>9</v>
      </c>
      <c r="E2874" s="4">
        <v>0</v>
      </c>
      <c r="F2874" s="9">
        <v>0</v>
      </c>
      <c r="G2874" s="6">
        <v>2073</v>
      </c>
      <c r="H2874" s="9">
        <f t="shared" si="44"/>
        <v>0</v>
      </c>
      <c r="I2874" s="6">
        <v>12000</v>
      </c>
      <c r="J2874" s="6">
        <f>VLOOKUP(Table1[[#This Row],[Province]],[1]Sheet1!$A$3:$K$37,9,FALSE)</f>
        <v>2621900</v>
      </c>
      <c r="K2874">
        <v>0</v>
      </c>
      <c r="L2874" s="4">
        <v>0.62469300000000005</v>
      </c>
      <c r="M2874" s="4">
        <v>123.975002</v>
      </c>
      <c r="N2874" s="6"/>
      <c r="P2874"/>
      <c r="Q2874" s="12"/>
      <c r="R2874" s="12"/>
    </row>
    <row r="2875" spans="1:18" x14ac:dyDescent="0.2">
      <c r="A2875">
        <v>25</v>
      </c>
      <c r="B2875" t="s">
        <v>30</v>
      </c>
      <c r="C2875">
        <v>2014</v>
      </c>
      <c r="D2875">
        <v>10</v>
      </c>
      <c r="E2875" s="4">
        <v>0</v>
      </c>
      <c r="F2875" s="9">
        <v>0</v>
      </c>
      <c r="G2875" s="6">
        <v>3075</v>
      </c>
      <c r="H2875" s="9">
        <f t="shared" si="44"/>
        <v>0</v>
      </c>
      <c r="I2875" s="6">
        <v>12000</v>
      </c>
      <c r="J2875" s="6">
        <f>VLOOKUP(Table1[[#This Row],[Province]],[1]Sheet1!$A$3:$K$37,9,FALSE)</f>
        <v>2621900</v>
      </c>
      <c r="K2875">
        <v>0</v>
      </c>
      <c r="L2875" s="4">
        <v>0.62469300000000005</v>
      </c>
      <c r="M2875" s="4">
        <v>123.975002</v>
      </c>
      <c r="N2875" s="6"/>
      <c r="P2875"/>
      <c r="Q2875" s="12"/>
      <c r="R2875" s="12"/>
    </row>
    <row r="2876" spans="1:18" x14ac:dyDescent="0.2">
      <c r="A2876">
        <v>25</v>
      </c>
      <c r="B2876" t="s">
        <v>30</v>
      </c>
      <c r="C2876">
        <v>2014</v>
      </c>
      <c r="D2876">
        <v>11</v>
      </c>
      <c r="E2876" s="4">
        <v>0</v>
      </c>
      <c r="F2876" s="9">
        <v>0</v>
      </c>
      <c r="G2876" s="6">
        <v>2454</v>
      </c>
      <c r="H2876" s="9">
        <f t="shared" si="44"/>
        <v>0</v>
      </c>
      <c r="I2876" s="6">
        <v>12000</v>
      </c>
      <c r="J2876" s="6">
        <f>VLOOKUP(Table1[[#This Row],[Province]],[1]Sheet1!$A$3:$K$37,9,FALSE)</f>
        <v>2621900</v>
      </c>
      <c r="K2876">
        <v>0</v>
      </c>
      <c r="L2876" s="4">
        <v>0.62469300000000005</v>
      </c>
      <c r="M2876" s="4">
        <v>123.975002</v>
      </c>
      <c r="N2876" s="6"/>
      <c r="P2876"/>
      <c r="Q2876" s="12"/>
      <c r="R2876" s="12"/>
    </row>
    <row r="2877" spans="1:18" x14ac:dyDescent="0.2">
      <c r="A2877">
        <v>25</v>
      </c>
      <c r="B2877" t="s">
        <v>30</v>
      </c>
      <c r="C2877">
        <v>2014</v>
      </c>
      <c r="D2877">
        <v>12</v>
      </c>
      <c r="E2877" s="4">
        <v>0</v>
      </c>
      <c r="F2877" s="9">
        <v>0</v>
      </c>
      <c r="G2877" s="6">
        <v>2861</v>
      </c>
      <c r="H2877" s="9">
        <f t="shared" si="44"/>
        <v>0</v>
      </c>
      <c r="I2877" s="6">
        <v>12000</v>
      </c>
      <c r="J2877" s="6">
        <f>VLOOKUP(Table1[[#This Row],[Province]],[1]Sheet1!$A$3:$K$37,9,FALSE)</f>
        <v>2621900</v>
      </c>
      <c r="K2877">
        <v>1</v>
      </c>
      <c r="L2877" s="4">
        <v>0.62469300000000005</v>
      </c>
      <c r="M2877" s="4">
        <v>123.975002</v>
      </c>
      <c r="N2877" s="6"/>
      <c r="P2877"/>
      <c r="Q2877" s="12"/>
      <c r="R2877" s="12"/>
    </row>
    <row r="2878" spans="1:18" x14ac:dyDescent="0.2">
      <c r="A2878">
        <v>25</v>
      </c>
      <c r="B2878" t="s">
        <v>30</v>
      </c>
      <c r="C2878">
        <v>2015</v>
      </c>
      <c r="D2878">
        <v>1</v>
      </c>
      <c r="E2878" s="4">
        <v>0</v>
      </c>
      <c r="F2878" s="9">
        <v>0</v>
      </c>
      <c r="G2878" s="6">
        <v>1392</v>
      </c>
      <c r="H2878" s="9">
        <f t="shared" si="44"/>
        <v>0</v>
      </c>
      <c r="I2878" s="6">
        <v>12000</v>
      </c>
      <c r="J2878" s="6">
        <f>VLOOKUP(Table1[[#This Row],[Province]],[1]Sheet1!$A$3:$K$37,9,FALSE)</f>
        <v>2621900</v>
      </c>
      <c r="K2878">
        <v>0</v>
      </c>
      <c r="L2878" s="4">
        <v>0.62469300000000005</v>
      </c>
      <c r="M2878" s="4">
        <v>123.975002</v>
      </c>
      <c r="N2878" s="6"/>
      <c r="P2878"/>
      <c r="Q2878" s="12"/>
      <c r="R2878" s="12"/>
    </row>
    <row r="2879" spans="1:18" x14ac:dyDescent="0.2">
      <c r="A2879">
        <v>25</v>
      </c>
      <c r="B2879" t="s">
        <v>30</v>
      </c>
      <c r="C2879">
        <v>2015</v>
      </c>
      <c r="D2879">
        <v>2</v>
      </c>
      <c r="E2879" s="4">
        <v>0</v>
      </c>
      <c r="F2879" s="9">
        <v>0</v>
      </c>
      <c r="G2879" s="6">
        <v>3510</v>
      </c>
      <c r="H2879" s="9">
        <f t="shared" si="44"/>
        <v>0</v>
      </c>
      <c r="I2879" s="6">
        <v>12000</v>
      </c>
      <c r="J2879" s="6">
        <f>VLOOKUP(Table1[[#This Row],[Province]],[1]Sheet1!$A$3:$K$37,9,FALSE)</f>
        <v>2621900</v>
      </c>
      <c r="K2879">
        <v>0</v>
      </c>
      <c r="L2879" s="4">
        <v>0.62469300000000005</v>
      </c>
      <c r="M2879" s="4">
        <v>123.975002</v>
      </c>
      <c r="N2879" s="6"/>
      <c r="P2879"/>
      <c r="Q2879" s="12"/>
      <c r="R2879" s="12"/>
    </row>
    <row r="2880" spans="1:18" x14ac:dyDescent="0.2">
      <c r="A2880">
        <v>25</v>
      </c>
      <c r="B2880" t="s">
        <v>30</v>
      </c>
      <c r="C2880">
        <v>2015</v>
      </c>
      <c r="D2880">
        <v>3</v>
      </c>
      <c r="E2880" s="4">
        <v>0</v>
      </c>
      <c r="F2880" s="9">
        <v>0</v>
      </c>
      <c r="G2880" s="6">
        <v>1593</v>
      </c>
      <c r="H2880" s="9">
        <f t="shared" si="44"/>
        <v>0</v>
      </c>
      <c r="I2880" s="6">
        <v>12000</v>
      </c>
      <c r="J2880" s="6">
        <f>VLOOKUP(Table1[[#This Row],[Province]],[1]Sheet1!$A$3:$K$37,9,FALSE)</f>
        <v>2621900</v>
      </c>
      <c r="K2880">
        <v>0</v>
      </c>
      <c r="L2880" s="4">
        <v>0.62469300000000005</v>
      </c>
      <c r="M2880" s="4">
        <v>123.975002</v>
      </c>
      <c r="N2880" s="6"/>
      <c r="P2880"/>
      <c r="Q2880" s="12"/>
      <c r="R2880" s="12"/>
    </row>
    <row r="2881" spans="1:18" x14ac:dyDescent="0.2">
      <c r="A2881">
        <v>25</v>
      </c>
      <c r="B2881" t="s">
        <v>30</v>
      </c>
      <c r="C2881">
        <v>2015</v>
      </c>
      <c r="D2881">
        <v>4</v>
      </c>
      <c r="E2881" s="4">
        <v>0</v>
      </c>
      <c r="F2881" s="9">
        <v>0</v>
      </c>
      <c r="G2881" s="6">
        <v>2638</v>
      </c>
      <c r="H2881" s="9">
        <f t="shared" si="44"/>
        <v>0</v>
      </c>
      <c r="I2881" s="6">
        <v>12143</v>
      </c>
      <c r="J2881" s="6">
        <f>VLOOKUP(Table1[[#This Row],[Province]],[1]Sheet1!$A$3:$K$37,9,FALSE)</f>
        <v>2621900</v>
      </c>
      <c r="K2881">
        <v>0</v>
      </c>
      <c r="L2881" s="4">
        <v>0.62469300000000005</v>
      </c>
      <c r="M2881" s="4">
        <v>123.975002</v>
      </c>
      <c r="N2881" s="6"/>
      <c r="P2881"/>
      <c r="Q2881" s="12"/>
      <c r="R2881" s="12"/>
    </row>
    <row r="2882" spans="1:18" x14ac:dyDescent="0.2">
      <c r="A2882">
        <v>25</v>
      </c>
      <c r="B2882" t="s">
        <v>30</v>
      </c>
      <c r="C2882">
        <v>2015</v>
      </c>
      <c r="D2882">
        <v>5</v>
      </c>
      <c r="E2882" s="4">
        <v>0</v>
      </c>
      <c r="F2882" s="9">
        <v>0</v>
      </c>
      <c r="G2882" s="6">
        <v>2528</v>
      </c>
      <c r="H2882" s="9">
        <f t="shared" ref="H2882:H2945" si="45">F2882+E2882</f>
        <v>0</v>
      </c>
      <c r="I2882" s="6">
        <v>13053</v>
      </c>
      <c r="J2882" s="6">
        <f>VLOOKUP(Table1[[#This Row],[Province]],[1]Sheet1!$A$3:$K$37,9,FALSE)</f>
        <v>2621900</v>
      </c>
      <c r="K2882">
        <v>0</v>
      </c>
      <c r="L2882" s="4">
        <v>0.62469300000000005</v>
      </c>
      <c r="M2882" s="4">
        <v>123.975002</v>
      </c>
      <c r="N2882" s="6"/>
      <c r="P2882"/>
      <c r="Q2882" s="12"/>
      <c r="R2882" s="12"/>
    </row>
    <row r="2883" spans="1:18" x14ac:dyDescent="0.2">
      <c r="A2883">
        <v>25</v>
      </c>
      <c r="B2883" t="s">
        <v>30</v>
      </c>
      <c r="C2883">
        <v>2015</v>
      </c>
      <c r="D2883">
        <v>6</v>
      </c>
      <c r="E2883" s="4">
        <v>0</v>
      </c>
      <c r="F2883" s="9">
        <v>0</v>
      </c>
      <c r="G2883" s="6">
        <v>2873</v>
      </c>
      <c r="H2883" s="9">
        <f t="shared" si="45"/>
        <v>0</v>
      </c>
      <c r="I2883" s="6">
        <v>15048</v>
      </c>
      <c r="J2883" s="6">
        <f>VLOOKUP(Table1[[#This Row],[Province]],[1]Sheet1!$A$3:$K$37,9,FALSE)</f>
        <v>2621900</v>
      </c>
      <c r="K2883">
        <v>1</v>
      </c>
      <c r="L2883" s="4">
        <v>0.62469300000000005</v>
      </c>
      <c r="M2883" s="4">
        <v>123.975002</v>
      </c>
      <c r="N2883" s="6"/>
      <c r="P2883"/>
      <c r="Q2883" s="12"/>
      <c r="R2883" s="12"/>
    </row>
    <row r="2884" spans="1:18" x14ac:dyDescent="0.2">
      <c r="A2884">
        <v>25</v>
      </c>
      <c r="B2884" t="s">
        <v>30</v>
      </c>
      <c r="C2884">
        <v>2015</v>
      </c>
      <c r="D2884">
        <v>7</v>
      </c>
      <c r="E2884" s="4">
        <v>0</v>
      </c>
      <c r="F2884" s="9">
        <v>0</v>
      </c>
      <c r="G2884" s="6">
        <v>1961</v>
      </c>
      <c r="H2884" s="9">
        <f t="shared" si="45"/>
        <v>0</v>
      </c>
      <c r="I2884" s="6">
        <v>13000</v>
      </c>
      <c r="J2884" s="6">
        <f>VLOOKUP(Table1[[#This Row],[Province]],[1]Sheet1!$A$3:$K$37,9,FALSE)</f>
        <v>2621900</v>
      </c>
      <c r="K2884">
        <v>0</v>
      </c>
      <c r="L2884" s="4">
        <v>0.62469300000000005</v>
      </c>
      <c r="M2884" s="4">
        <v>123.975002</v>
      </c>
      <c r="N2884" s="6"/>
      <c r="P2884"/>
      <c r="Q2884" s="12"/>
      <c r="R2884" s="12"/>
    </row>
    <row r="2885" spans="1:18" x14ac:dyDescent="0.2">
      <c r="A2885">
        <v>25</v>
      </c>
      <c r="B2885" t="s">
        <v>30</v>
      </c>
      <c r="C2885">
        <v>2015</v>
      </c>
      <c r="D2885">
        <v>8</v>
      </c>
      <c r="E2885" s="4">
        <v>0</v>
      </c>
      <c r="F2885" s="9">
        <v>0</v>
      </c>
      <c r="G2885" s="6">
        <v>1941</v>
      </c>
      <c r="H2885" s="9">
        <f t="shared" si="45"/>
        <v>0</v>
      </c>
      <c r="I2885" s="6">
        <v>13000</v>
      </c>
      <c r="J2885" s="6">
        <f>VLOOKUP(Table1[[#This Row],[Province]],[1]Sheet1!$A$3:$K$37,9,FALSE)</f>
        <v>2621900</v>
      </c>
      <c r="K2885">
        <v>0</v>
      </c>
      <c r="L2885" s="4">
        <v>0.62469300000000005</v>
      </c>
      <c r="M2885" s="4">
        <v>123.975002</v>
      </c>
      <c r="N2885" s="6"/>
      <c r="P2885"/>
      <c r="Q2885" s="12"/>
      <c r="R2885" s="12"/>
    </row>
    <row r="2886" spans="1:18" x14ac:dyDescent="0.2">
      <c r="A2886">
        <v>25</v>
      </c>
      <c r="B2886" t="s">
        <v>30</v>
      </c>
      <c r="C2886">
        <v>2015</v>
      </c>
      <c r="D2886">
        <v>9</v>
      </c>
      <c r="E2886" s="4">
        <v>0</v>
      </c>
      <c r="F2886" s="9">
        <v>0</v>
      </c>
      <c r="G2886" s="6">
        <v>2605</v>
      </c>
      <c r="H2886" s="9">
        <f t="shared" si="45"/>
        <v>0</v>
      </c>
      <c r="I2886" s="6">
        <v>13000</v>
      </c>
      <c r="J2886" s="6">
        <f>VLOOKUP(Table1[[#This Row],[Province]],[1]Sheet1!$A$3:$K$37,9,FALSE)</f>
        <v>2621900</v>
      </c>
      <c r="K2886">
        <v>0</v>
      </c>
      <c r="L2886" s="4">
        <v>0.62469300000000005</v>
      </c>
      <c r="M2886" s="4">
        <v>123.975002</v>
      </c>
      <c r="N2886" s="6"/>
      <c r="P2886"/>
      <c r="Q2886" s="12"/>
      <c r="R2886" s="12"/>
    </row>
    <row r="2887" spans="1:18" x14ac:dyDescent="0.2">
      <c r="A2887">
        <v>25</v>
      </c>
      <c r="B2887" t="s">
        <v>30</v>
      </c>
      <c r="C2887">
        <v>2015</v>
      </c>
      <c r="D2887">
        <v>10</v>
      </c>
      <c r="E2887" s="4">
        <v>0</v>
      </c>
      <c r="F2887" s="9">
        <v>0</v>
      </c>
      <c r="G2887" s="6">
        <v>1736</v>
      </c>
      <c r="H2887" s="9">
        <f t="shared" si="45"/>
        <v>0</v>
      </c>
      <c r="I2887" s="6">
        <v>13000</v>
      </c>
      <c r="J2887" s="6">
        <f>VLOOKUP(Table1[[#This Row],[Province]],[1]Sheet1!$A$3:$K$37,9,FALSE)</f>
        <v>2621900</v>
      </c>
      <c r="K2887">
        <v>0</v>
      </c>
      <c r="L2887" s="4">
        <v>0.62469300000000005</v>
      </c>
      <c r="M2887" s="4">
        <v>123.975002</v>
      </c>
      <c r="N2887" s="6"/>
      <c r="P2887"/>
      <c r="Q2887" s="12"/>
      <c r="R2887" s="12"/>
    </row>
    <row r="2888" spans="1:18" x14ac:dyDescent="0.2">
      <c r="A2888">
        <v>25</v>
      </c>
      <c r="B2888" t="s">
        <v>30</v>
      </c>
      <c r="C2888">
        <v>2015</v>
      </c>
      <c r="D2888">
        <v>11</v>
      </c>
      <c r="E2888" s="4">
        <v>0</v>
      </c>
      <c r="F2888" s="9">
        <v>0</v>
      </c>
      <c r="G2888" s="6">
        <v>2289</v>
      </c>
      <c r="H2888" s="9">
        <f t="shared" si="45"/>
        <v>0</v>
      </c>
      <c r="I2888" s="6">
        <v>13000</v>
      </c>
      <c r="J2888" s="6">
        <f>VLOOKUP(Table1[[#This Row],[Province]],[1]Sheet1!$A$3:$K$37,9,FALSE)</f>
        <v>2621900</v>
      </c>
      <c r="K2888">
        <v>0</v>
      </c>
      <c r="L2888" s="4">
        <v>0.62469300000000005</v>
      </c>
      <c r="M2888" s="4">
        <v>123.975002</v>
      </c>
      <c r="N2888" s="6"/>
      <c r="P2888"/>
      <c r="Q2888" s="12"/>
      <c r="R2888" s="12"/>
    </row>
    <row r="2889" spans="1:18" x14ac:dyDescent="0.2">
      <c r="A2889">
        <v>25</v>
      </c>
      <c r="B2889" t="s">
        <v>30</v>
      </c>
      <c r="C2889">
        <v>2015</v>
      </c>
      <c r="D2889">
        <v>12</v>
      </c>
      <c r="E2889" s="4">
        <v>0</v>
      </c>
      <c r="F2889" s="9">
        <v>0</v>
      </c>
      <c r="G2889" s="6">
        <v>2454</v>
      </c>
      <c r="H2889" s="9">
        <f t="shared" si="45"/>
        <v>0</v>
      </c>
      <c r="I2889" s="6">
        <v>13000</v>
      </c>
      <c r="J2889" s="6">
        <f>VLOOKUP(Table1[[#This Row],[Province]],[1]Sheet1!$A$3:$K$37,9,FALSE)</f>
        <v>2621900</v>
      </c>
      <c r="K2889">
        <v>1</v>
      </c>
      <c r="L2889" s="4">
        <v>0.62469300000000005</v>
      </c>
      <c r="M2889" s="4">
        <v>123.975002</v>
      </c>
      <c r="N2889" s="6"/>
      <c r="P2889"/>
      <c r="Q2889" s="12"/>
      <c r="R2889" s="12"/>
    </row>
    <row r="2890" spans="1:18" x14ac:dyDescent="0.2">
      <c r="A2890">
        <v>25</v>
      </c>
      <c r="B2890" t="s">
        <v>30</v>
      </c>
      <c r="C2890">
        <v>2016</v>
      </c>
      <c r="D2890">
        <v>1</v>
      </c>
      <c r="E2890" s="4">
        <v>0</v>
      </c>
      <c r="F2890" s="9">
        <v>0</v>
      </c>
      <c r="G2890" s="6">
        <v>2414</v>
      </c>
      <c r="H2890" s="9">
        <f t="shared" si="45"/>
        <v>0</v>
      </c>
      <c r="I2890" s="6">
        <v>13000</v>
      </c>
      <c r="J2890" s="6">
        <f>VLOOKUP(Table1[[#This Row],[Province]],[1]Sheet1!$A$3:$K$37,9,FALSE)</f>
        <v>2621900</v>
      </c>
      <c r="K2890">
        <v>0</v>
      </c>
      <c r="L2890" s="4">
        <v>0.62469300000000005</v>
      </c>
      <c r="M2890" s="4">
        <v>123.975002</v>
      </c>
      <c r="N2890" s="13">
        <v>6.16</v>
      </c>
      <c r="P2890"/>
      <c r="Q2890" s="12"/>
      <c r="R2890" s="12"/>
    </row>
    <row r="2891" spans="1:18" x14ac:dyDescent="0.2">
      <c r="A2891">
        <v>25</v>
      </c>
      <c r="B2891" t="s">
        <v>30</v>
      </c>
      <c r="C2891">
        <v>2016</v>
      </c>
      <c r="D2891">
        <v>2</v>
      </c>
      <c r="E2891" s="4">
        <v>0</v>
      </c>
      <c r="F2891" s="9">
        <v>0</v>
      </c>
      <c r="G2891" s="6">
        <v>1483</v>
      </c>
      <c r="H2891" s="9">
        <f t="shared" si="45"/>
        <v>0</v>
      </c>
      <c r="I2891" s="6">
        <v>13000</v>
      </c>
      <c r="J2891" s="6">
        <f>VLOOKUP(Table1[[#This Row],[Province]],[1]Sheet1!$A$3:$K$37,9,FALSE)</f>
        <v>2621900</v>
      </c>
      <c r="K2891">
        <v>0</v>
      </c>
      <c r="L2891" s="4">
        <v>0.62469300000000005</v>
      </c>
      <c r="M2891" s="4">
        <v>123.975002</v>
      </c>
      <c r="N2891" s="13">
        <v>6.16</v>
      </c>
      <c r="P2891"/>
      <c r="Q2891" s="12"/>
      <c r="R2891" s="12"/>
    </row>
    <row r="2892" spans="1:18" x14ac:dyDescent="0.2">
      <c r="A2892">
        <v>25</v>
      </c>
      <c r="B2892" t="s">
        <v>30</v>
      </c>
      <c r="C2892">
        <v>2016</v>
      </c>
      <c r="D2892">
        <v>3</v>
      </c>
      <c r="E2892" s="4">
        <v>0</v>
      </c>
      <c r="F2892" s="9">
        <v>0</v>
      </c>
      <c r="G2892" s="6">
        <v>2312</v>
      </c>
      <c r="H2892" s="9">
        <f t="shared" si="45"/>
        <v>0</v>
      </c>
      <c r="I2892" s="6">
        <v>13000</v>
      </c>
      <c r="J2892" s="6">
        <f>VLOOKUP(Table1[[#This Row],[Province]],[1]Sheet1!$A$3:$K$37,9,FALSE)</f>
        <v>2621900</v>
      </c>
      <c r="K2892">
        <v>0</v>
      </c>
      <c r="L2892" s="4">
        <v>0.62469300000000005</v>
      </c>
      <c r="M2892" s="4">
        <v>123.975002</v>
      </c>
      <c r="N2892" s="13">
        <v>6.16</v>
      </c>
      <c r="P2892"/>
      <c r="Q2892" s="12"/>
      <c r="R2892" s="12"/>
    </row>
    <row r="2893" spans="1:18" x14ac:dyDescent="0.2">
      <c r="A2893">
        <v>25</v>
      </c>
      <c r="B2893" t="s">
        <v>30</v>
      </c>
      <c r="C2893">
        <v>2016</v>
      </c>
      <c r="D2893">
        <v>4</v>
      </c>
      <c r="E2893" s="4">
        <v>0</v>
      </c>
      <c r="F2893" s="9">
        <v>0</v>
      </c>
      <c r="G2893" s="6">
        <v>3119</v>
      </c>
      <c r="H2893" s="9">
        <f t="shared" si="45"/>
        <v>0</v>
      </c>
      <c r="I2893" s="6">
        <v>13000</v>
      </c>
      <c r="J2893" s="6">
        <f>VLOOKUP(Table1[[#This Row],[Province]],[1]Sheet1!$A$3:$K$37,9,FALSE)</f>
        <v>2621900</v>
      </c>
      <c r="K2893">
        <v>0</v>
      </c>
      <c r="L2893" s="4">
        <v>0.62469300000000005</v>
      </c>
      <c r="M2893" s="4">
        <v>123.975002</v>
      </c>
      <c r="N2893" s="13">
        <v>6.16</v>
      </c>
      <c r="P2893"/>
      <c r="Q2893" s="12"/>
      <c r="R2893" s="12"/>
    </row>
    <row r="2894" spans="1:18" x14ac:dyDescent="0.2">
      <c r="A2894">
        <v>25</v>
      </c>
      <c r="B2894" t="s">
        <v>30</v>
      </c>
      <c r="C2894">
        <v>2016</v>
      </c>
      <c r="D2894">
        <v>5</v>
      </c>
      <c r="E2894" s="4">
        <v>0</v>
      </c>
      <c r="F2894" s="9">
        <v>0</v>
      </c>
      <c r="G2894" s="6">
        <v>3063</v>
      </c>
      <c r="H2894" s="9">
        <f t="shared" si="45"/>
        <v>0</v>
      </c>
      <c r="I2894" s="6">
        <v>15200</v>
      </c>
      <c r="J2894" s="6">
        <f>VLOOKUP(Table1[[#This Row],[Province]],[1]Sheet1!$A$3:$K$37,9,FALSE)</f>
        <v>2621900</v>
      </c>
      <c r="K2894">
        <v>0</v>
      </c>
      <c r="L2894" s="4">
        <v>0.62469300000000005</v>
      </c>
      <c r="M2894" s="4">
        <v>123.975002</v>
      </c>
      <c r="N2894" s="13">
        <v>6.16</v>
      </c>
      <c r="P2894"/>
      <c r="Q2894" s="12"/>
      <c r="R2894" s="12"/>
    </row>
    <row r="2895" spans="1:18" x14ac:dyDescent="0.2">
      <c r="A2895">
        <v>25</v>
      </c>
      <c r="B2895" t="s">
        <v>30</v>
      </c>
      <c r="C2895">
        <v>2016</v>
      </c>
      <c r="D2895">
        <v>6</v>
      </c>
      <c r="E2895" s="4">
        <v>0</v>
      </c>
      <c r="F2895" s="9">
        <v>0</v>
      </c>
      <c r="G2895" s="6">
        <v>2499</v>
      </c>
      <c r="H2895" s="9">
        <f t="shared" si="45"/>
        <v>0</v>
      </c>
      <c r="I2895" s="6">
        <v>16500</v>
      </c>
      <c r="J2895" s="6">
        <f>VLOOKUP(Table1[[#This Row],[Province]],[1]Sheet1!$A$3:$K$37,9,FALSE)</f>
        <v>2621900</v>
      </c>
      <c r="K2895">
        <v>1</v>
      </c>
      <c r="L2895" s="4">
        <v>0.62469300000000005</v>
      </c>
      <c r="M2895" s="4">
        <v>123.975002</v>
      </c>
      <c r="N2895" s="13">
        <v>6.16</v>
      </c>
      <c r="P2895"/>
      <c r="Q2895" s="12"/>
      <c r="R2895" s="12"/>
    </row>
    <row r="2896" spans="1:18" x14ac:dyDescent="0.2">
      <c r="A2896">
        <v>25</v>
      </c>
      <c r="B2896" t="s">
        <v>30</v>
      </c>
      <c r="C2896">
        <v>2016</v>
      </c>
      <c r="D2896">
        <v>7</v>
      </c>
      <c r="E2896" s="4">
        <v>0</v>
      </c>
      <c r="F2896" s="9">
        <v>0</v>
      </c>
      <c r="G2896" s="6">
        <v>2384</v>
      </c>
      <c r="H2896" s="9">
        <f t="shared" si="45"/>
        <v>0</v>
      </c>
      <c r="I2896" s="6">
        <v>16000</v>
      </c>
      <c r="J2896" s="6">
        <f>VLOOKUP(Table1[[#This Row],[Province]],[1]Sheet1!$A$3:$K$37,9,FALSE)</f>
        <v>2621900</v>
      </c>
      <c r="K2896">
        <v>0</v>
      </c>
      <c r="L2896" s="4">
        <v>0.62469300000000005</v>
      </c>
      <c r="M2896" s="4">
        <v>123.975002</v>
      </c>
      <c r="N2896" s="13">
        <v>6.16</v>
      </c>
      <c r="P2896"/>
      <c r="Q2896" s="12"/>
      <c r="R2896" s="12"/>
    </row>
    <row r="2897" spans="1:18" x14ac:dyDescent="0.2">
      <c r="A2897">
        <v>25</v>
      </c>
      <c r="B2897" t="s">
        <v>30</v>
      </c>
      <c r="C2897">
        <v>2016</v>
      </c>
      <c r="D2897">
        <v>8</v>
      </c>
      <c r="E2897" s="4">
        <v>0</v>
      </c>
      <c r="F2897" s="9">
        <v>0</v>
      </c>
      <c r="G2897" s="6">
        <v>2356</v>
      </c>
      <c r="H2897" s="9">
        <f t="shared" si="45"/>
        <v>0</v>
      </c>
      <c r="I2897" s="6">
        <v>16091</v>
      </c>
      <c r="J2897" s="6">
        <f>VLOOKUP(Table1[[#This Row],[Province]],[1]Sheet1!$A$3:$K$37,9,FALSE)</f>
        <v>2621900</v>
      </c>
      <c r="K2897">
        <v>0</v>
      </c>
      <c r="L2897" s="4">
        <v>0.62469300000000005</v>
      </c>
      <c r="M2897" s="4">
        <v>123.975002</v>
      </c>
      <c r="N2897" s="13">
        <v>6.16</v>
      </c>
      <c r="P2897"/>
      <c r="Q2897" s="12"/>
      <c r="R2897" s="12"/>
    </row>
    <row r="2898" spans="1:18" x14ac:dyDescent="0.2">
      <c r="A2898">
        <v>25</v>
      </c>
      <c r="B2898" t="s">
        <v>30</v>
      </c>
      <c r="C2898">
        <v>2016</v>
      </c>
      <c r="D2898">
        <v>9</v>
      </c>
      <c r="E2898" s="4">
        <v>0</v>
      </c>
      <c r="F2898" s="9">
        <v>0</v>
      </c>
      <c r="G2898" s="6">
        <v>911</v>
      </c>
      <c r="H2898" s="9">
        <f t="shared" si="45"/>
        <v>0</v>
      </c>
      <c r="I2898" s="6">
        <v>16000</v>
      </c>
      <c r="J2898" s="6">
        <f>VLOOKUP(Table1[[#This Row],[Province]],[1]Sheet1!$A$3:$K$37,9,FALSE)</f>
        <v>2621900</v>
      </c>
      <c r="K2898">
        <v>0</v>
      </c>
      <c r="L2898" s="4">
        <v>0.62469300000000005</v>
      </c>
      <c r="M2898" s="4">
        <v>123.975002</v>
      </c>
      <c r="N2898" s="13">
        <v>6.16</v>
      </c>
      <c r="P2898"/>
      <c r="Q2898" s="12"/>
      <c r="R2898" s="12"/>
    </row>
    <row r="2899" spans="1:18" x14ac:dyDescent="0.2">
      <c r="A2899">
        <v>25</v>
      </c>
      <c r="B2899" t="s">
        <v>30</v>
      </c>
      <c r="C2899">
        <v>2016</v>
      </c>
      <c r="D2899">
        <v>10</v>
      </c>
      <c r="E2899" s="4">
        <v>0</v>
      </c>
      <c r="F2899" s="9">
        <v>0</v>
      </c>
      <c r="G2899" s="6">
        <v>3978</v>
      </c>
      <c r="H2899" s="9">
        <f t="shared" si="45"/>
        <v>0</v>
      </c>
      <c r="I2899" s="6">
        <v>16000</v>
      </c>
      <c r="J2899" s="6">
        <f>VLOOKUP(Table1[[#This Row],[Province]],[1]Sheet1!$A$3:$K$37,9,FALSE)</f>
        <v>2621900</v>
      </c>
      <c r="K2899">
        <v>0</v>
      </c>
      <c r="L2899" s="4">
        <v>0.62469300000000005</v>
      </c>
      <c r="M2899" s="4">
        <v>123.975002</v>
      </c>
      <c r="N2899" s="13">
        <v>6.16</v>
      </c>
      <c r="P2899"/>
      <c r="Q2899" s="12"/>
      <c r="R2899" s="12"/>
    </row>
    <row r="2900" spans="1:18" x14ac:dyDescent="0.2">
      <c r="A2900">
        <v>25</v>
      </c>
      <c r="B2900" t="s">
        <v>30</v>
      </c>
      <c r="C2900">
        <v>2016</v>
      </c>
      <c r="D2900">
        <v>11</v>
      </c>
      <c r="E2900" s="4">
        <v>0</v>
      </c>
      <c r="F2900" s="9">
        <v>0</v>
      </c>
      <c r="G2900" s="6">
        <v>1126</v>
      </c>
      <c r="H2900" s="9">
        <f t="shared" si="45"/>
        <v>0</v>
      </c>
      <c r="I2900" s="6">
        <v>16000</v>
      </c>
      <c r="J2900" s="6">
        <f>VLOOKUP(Table1[[#This Row],[Province]],[1]Sheet1!$A$3:$K$37,9,FALSE)</f>
        <v>2621900</v>
      </c>
      <c r="K2900">
        <v>0</v>
      </c>
      <c r="L2900" s="4">
        <v>0.62469300000000005</v>
      </c>
      <c r="M2900" s="4">
        <v>123.975002</v>
      </c>
      <c r="N2900" s="13">
        <v>6.16</v>
      </c>
      <c r="P2900"/>
      <c r="Q2900" s="12"/>
      <c r="R2900" s="12"/>
    </row>
    <row r="2901" spans="1:18" x14ac:dyDescent="0.2">
      <c r="A2901">
        <v>25</v>
      </c>
      <c r="B2901" t="s">
        <v>30</v>
      </c>
      <c r="C2901">
        <v>2016</v>
      </c>
      <c r="D2901">
        <v>12</v>
      </c>
      <c r="E2901" s="4">
        <v>0</v>
      </c>
      <c r="F2901" s="9">
        <v>0</v>
      </c>
      <c r="G2901" s="6">
        <v>1127</v>
      </c>
      <c r="H2901" s="9">
        <f t="shared" si="45"/>
        <v>0</v>
      </c>
      <c r="I2901" s="6">
        <v>16000</v>
      </c>
      <c r="J2901" s="6">
        <f>VLOOKUP(Table1[[#This Row],[Province]],[1]Sheet1!$A$3:$K$37,9,FALSE)</f>
        <v>2621900</v>
      </c>
      <c r="K2901">
        <v>1</v>
      </c>
      <c r="L2901" s="4">
        <v>0.62469300000000005</v>
      </c>
      <c r="M2901" s="4">
        <v>123.975002</v>
      </c>
      <c r="N2901" s="13">
        <v>6.16</v>
      </c>
      <c r="P2901"/>
      <c r="Q2901" s="12"/>
      <c r="R2901" s="12"/>
    </row>
    <row r="2902" spans="1:18" x14ac:dyDescent="0.2">
      <c r="A2902">
        <v>25</v>
      </c>
      <c r="B2902" t="s">
        <v>30</v>
      </c>
      <c r="C2902">
        <v>2017</v>
      </c>
      <c r="D2902">
        <v>1</v>
      </c>
      <c r="E2902" s="4">
        <v>0</v>
      </c>
      <c r="F2902" s="9">
        <v>0</v>
      </c>
      <c r="G2902" s="6">
        <v>2234</v>
      </c>
      <c r="H2902" s="9">
        <f t="shared" si="45"/>
        <v>0</v>
      </c>
      <c r="I2902" s="6">
        <v>15476</v>
      </c>
      <c r="J2902" s="6">
        <f>VLOOKUP(Table1[[#This Row],[Province]],[1]Sheet1!$A$3:$K$37,9,FALSE)</f>
        <v>2621900</v>
      </c>
      <c r="K2902">
        <v>0</v>
      </c>
      <c r="L2902" s="4">
        <v>0.62469300000000005</v>
      </c>
      <c r="M2902" s="4">
        <v>123.975002</v>
      </c>
      <c r="N2902" s="13">
        <v>6.31</v>
      </c>
      <c r="P2902"/>
      <c r="Q2902" s="12"/>
      <c r="R2902" s="12"/>
    </row>
    <row r="2903" spans="1:18" x14ac:dyDescent="0.2">
      <c r="A2903">
        <v>25</v>
      </c>
      <c r="B2903" t="s">
        <v>30</v>
      </c>
      <c r="C2903">
        <v>2017</v>
      </c>
      <c r="D2903">
        <v>2</v>
      </c>
      <c r="E2903" s="4">
        <v>0</v>
      </c>
      <c r="F2903" s="9">
        <v>0</v>
      </c>
      <c r="G2903" s="6">
        <v>1283</v>
      </c>
      <c r="H2903" s="9">
        <f t="shared" si="45"/>
        <v>0</v>
      </c>
      <c r="I2903" s="6">
        <v>15000</v>
      </c>
      <c r="J2903" s="6">
        <f>VLOOKUP(Table1[[#This Row],[Province]],[1]Sheet1!$A$3:$K$37,9,FALSE)</f>
        <v>2621900</v>
      </c>
      <c r="K2903">
        <v>0</v>
      </c>
      <c r="L2903" s="4">
        <v>0.62469300000000005</v>
      </c>
      <c r="M2903" s="4">
        <v>123.975002</v>
      </c>
      <c r="N2903" s="13">
        <v>6.31</v>
      </c>
      <c r="P2903"/>
      <c r="Q2903" s="12"/>
      <c r="R2903" s="12"/>
    </row>
    <row r="2904" spans="1:18" x14ac:dyDescent="0.2">
      <c r="A2904">
        <v>25</v>
      </c>
      <c r="B2904" t="s">
        <v>30</v>
      </c>
      <c r="C2904">
        <v>2017</v>
      </c>
      <c r="D2904">
        <v>3</v>
      </c>
      <c r="E2904" s="4">
        <v>0</v>
      </c>
      <c r="F2904" s="9">
        <v>0</v>
      </c>
      <c r="G2904" s="6">
        <v>1003</v>
      </c>
      <c r="H2904" s="9">
        <f t="shared" si="45"/>
        <v>0</v>
      </c>
      <c r="I2904" s="6">
        <v>15273</v>
      </c>
      <c r="J2904" s="6">
        <f>VLOOKUP(Table1[[#This Row],[Province]],[1]Sheet1!$A$3:$K$37,9,FALSE)</f>
        <v>2621900</v>
      </c>
      <c r="K2904">
        <v>0</v>
      </c>
      <c r="L2904" s="4">
        <v>0.62469300000000005</v>
      </c>
      <c r="M2904" s="4">
        <v>123.975002</v>
      </c>
      <c r="N2904" s="13">
        <v>6.31</v>
      </c>
      <c r="P2904"/>
      <c r="Q2904" s="12"/>
      <c r="R2904" s="12"/>
    </row>
    <row r="2905" spans="1:18" x14ac:dyDescent="0.2">
      <c r="A2905">
        <v>25</v>
      </c>
      <c r="B2905" t="s">
        <v>30</v>
      </c>
      <c r="C2905">
        <v>2017</v>
      </c>
      <c r="D2905">
        <v>4</v>
      </c>
      <c r="E2905" s="4">
        <v>0</v>
      </c>
      <c r="F2905" s="9">
        <v>0</v>
      </c>
      <c r="G2905" s="6">
        <v>716</v>
      </c>
      <c r="H2905" s="9">
        <f t="shared" si="45"/>
        <v>0</v>
      </c>
      <c r="I2905" s="6">
        <v>16000</v>
      </c>
      <c r="J2905" s="6">
        <f>VLOOKUP(Table1[[#This Row],[Province]],[1]Sheet1!$A$3:$K$37,9,FALSE)</f>
        <v>2621900</v>
      </c>
      <c r="K2905">
        <v>0</v>
      </c>
      <c r="L2905" s="4">
        <v>0.62469300000000005</v>
      </c>
      <c r="M2905" s="4">
        <v>123.975002</v>
      </c>
      <c r="N2905" s="13">
        <v>6.31</v>
      </c>
      <c r="P2905"/>
      <c r="Q2905" s="12"/>
      <c r="R2905" s="12"/>
    </row>
    <row r="2906" spans="1:18" x14ac:dyDescent="0.2">
      <c r="A2906">
        <v>25</v>
      </c>
      <c r="B2906" t="s">
        <v>30</v>
      </c>
      <c r="C2906">
        <v>2017</v>
      </c>
      <c r="D2906">
        <v>5</v>
      </c>
      <c r="E2906" s="4">
        <v>0</v>
      </c>
      <c r="F2906" s="9">
        <v>0</v>
      </c>
      <c r="G2906" s="6">
        <v>690</v>
      </c>
      <c r="H2906" s="9">
        <f t="shared" si="45"/>
        <v>0</v>
      </c>
      <c r="I2906" s="6">
        <v>16000</v>
      </c>
      <c r="J2906" s="6">
        <f>VLOOKUP(Table1[[#This Row],[Province]],[1]Sheet1!$A$3:$K$37,9,FALSE)</f>
        <v>2621900</v>
      </c>
      <c r="K2906">
        <v>1</v>
      </c>
      <c r="L2906" s="4">
        <v>0.62469300000000005</v>
      </c>
      <c r="M2906" s="4">
        <v>123.975002</v>
      </c>
      <c r="N2906" s="13">
        <v>6.31</v>
      </c>
      <c r="P2906"/>
      <c r="Q2906" s="12"/>
      <c r="R2906" s="12"/>
    </row>
    <row r="2907" spans="1:18" x14ac:dyDescent="0.2">
      <c r="A2907">
        <v>25</v>
      </c>
      <c r="B2907" t="s">
        <v>30</v>
      </c>
      <c r="C2907">
        <v>2017</v>
      </c>
      <c r="D2907">
        <v>6</v>
      </c>
      <c r="E2907" s="4">
        <v>0</v>
      </c>
      <c r="F2907" s="9">
        <v>0</v>
      </c>
      <c r="G2907" s="6">
        <v>1276</v>
      </c>
      <c r="H2907" s="9">
        <f t="shared" si="45"/>
        <v>0</v>
      </c>
      <c r="I2907" s="6">
        <v>15067</v>
      </c>
      <c r="J2907" s="6">
        <f>VLOOKUP(Table1[[#This Row],[Province]],[1]Sheet1!$A$3:$K$37,9,FALSE)</f>
        <v>2621900</v>
      </c>
      <c r="K2907">
        <v>0</v>
      </c>
      <c r="L2907" s="4">
        <v>0.62469300000000005</v>
      </c>
      <c r="M2907" s="4">
        <v>123.975002</v>
      </c>
      <c r="N2907" s="13">
        <v>6.31</v>
      </c>
      <c r="P2907"/>
      <c r="Q2907" s="12"/>
      <c r="R2907" s="12"/>
    </row>
    <row r="2908" spans="1:18" x14ac:dyDescent="0.2">
      <c r="A2908">
        <v>25</v>
      </c>
      <c r="B2908" t="s">
        <v>30</v>
      </c>
      <c r="C2908">
        <v>2017</v>
      </c>
      <c r="D2908">
        <v>7</v>
      </c>
      <c r="E2908" s="4">
        <v>0</v>
      </c>
      <c r="F2908" s="9">
        <v>0</v>
      </c>
      <c r="G2908" s="6">
        <v>1421</v>
      </c>
      <c r="H2908" s="9">
        <f t="shared" si="45"/>
        <v>0</v>
      </c>
      <c r="I2908" s="6">
        <v>15000</v>
      </c>
      <c r="J2908" s="6">
        <f>VLOOKUP(Table1[[#This Row],[Province]],[1]Sheet1!$A$3:$K$37,9,FALSE)</f>
        <v>2621900</v>
      </c>
      <c r="K2908">
        <v>0</v>
      </c>
      <c r="L2908" s="4">
        <v>0.62469300000000005</v>
      </c>
      <c r="M2908" s="4">
        <v>123.975002</v>
      </c>
      <c r="N2908" s="13">
        <v>6.31</v>
      </c>
      <c r="P2908"/>
      <c r="Q2908" s="12"/>
      <c r="R2908" s="12"/>
    </row>
    <row r="2909" spans="1:18" x14ac:dyDescent="0.2">
      <c r="A2909">
        <v>25</v>
      </c>
      <c r="B2909" t="s">
        <v>30</v>
      </c>
      <c r="C2909">
        <v>2017</v>
      </c>
      <c r="D2909">
        <v>8</v>
      </c>
      <c r="E2909" s="4">
        <v>0</v>
      </c>
      <c r="F2909" s="9">
        <v>0</v>
      </c>
      <c r="G2909" s="6">
        <v>2724</v>
      </c>
      <c r="H2909" s="9">
        <f t="shared" si="45"/>
        <v>0</v>
      </c>
      <c r="I2909" s="6">
        <v>14682</v>
      </c>
      <c r="J2909" s="6">
        <f>VLOOKUP(Table1[[#This Row],[Province]],[1]Sheet1!$A$3:$K$37,9,FALSE)</f>
        <v>2621900</v>
      </c>
      <c r="K2909">
        <v>0</v>
      </c>
      <c r="L2909" s="4">
        <v>0.62469300000000005</v>
      </c>
      <c r="M2909" s="4">
        <v>123.975002</v>
      </c>
      <c r="N2909" s="13">
        <v>6.31</v>
      </c>
      <c r="P2909"/>
      <c r="Q2909" s="12"/>
      <c r="R2909" s="12"/>
    </row>
    <row r="2910" spans="1:18" x14ac:dyDescent="0.2">
      <c r="A2910">
        <v>25</v>
      </c>
      <c r="B2910" t="s">
        <v>30</v>
      </c>
      <c r="C2910">
        <v>2017</v>
      </c>
      <c r="D2910">
        <v>9</v>
      </c>
      <c r="E2910" s="4">
        <v>0</v>
      </c>
      <c r="F2910" s="9">
        <v>0</v>
      </c>
      <c r="G2910" s="6">
        <v>2639</v>
      </c>
      <c r="H2910" s="9">
        <f t="shared" si="45"/>
        <v>0</v>
      </c>
      <c r="I2910" s="6">
        <v>14000</v>
      </c>
      <c r="J2910" s="6">
        <f>VLOOKUP(Table1[[#This Row],[Province]],[1]Sheet1!$A$3:$K$37,9,FALSE)</f>
        <v>2621900</v>
      </c>
      <c r="K2910">
        <v>0</v>
      </c>
      <c r="L2910" s="4">
        <v>0.62469300000000005</v>
      </c>
      <c r="M2910" s="4">
        <v>123.975002</v>
      </c>
      <c r="N2910" s="13">
        <v>6.31</v>
      </c>
      <c r="P2910"/>
      <c r="Q2910" s="12"/>
      <c r="R2910" s="12"/>
    </row>
    <row r="2911" spans="1:18" x14ac:dyDescent="0.2">
      <c r="A2911">
        <v>25</v>
      </c>
      <c r="B2911" t="s">
        <v>30</v>
      </c>
      <c r="C2911">
        <v>2017</v>
      </c>
      <c r="D2911">
        <v>10</v>
      </c>
      <c r="E2911" s="4">
        <v>0</v>
      </c>
      <c r="F2911" s="9">
        <v>0</v>
      </c>
      <c r="G2911" s="6">
        <v>3426</v>
      </c>
      <c r="H2911" s="9">
        <f t="shared" si="45"/>
        <v>0</v>
      </c>
      <c r="I2911" s="6">
        <v>14000</v>
      </c>
      <c r="J2911" s="6">
        <f>VLOOKUP(Table1[[#This Row],[Province]],[1]Sheet1!$A$3:$K$37,9,FALSE)</f>
        <v>2621900</v>
      </c>
      <c r="K2911">
        <v>0</v>
      </c>
      <c r="L2911" s="4">
        <v>0.62469300000000005</v>
      </c>
      <c r="M2911" s="4">
        <v>123.975002</v>
      </c>
      <c r="N2911" s="13">
        <v>6.31</v>
      </c>
      <c r="P2911"/>
      <c r="Q2911" s="12"/>
      <c r="R2911" s="12"/>
    </row>
    <row r="2912" spans="1:18" x14ac:dyDescent="0.2">
      <c r="A2912">
        <v>25</v>
      </c>
      <c r="B2912" t="s">
        <v>30</v>
      </c>
      <c r="C2912">
        <v>2017</v>
      </c>
      <c r="D2912">
        <v>11</v>
      </c>
      <c r="E2912" s="4">
        <v>0</v>
      </c>
      <c r="F2912" s="9">
        <v>0</v>
      </c>
      <c r="G2912" s="6">
        <v>895</v>
      </c>
      <c r="H2912" s="9">
        <f t="shared" si="45"/>
        <v>0</v>
      </c>
      <c r="I2912" s="6">
        <v>14000</v>
      </c>
      <c r="J2912" s="6">
        <f>VLOOKUP(Table1[[#This Row],[Province]],[1]Sheet1!$A$3:$K$37,9,FALSE)</f>
        <v>2621900</v>
      </c>
      <c r="K2912">
        <v>0</v>
      </c>
      <c r="L2912" s="4">
        <v>0.62469300000000005</v>
      </c>
      <c r="M2912" s="4">
        <v>123.975002</v>
      </c>
      <c r="N2912" s="13">
        <v>6.31</v>
      </c>
      <c r="P2912"/>
      <c r="Q2912" s="12"/>
      <c r="R2912" s="12"/>
    </row>
    <row r="2913" spans="1:18" x14ac:dyDescent="0.2">
      <c r="A2913">
        <v>25</v>
      </c>
      <c r="B2913" t="s">
        <v>30</v>
      </c>
      <c r="C2913">
        <v>2017</v>
      </c>
      <c r="D2913">
        <v>12</v>
      </c>
      <c r="E2913" s="4">
        <v>0</v>
      </c>
      <c r="F2913" s="9">
        <v>0</v>
      </c>
      <c r="G2913" s="6">
        <v>1668</v>
      </c>
      <c r="H2913" s="9">
        <f t="shared" si="45"/>
        <v>0</v>
      </c>
      <c r="I2913" s="6">
        <v>14000</v>
      </c>
      <c r="J2913" s="6">
        <f>VLOOKUP(Table1[[#This Row],[Province]],[1]Sheet1!$A$3:$K$37,9,FALSE)</f>
        <v>2621900</v>
      </c>
      <c r="K2913">
        <v>1</v>
      </c>
      <c r="L2913" s="4">
        <v>0.62469300000000005</v>
      </c>
      <c r="M2913" s="4">
        <v>123.975002</v>
      </c>
      <c r="N2913" s="13">
        <v>6.31</v>
      </c>
      <c r="P2913"/>
      <c r="Q2913" s="12"/>
      <c r="R2913" s="12"/>
    </row>
    <row r="2914" spans="1:18" x14ac:dyDescent="0.2">
      <c r="A2914">
        <v>25</v>
      </c>
      <c r="B2914" t="s">
        <v>30</v>
      </c>
      <c r="C2914">
        <v>2018</v>
      </c>
      <c r="D2914">
        <v>1</v>
      </c>
      <c r="E2914" s="4">
        <v>0</v>
      </c>
      <c r="F2914" s="9">
        <v>0</v>
      </c>
      <c r="G2914" s="6">
        <v>1382</v>
      </c>
      <c r="H2914" s="9">
        <f t="shared" si="45"/>
        <v>0</v>
      </c>
      <c r="I2914" s="6">
        <v>13045</v>
      </c>
      <c r="J2914" s="6">
        <f>VLOOKUP(Table1[[#This Row],[Province]],[1]Sheet1!$A$3:$K$37,9,FALSE)</f>
        <v>2621900</v>
      </c>
      <c r="K2914">
        <v>0</v>
      </c>
      <c r="L2914" s="4">
        <v>0.62469300000000005</v>
      </c>
      <c r="M2914" s="4">
        <v>123.975002</v>
      </c>
      <c r="N2914" s="13">
        <v>6</v>
      </c>
      <c r="P2914"/>
      <c r="Q2914" s="12"/>
      <c r="R2914" s="12"/>
    </row>
    <row r="2915" spans="1:18" x14ac:dyDescent="0.2">
      <c r="A2915">
        <v>25</v>
      </c>
      <c r="B2915" t="s">
        <v>30</v>
      </c>
      <c r="C2915">
        <v>2018</v>
      </c>
      <c r="D2915">
        <v>2</v>
      </c>
      <c r="E2915" s="4">
        <v>0</v>
      </c>
      <c r="F2915" s="9">
        <v>0</v>
      </c>
      <c r="G2915" s="6">
        <v>2182</v>
      </c>
      <c r="H2915" s="9">
        <f t="shared" si="45"/>
        <v>0</v>
      </c>
      <c r="I2915" s="6">
        <v>13526</v>
      </c>
      <c r="J2915" s="6">
        <f>VLOOKUP(Table1[[#This Row],[Province]],[1]Sheet1!$A$3:$K$37,9,FALSE)</f>
        <v>2621900</v>
      </c>
      <c r="K2915">
        <v>0</v>
      </c>
      <c r="L2915" s="4">
        <v>0.62469300000000005</v>
      </c>
      <c r="M2915" s="4">
        <v>123.975002</v>
      </c>
      <c r="N2915" s="13">
        <v>6</v>
      </c>
      <c r="P2915"/>
      <c r="Q2915" s="12"/>
      <c r="R2915" s="12"/>
    </row>
    <row r="2916" spans="1:18" x14ac:dyDescent="0.2">
      <c r="A2916">
        <v>25</v>
      </c>
      <c r="B2916" t="s">
        <v>30</v>
      </c>
      <c r="C2916">
        <v>2018</v>
      </c>
      <c r="D2916">
        <v>3</v>
      </c>
      <c r="E2916" s="4">
        <v>0</v>
      </c>
      <c r="F2916" s="9">
        <v>0</v>
      </c>
      <c r="G2916" s="6">
        <v>1235</v>
      </c>
      <c r="H2916" s="9">
        <f t="shared" si="45"/>
        <v>0</v>
      </c>
      <c r="I2916" s="6">
        <v>13571</v>
      </c>
      <c r="J2916" s="6">
        <f>VLOOKUP(Table1[[#This Row],[Province]],[1]Sheet1!$A$3:$K$37,9,FALSE)</f>
        <v>2621900</v>
      </c>
      <c r="K2916">
        <v>0</v>
      </c>
      <c r="L2916" s="4">
        <v>0.62469300000000005</v>
      </c>
      <c r="M2916" s="4">
        <v>123.975002</v>
      </c>
      <c r="N2916" s="13">
        <v>6</v>
      </c>
      <c r="P2916"/>
      <c r="Q2916" s="12"/>
      <c r="R2916" s="12"/>
    </row>
    <row r="2917" spans="1:18" x14ac:dyDescent="0.2">
      <c r="A2917">
        <v>25</v>
      </c>
      <c r="B2917" t="s">
        <v>30</v>
      </c>
      <c r="C2917">
        <v>2018</v>
      </c>
      <c r="D2917">
        <v>4</v>
      </c>
      <c r="E2917" s="4">
        <v>0</v>
      </c>
      <c r="F2917" s="9">
        <v>0</v>
      </c>
      <c r="G2917" s="6">
        <v>1510</v>
      </c>
      <c r="H2917" s="9">
        <f t="shared" si="45"/>
        <v>0</v>
      </c>
      <c r="I2917" s="6">
        <v>13667</v>
      </c>
      <c r="J2917" s="6">
        <f>VLOOKUP(Table1[[#This Row],[Province]],[1]Sheet1!$A$3:$K$37,9,FALSE)</f>
        <v>2621900</v>
      </c>
      <c r="K2917">
        <v>0</v>
      </c>
      <c r="L2917" s="4">
        <v>0.62469300000000005</v>
      </c>
      <c r="M2917" s="4">
        <v>123.975002</v>
      </c>
      <c r="N2917" s="13">
        <v>6</v>
      </c>
      <c r="P2917"/>
      <c r="Q2917" s="12"/>
      <c r="R2917" s="12"/>
    </row>
    <row r="2918" spans="1:18" x14ac:dyDescent="0.2">
      <c r="A2918">
        <v>25</v>
      </c>
      <c r="B2918" t="s">
        <v>30</v>
      </c>
      <c r="C2918">
        <v>2018</v>
      </c>
      <c r="D2918">
        <v>5</v>
      </c>
      <c r="E2918" s="4">
        <v>0</v>
      </c>
      <c r="F2918" s="9">
        <v>0</v>
      </c>
      <c r="G2918" s="6">
        <v>2467</v>
      </c>
      <c r="H2918" s="9">
        <f t="shared" si="45"/>
        <v>0</v>
      </c>
      <c r="I2918" s="6">
        <v>12813</v>
      </c>
      <c r="J2918" s="6">
        <f>VLOOKUP(Table1[[#This Row],[Province]],[1]Sheet1!$A$3:$K$37,9,FALSE)</f>
        <v>2621900</v>
      </c>
      <c r="K2918">
        <v>1</v>
      </c>
      <c r="L2918" s="4">
        <v>0.62469300000000005</v>
      </c>
      <c r="M2918" s="4">
        <v>123.975002</v>
      </c>
      <c r="N2918" s="13">
        <v>6</v>
      </c>
      <c r="P2918"/>
      <c r="Q2918" s="12"/>
      <c r="R2918" s="12"/>
    </row>
    <row r="2919" spans="1:18" x14ac:dyDescent="0.2">
      <c r="A2919">
        <v>25</v>
      </c>
      <c r="B2919" t="s">
        <v>30</v>
      </c>
      <c r="C2919">
        <v>2018</v>
      </c>
      <c r="D2919">
        <v>6</v>
      </c>
      <c r="E2919" s="4">
        <v>0</v>
      </c>
      <c r="F2919" s="9">
        <v>0</v>
      </c>
      <c r="G2919" s="6">
        <v>1379</v>
      </c>
      <c r="H2919" s="9">
        <f t="shared" si="45"/>
        <v>0</v>
      </c>
      <c r="I2919" s="6">
        <v>12500</v>
      </c>
      <c r="J2919" s="6">
        <f>VLOOKUP(Table1[[#This Row],[Province]],[1]Sheet1!$A$3:$K$37,9,FALSE)</f>
        <v>2621900</v>
      </c>
      <c r="K2919">
        <v>0</v>
      </c>
      <c r="L2919" s="4">
        <v>0.62469300000000005</v>
      </c>
      <c r="M2919" s="4">
        <v>123.975002</v>
      </c>
      <c r="N2919" s="13">
        <v>6</v>
      </c>
      <c r="P2919"/>
      <c r="Q2919" s="12"/>
      <c r="R2919" s="12"/>
    </row>
    <row r="2920" spans="1:18" x14ac:dyDescent="0.2">
      <c r="A2920">
        <v>25</v>
      </c>
      <c r="B2920" t="s">
        <v>30</v>
      </c>
      <c r="C2920">
        <v>2018</v>
      </c>
      <c r="D2920">
        <v>7</v>
      </c>
      <c r="E2920" s="4">
        <v>0</v>
      </c>
      <c r="F2920" s="9">
        <v>0</v>
      </c>
      <c r="G2920" s="6">
        <v>1727</v>
      </c>
      <c r="H2920" s="9">
        <f t="shared" si="45"/>
        <v>0</v>
      </c>
      <c r="I2920" s="6">
        <v>12500</v>
      </c>
      <c r="J2920" s="6">
        <f>VLOOKUP(Table1[[#This Row],[Province]],[1]Sheet1!$A$3:$K$37,9,FALSE)</f>
        <v>2621900</v>
      </c>
      <c r="K2920">
        <v>0</v>
      </c>
      <c r="L2920" s="4">
        <v>0.62469300000000005</v>
      </c>
      <c r="M2920" s="4">
        <v>123.975002</v>
      </c>
      <c r="N2920" s="13">
        <v>6</v>
      </c>
      <c r="P2920"/>
      <c r="Q2920" s="12"/>
      <c r="R2920" s="12"/>
    </row>
    <row r="2921" spans="1:18" x14ac:dyDescent="0.2">
      <c r="A2921">
        <v>25</v>
      </c>
      <c r="B2921" t="s">
        <v>30</v>
      </c>
      <c r="C2921">
        <v>2018</v>
      </c>
      <c r="D2921">
        <v>8</v>
      </c>
      <c r="E2921" s="4">
        <v>0</v>
      </c>
      <c r="F2921" s="9">
        <v>0</v>
      </c>
      <c r="G2921" s="6">
        <v>2269</v>
      </c>
      <c r="H2921" s="9">
        <f t="shared" si="45"/>
        <v>0</v>
      </c>
      <c r="I2921" s="6">
        <v>12500</v>
      </c>
      <c r="J2921" s="6">
        <f>VLOOKUP(Table1[[#This Row],[Province]],[1]Sheet1!$A$3:$K$37,9,FALSE)</f>
        <v>2621900</v>
      </c>
      <c r="K2921">
        <v>0</v>
      </c>
      <c r="L2921" s="4">
        <v>0.62469300000000005</v>
      </c>
      <c r="M2921" s="4">
        <v>123.975002</v>
      </c>
      <c r="N2921" s="13">
        <v>6</v>
      </c>
      <c r="P2921"/>
      <c r="Q2921" s="12"/>
      <c r="R2921" s="12"/>
    </row>
    <row r="2922" spans="1:18" x14ac:dyDescent="0.2">
      <c r="A2922">
        <v>25</v>
      </c>
      <c r="B2922" t="s">
        <v>30</v>
      </c>
      <c r="C2922">
        <v>2018</v>
      </c>
      <c r="D2922">
        <v>9</v>
      </c>
      <c r="E2922" s="4">
        <v>0</v>
      </c>
      <c r="F2922" s="9">
        <v>0</v>
      </c>
      <c r="G2922" s="6">
        <v>1483</v>
      </c>
      <c r="H2922" s="9">
        <f t="shared" si="45"/>
        <v>0</v>
      </c>
      <c r="I2922" s="6">
        <v>12500</v>
      </c>
      <c r="J2922" s="6">
        <f>VLOOKUP(Table1[[#This Row],[Province]],[1]Sheet1!$A$3:$K$37,9,FALSE)</f>
        <v>2621900</v>
      </c>
      <c r="K2922">
        <v>0</v>
      </c>
      <c r="L2922" s="4">
        <v>0.62469300000000005</v>
      </c>
      <c r="M2922" s="4">
        <v>123.975002</v>
      </c>
      <c r="N2922" s="13">
        <v>6</v>
      </c>
      <c r="P2922"/>
      <c r="Q2922" s="12"/>
      <c r="R2922" s="12"/>
    </row>
    <row r="2923" spans="1:18" x14ac:dyDescent="0.2">
      <c r="A2923">
        <v>25</v>
      </c>
      <c r="B2923" t="s">
        <v>30</v>
      </c>
      <c r="C2923">
        <v>2018</v>
      </c>
      <c r="D2923">
        <v>10</v>
      </c>
      <c r="E2923" s="4">
        <v>0</v>
      </c>
      <c r="F2923" s="9">
        <v>0</v>
      </c>
      <c r="G2923" s="6">
        <v>3761</v>
      </c>
      <c r="H2923" s="9">
        <f t="shared" si="45"/>
        <v>0</v>
      </c>
      <c r="I2923" s="6">
        <v>12500</v>
      </c>
      <c r="J2923" s="6">
        <f>VLOOKUP(Table1[[#This Row],[Province]],[1]Sheet1!$A$3:$K$37,9,FALSE)</f>
        <v>2621900</v>
      </c>
      <c r="K2923">
        <v>0</v>
      </c>
      <c r="L2923" s="4">
        <v>0.62469300000000005</v>
      </c>
      <c r="M2923" s="4">
        <v>123.975002</v>
      </c>
      <c r="N2923" s="13">
        <v>6</v>
      </c>
      <c r="P2923"/>
      <c r="Q2923" s="12"/>
      <c r="R2923" s="12"/>
    </row>
    <row r="2924" spans="1:18" x14ac:dyDescent="0.2">
      <c r="A2924">
        <v>25</v>
      </c>
      <c r="B2924" t="s">
        <v>30</v>
      </c>
      <c r="C2924">
        <v>2018</v>
      </c>
      <c r="D2924">
        <v>11</v>
      </c>
      <c r="E2924" s="4">
        <v>0</v>
      </c>
      <c r="F2924" s="9">
        <v>0</v>
      </c>
      <c r="G2924" s="6">
        <v>1445</v>
      </c>
      <c r="H2924" s="9">
        <f t="shared" si="45"/>
        <v>0</v>
      </c>
      <c r="I2924" s="6">
        <v>12079</v>
      </c>
      <c r="J2924" s="6">
        <f>VLOOKUP(Table1[[#This Row],[Province]],[1]Sheet1!$A$3:$K$37,9,FALSE)</f>
        <v>2621900</v>
      </c>
      <c r="K2924">
        <v>0</v>
      </c>
      <c r="L2924" s="4">
        <v>0.62469300000000005</v>
      </c>
      <c r="M2924" s="4">
        <v>123.975002</v>
      </c>
      <c r="N2924" s="13">
        <v>6</v>
      </c>
      <c r="P2924"/>
      <c r="Q2924" s="12"/>
      <c r="R2924" s="12"/>
    </row>
    <row r="2925" spans="1:18" x14ac:dyDescent="0.2">
      <c r="A2925">
        <v>25</v>
      </c>
      <c r="B2925" t="s">
        <v>30</v>
      </c>
      <c r="C2925">
        <v>2018</v>
      </c>
      <c r="D2925">
        <v>12</v>
      </c>
      <c r="E2925" s="4">
        <v>0</v>
      </c>
      <c r="F2925" s="9">
        <v>0</v>
      </c>
      <c r="G2925" s="6">
        <v>3119</v>
      </c>
      <c r="H2925" s="9">
        <f t="shared" si="45"/>
        <v>0</v>
      </c>
      <c r="I2925" s="6">
        <v>11540</v>
      </c>
      <c r="J2925" s="6">
        <f>VLOOKUP(Table1[[#This Row],[Province]],[1]Sheet1!$A$3:$K$37,9,FALSE)</f>
        <v>2621900</v>
      </c>
      <c r="K2925">
        <v>1</v>
      </c>
      <c r="L2925" s="4">
        <v>0.62469300000000005</v>
      </c>
      <c r="M2925" s="4">
        <v>123.975002</v>
      </c>
      <c r="N2925" s="13">
        <v>6</v>
      </c>
      <c r="P2925"/>
      <c r="Q2925" s="12"/>
      <c r="R2925" s="12"/>
    </row>
    <row r="2926" spans="1:18" x14ac:dyDescent="0.2">
      <c r="A2926">
        <v>25</v>
      </c>
      <c r="B2926" t="s">
        <v>30</v>
      </c>
      <c r="C2926">
        <v>2019</v>
      </c>
      <c r="D2926">
        <v>1</v>
      </c>
      <c r="E2926" s="4">
        <v>0</v>
      </c>
      <c r="F2926" s="9">
        <v>0</v>
      </c>
      <c r="G2926" s="6">
        <v>1491</v>
      </c>
      <c r="H2926" s="9">
        <f t="shared" si="45"/>
        <v>0</v>
      </c>
      <c r="I2926" s="6">
        <v>11923</v>
      </c>
      <c r="J2926" s="6">
        <f>VLOOKUP(Table1[[#This Row],[Province]],[1]Sheet1!$A$3:$K$37,9,FALSE)</f>
        <v>2621900</v>
      </c>
      <c r="K2926">
        <v>0</v>
      </c>
      <c r="L2926" s="4">
        <v>0.62469300000000005</v>
      </c>
      <c r="M2926" s="4">
        <v>123.975002</v>
      </c>
      <c r="N2926" s="13">
        <v>5.65</v>
      </c>
      <c r="P2926"/>
      <c r="Q2926" s="12"/>
      <c r="R2926" s="12"/>
    </row>
    <row r="2927" spans="1:18" x14ac:dyDescent="0.2">
      <c r="A2927">
        <v>25</v>
      </c>
      <c r="B2927" t="s">
        <v>30</v>
      </c>
      <c r="C2927">
        <v>2019</v>
      </c>
      <c r="D2927">
        <v>2</v>
      </c>
      <c r="E2927" s="4">
        <v>0</v>
      </c>
      <c r="F2927" s="9">
        <v>0</v>
      </c>
      <c r="G2927" s="6">
        <v>2825</v>
      </c>
      <c r="H2927" s="9">
        <f t="shared" si="45"/>
        <v>0</v>
      </c>
      <c r="I2927" s="6">
        <v>12000</v>
      </c>
      <c r="J2927" s="6">
        <f>VLOOKUP(Table1[[#This Row],[Province]],[1]Sheet1!$A$3:$K$37,9,FALSE)</f>
        <v>2621900</v>
      </c>
      <c r="K2927">
        <v>0</v>
      </c>
      <c r="L2927" s="4">
        <v>0.62469300000000005</v>
      </c>
      <c r="M2927" s="4">
        <v>123.975002</v>
      </c>
      <c r="N2927" s="13">
        <v>5.65</v>
      </c>
      <c r="P2927"/>
      <c r="Q2927" s="12"/>
      <c r="R2927" s="12"/>
    </row>
    <row r="2928" spans="1:18" x14ac:dyDescent="0.2">
      <c r="A2928">
        <v>25</v>
      </c>
      <c r="B2928" t="s">
        <v>30</v>
      </c>
      <c r="C2928">
        <v>2019</v>
      </c>
      <c r="D2928">
        <v>3</v>
      </c>
      <c r="E2928" s="4">
        <v>0</v>
      </c>
      <c r="F2928" s="9">
        <v>0</v>
      </c>
      <c r="G2928" s="6">
        <v>2039</v>
      </c>
      <c r="H2928" s="9">
        <f t="shared" si="45"/>
        <v>0</v>
      </c>
      <c r="I2928" s="6">
        <v>12000</v>
      </c>
      <c r="J2928" s="6">
        <f>VLOOKUP(Table1[[#This Row],[Province]],[1]Sheet1!$A$3:$K$37,9,FALSE)</f>
        <v>2621900</v>
      </c>
      <c r="K2928">
        <v>0</v>
      </c>
      <c r="L2928" s="4">
        <v>0.62469300000000005</v>
      </c>
      <c r="M2928" s="4">
        <v>123.975002</v>
      </c>
      <c r="N2928" s="13">
        <v>5.65</v>
      </c>
      <c r="P2928"/>
      <c r="Q2928" s="12"/>
      <c r="R2928" s="12"/>
    </row>
    <row r="2929" spans="1:18" x14ac:dyDescent="0.2">
      <c r="A2929">
        <v>25</v>
      </c>
      <c r="B2929" t="s">
        <v>30</v>
      </c>
      <c r="C2929">
        <v>2019</v>
      </c>
      <c r="D2929">
        <v>4</v>
      </c>
      <c r="E2929" s="4">
        <v>0</v>
      </c>
      <c r="F2929" s="9">
        <v>0</v>
      </c>
      <c r="G2929" s="6">
        <v>1207</v>
      </c>
      <c r="H2929" s="9">
        <f t="shared" si="45"/>
        <v>0</v>
      </c>
      <c r="I2929" s="6">
        <v>12000</v>
      </c>
      <c r="J2929" s="6">
        <f>VLOOKUP(Table1[[#This Row],[Province]],[1]Sheet1!$A$3:$K$37,9,FALSE)</f>
        <v>2621900</v>
      </c>
      <c r="K2929">
        <v>0</v>
      </c>
      <c r="L2929" s="4">
        <v>0.62469300000000005</v>
      </c>
      <c r="M2929" s="4">
        <v>123.975002</v>
      </c>
      <c r="N2929" s="13">
        <v>5.65</v>
      </c>
      <c r="P2929"/>
      <c r="Q2929" s="12"/>
      <c r="R2929" s="12"/>
    </row>
    <row r="2930" spans="1:18" x14ac:dyDescent="0.2">
      <c r="A2930">
        <v>25</v>
      </c>
      <c r="B2930" t="s">
        <v>30</v>
      </c>
      <c r="C2930">
        <v>2019</v>
      </c>
      <c r="D2930">
        <v>5</v>
      </c>
      <c r="E2930" s="4">
        <v>0</v>
      </c>
      <c r="F2930" s="9">
        <v>0</v>
      </c>
      <c r="G2930" s="6">
        <v>1052</v>
      </c>
      <c r="H2930" s="9">
        <f t="shared" si="45"/>
        <v>0</v>
      </c>
      <c r="I2930" s="6">
        <v>12095</v>
      </c>
      <c r="J2930" s="6">
        <f>VLOOKUP(Table1[[#This Row],[Province]],[1]Sheet1!$A$3:$K$37,9,FALSE)</f>
        <v>2621900</v>
      </c>
      <c r="K2930">
        <v>1</v>
      </c>
      <c r="L2930" s="4">
        <v>0.62469300000000005</v>
      </c>
      <c r="M2930" s="4">
        <v>123.975002</v>
      </c>
      <c r="N2930" s="13">
        <v>5.65</v>
      </c>
      <c r="P2930"/>
      <c r="Q2930" s="12"/>
      <c r="R2930" s="12"/>
    </row>
    <row r="2931" spans="1:18" x14ac:dyDescent="0.2">
      <c r="A2931">
        <v>25</v>
      </c>
      <c r="B2931" t="s">
        <v>30</v>
      </c>
      <c r="C2931">
        <v>2019</v>
      </c>
      <c r="D2931">
        <v>6</v>
      </c>
      <c r="E2931" s="4">
        <v>0</v>
      </c>
      <c r="F2931" s="9">
        <v>0</v>
      </c>
      <c r="G2931" s="6">
        <v>666</v>
      </c>
      <c r="H2931" s="9">
        <f t="shared" si="45"/>
        <v>0</v>
      </c>
      <c r="I2931" s="6">
        <v>12350</v>
      </c>
      <c r="J2931" s="6">
        <f>VLOOKUP(Table1[[#This Row],[Province]],[1]Sheet1!$A$3:$K$37,9,FALSE)</f>
        <v>2621900</v>
      </c>
      <c r="K2931">
        <v>0</v>
      </c>
      <c r="L2931" s="4">
        <v>0.62469300000000005</v>
      </c>
      <c r="M2931" s="4">
        <v>123.975002</v>
      </c>
      <c r="N2931" s="13">
        <v>5.65</v>
      </c>
      <c r="P2931"/>
      <c r="Q2931" s="12"/>
      <c r="R2931" s="12"/>
    </row>
    <row r="2932" spans="1:18" x14ac:dyDescent="0.2">
      <c r="A2932">
        <v>25</v>
      </c>
      <c r="B2932" t="s">
        <v>30</v>
      </c>
      <c r="C2932">
        <v>2019</v>
      </c>
      <c r="D2932">
        <v>7</v>
      </c>
      <c r="E2932" s="4">
        <v>0</v>
      </c>
      <c r="F2932" s="9">
        <v>0</v>
      </c>
      <c r="G2932" s="6">
        <v>207</v>
      </c>
      <c r="H2932" s="9">
        <f t="shared" si="45"/>
        <v>0</v>
      </c>
      <c r="I2932" s="6">
        <v>12347</v>
      </c>
      <c r="J2932" s="6">
        <f>VLOOKUP(Table1[[#This Row],[Province]],[1]Sheet1!$A$3:$K$37,9,FALSE)</f>
        <v>2621900</v>
      </c>
      <c r="K2932">
        <v>0</v>
      </c>
      <c r="L2932" s="4">
        <v>0.62469300000000005</v>
      </c>
      <c r="M2932" s="4">
        <v>123.975002</v>
      </c>
      <c r="N2932" s="13">
        <v>5.65</v>
      </c>
      <c r="P2932"/>
      <c r="Q2932" s="12"/>
      <c r="R2932" s="12"/>
    </row>
    <row r="2933" spans="1:18" x14ac:dyDescent="0.2">
      <c r="A2933">
        <v>25</v>
      </c>
      <c r="B2933" t="s">
        <v>30</v>
      </c>
      <c r="C2933">
        <v>2019</v>
      </c>
      <c r="D2933">
        <v>8</v>
      </c>
      <c r="E2933" s="4">
        <v>0</v>
      </c>
      <c r="F2933" s="9">
        <v>0</v>
      </c>
      <c r="G2933" s="6">
        <v>1391</v>
      </c>
      <c r="H2933" s="9">
        <f t="shared" si="45"/>
        <v>0</v>
      </c>
      <c r="I2933" s="6">
        <v>12102</v>
      </c>
      <c r="J2933" s="6">
        <f>VLOOKUP(Table1[[#This Row],[Province]],[1]Sheet1!$A$3:$K$37,9,FALSE)</f>
        <v>2621900</v>
      </c>
      <c r="K2933">
        <v>0</v>
      </c>
      <c r="L2933" s="4">
        <v>0.62469300000000005</v>
      </c>
      <c r="M2933" s="4">
        <v>123.975002</v>
      </c>
      <c r="N2933" s="13">
        <v>5.65</v>
      </c>
      <c r="P2933"/>
      <c r="Q2933" s="12"/>
      <c r="R2933" s="12"/>
    </row>
    <row r="2934" spans="1:18" x14ac:dyDescent="0.2">
      <c r="A2934">
        <v>25</v>
      </c>
      <c r="B2934" t="s">
        <v>30</v>
      </c>
      <c r="C2934">
        <v>2019</v>
      </c>
      <c r="D2934">
        <v>9</v>
      </c>
      <c r="E2934" s="4">
        <v>0</v>
      </c>
      <c r="F2934" s="9">
        <v>0</v>
      </c>
      <c r="G2934" s="6">
        <v>308</v>
      </c>
      <c r="H2934" s="9">
        <f t="shared" si="45"/>
        <v>0</v>
      </c>
      <c r="I2934" s="6">
        <v>12000</v>
      </c>
      <c r="J2934" s="6">
        <f>VLOOKUP(Table1[[#This Row],[Province]],[1]Sheet1!$A$3:$K$37,9,FALSE)</f>
        <v>2621900</v>
      </c>
      <c r="K2934">
        <v>0</v>
      </c>
      <c r="L2934" s="4">
        <v>0.62469300000000005</v>
      </c>
      <c r="M2934" s="4">
        <v>123.975002</v>
      </c>
      <c r="N2934" s="13">
        <v>5.65</v>
      </c>
      <c r="P2934"/>
      <c r="Q2934" s="12"/>
      <c r="R2934" s="12"/>
    </row>
    <row r="2935" spans="1:18" x14ac:dyDescent="0.2">
      <c r="A2935">
        <v>25</v>
      </c>
      <c r="B2935" t="s">
        <v>30</v>
      </c>
      <c r="C2935">
        <v>2019</v>
      </c>
      <c r="D2935">
        <v>10</v>
      </c>
      <c r="E2935" s="4">
        <v>0</v>
      </c>
      <c r="F2935" s="9">
        <v>0</v>
      </c>
      <c r="G2935" s="6">
        <v>615</v>
      </c>
      <c r="H2935" s="9">
        <f t="shared" si="45"/>
        <v>0</v>
      </c>
      <c r="I2935" s="6">
        <v>12000</v>
      </c>
      <c r="J2935" s="6">
        <f>VLOOKUP(Table1[[#This Row],[Province]],[1]Sheet1!$A$3:$K$37,9,FALSE)</f>
        <v>2621900</v>
      </c>
      <c r="K2935">
        <v>0</v>
      </c>
      <c r="L2935" s="4">
        <v>0.62469300000000005</v>
      </c>
      <c r="M2935" s="4">
        <v>123.975002</v>
      </c>
      <c r="N2935" s="13">
        <v>5.65</v>
      </c>
      <c r="P2935"/>
      <c r="Q2935" s="12"/>
      <c r="R2935" s="12"/>
    </row>
    <row r="2936" spans="1:18" x14ac:dyDescent="0.2">
      <c r="A2936">
        <v>25</v>
      </c>
      <c r="B2936" t="s">
        <v>30</v>
      </c>
      <c r="C2936">
        <v>2019</v>
      </c>
      <c r="D2936">
        <v>11</v>
      </c>
      <c r="E2936" s="4">
        <v>0</v>
      </c>
      <c r="F2936" s="9">
        <v>0</v>
      </c>
      <c r="G2936" s="6">
        <v>1902</v>
      </c>
      <c r="H2936" s="9">
        <f t="shared" si="45"/>
        <v>0</v>
      </c>
      <c r="I2936" s="6">
        <v>12018</v>
      </c>
      <c r="J2936" s="6">
        <f>VLOOKUP(Table1[[#This Row],[Province]],[1]Sheet1!$A$3:$K$37,9,FALSE)</f>
        <v>2621900</v>
      </c>
      <c r="K2936">
        <v>0</v>
      </c>
      <c r="L2936" s="4">
        <v>0.62469300000000005</v>
      </c>
      <c r="M2936" s="4">
        <v>123.975002</v>
      </c>
      <c r="N2936" s="13">
        <v>5.65</v>
      </c>
      <c r="P2936"/>
      <c r="Q2936" s="12"/>
      <c r="R2936" s="12"/>
    </row>
    <row r="2937" spans="1:18" x14ac:dyDescent="0.2">
      <c r="A2937">
        <v>25</v>
      </c>
      <c r="B2937" t="s">
        <v>30</v>
      </c>
      <c r="C2937">
        <v>2019</v>
      </c>
      <c r="D2937">
        <v>12</v>
      </c>
      <c r="E2937" s="4">
        <v>0</v>
      </c>
      <c r="F2937" s="9">
        <v>0</v>
      </c>
      <c r="G2937" s="6">
        <v>999</v>
      </c>
      <c r="H2937" s="9">
        <f t="shared" si="45"/>
        <v>0</v>
      </c>
      <c r="I2937" s="6">
        <v>12000</v>
      </c>
      <c r="J2937" s="6">
        <f>VLOOKUP(Table1[[#This Row],[Province]],[1]Sheet1!$A$3:$K$37,9,FALSE)</f>
        <v>2621900</v>
      </c>
      <c r="K2937">
        <v>1</v>
      </c>
      <c r="L2937" s="4">
        <v>0.62469300000000005</v>
      </c>
      <c r="M2937" s="4">
        <v>123.975002</v>
      </c>
      <c r="N2937" s="13">
        <v>5.65</v>
      </c>
      <c r="P2937"/>
      <c r="Q2937" s="12"/>
      <c r="R2937" s="12"/>
    </row>
    <row r="2938" spans="1:18" x14ac:dyDescent="0.2">
      <c r="A2938">
        <v>25</v>
      </c>
      <c r="B2938" t="s">
        <v>30</v>
      </c>
      <c r="C2938">
        <v>2020</v>
      </c>
      <c r="D2938">
        <v>1</v>
      </c>
      <c r="E2938" s="4">
        <v>0</v>
      </c>
      <c r="F2938" s="9">
        <v>0</v>
      </c>
      <c r="G2938" s="6">
        <v>3424</v>
      </c>
      <c r="H2938" s="9">
        <f t="shared" si="45"/>
        <v>0</v>
      </c>
      <c r="I2938" s="6">
        <v>12699</v>
      </c>
      <c r="J2938" s="6">
        <f>VLOOKUP(Table1[[#This Row],[Province]],[1]Sheet1!$A$3:$K$37,9,FALSE)</f>
        <v>2621900</v>
      </c>
      <c r="K2938">
        <v>0</v>
      </c>
      <c r="L2938" s="4">
        <v>0.62469300000000005</v>
      </c>
      <c r="M2938" s="4">
        <v>123.975002</v>
      </c>
      <c r="N2938" s="13">
        <v>-0.99</v>
      </c>
      <c r="P2938"/>
      <c r="Q2938" s="12"/>
      <c r="R2938" s="12"/>
    </row>
    <row r="2939" spans="1:18" x14ac:dyDescent="0.2">
      <c r="A2939">
        <v>25</v>
      </c>
      <c r="B2939" t="s">
        <v>30</v>
      </c>
      <c r="C2939">
        <v>2020</v>
      </c>
      <c r="D2939">
        <v>2</v>
      </c>
      <c r="E2939" s="4">
        <v>0</v>
      </c>
      <c r="F2939" s="9">
        <v>0</v>
      </c>
      <c r="G2939" s="6">
        <v>1904</v>
      </c>
      <c r="H2939" s="9">
        <f t="shared" si="45"/>
        <v>0</v>
      </c>
      <c r="I2939" s="6">
        <v>13893</v>
      </c>
      <c r="J2939" s="6">
        <f>VLOOKUP(Table1[[#This Row],[Province]],[1]Sheet1!$A$3:$K$37,9,FALSE)</f>
        <v>2621900</v>
      </c>
      <c r="K2939">
        <v>0</v>
      </c>
      <c r="L2939" s="4">
        <v>0.62469300000000005</v>
      </c>
      <c r="M2939" s="4">
        <v>123.975002</v>
      </c>
      <c r="N2939" s="13">
        <v>-0.99</v>
      </c>
      <c r="P2939"/>
      <c r="Q2939" s="12"/>
      <c r="R2939" s="12"/>
    </row>
    <row r="2940" spans="1:18" x14ac:dyDescent="0.2">
      <c r="A2940">
        <v>25</v>
      </c>
      <c r="B2940" t="s">
        <v>30</v>
      </c>
      <c r="C2940">
        <v>2020</v>
      </c>
      <c r="D2940">
        <v>3</v>
      </c>
      <c r="E2940" s="4">
        <v>0</v>
      </c>
      <c r="F2940" s="9">
        <v>0</v>
      </c>
      <c r="G2940" s="6">
        <v>2635</v>
      </c>
      <c r="H2940" s="9">
        <f t="shared" si="45"/>
        <v>0</v>
      </c>
      <c r="I2940" s="6">
        <v>17393</v>
      </c>
      <c r="J2940" s="6">
        <f>VLOOKUP(Table1[[#This Row],[Province]],[1]Sheet1!$A$3:$K$37,9,FALSE)</f>
        <v>2621900</v>
      </c>
      <c r="K2940">
        <v>0</v>
      </c>
      <c r="L2940" s="4">
        <v>0.62469300000000005</v>
      </c>
      <c r="M2940" s="4">
        <v>123.975002</v>
      </c>
      <c r="N2940" s="13">
        <v>-0.99</v>
      </c>
      <c r="P2940"/>
      <c r="Q2940" s="12"/>
      <c r="R2940" s="12"/>
    </row>
    <row r="2941" spans="1:18" x14ac:dyDescent="0.2">
      <c r="A2941">
        <v>25</v>
      </c>
      <c r="B2941" t="s">
        <v>30</v>
      </c>
      <c r="C2941">
        <v>2020</v>
      </c>
      <c r="D2941">
        <v>4</v>
      </c>
      <c r="E2941" s="4">
        <v>0</v>
      </c>
      <c r="F2941" s="9">
        <v>0</v>
      </c>
      <c r="G2941" s="6">
        <v>3423</v>
      </c>
      <c r="H2941" s="9">
        <f t="shared" si="45"/>
        <v>0</v>
      </c>
      <c r="I2941" s="6">
        <v>18291</v>
      </c>
      <c r="J2941" s="6">
        <f>VLOOKUP(Table1[[#This Row],[Province]],[1]Sheet1!$A$3:$K$37,9,FALSE)</f>
        <v>2621900</v>
      </c>
      <c r="K2941">
        <v>1</v>
      </c>
      <c r="L2941" s="4">
        <v>0.62469300000000005</v>
      </c>
      <c r="M2941" s="4">
        <v>123.975002</v>
      </c>
      <c r="N2941" s="13">
        <v>-0.99</v>
      </c>
      <c r="P2941"/>
      <c r="Q2941" s="12"/>
      <c r="R2941" s="12"/>
    </row>
    <row r="2942" spans="1:18" x14ac:dyDescent="0.2">
      <c r="A2942">
        <v>25</v>
      </c>
      <c r="B2942" t="s">
        <v>30</v>
      </c>
      <c r="C2942">
        <v>2020</v>
      </c>
      <c r="D2942">
        <v>5</v>
      </c>
      <c r="E2942" s="4">
        <v>0</v>
      </c>
      <c r="F2942" s="9">
        <v>0</v>
      </c>
      <c r="G2942" s="6">
        <v>2810</v>
      </c>
      <c r="H2942" s="9">
        <f t="shared" si="45"/>
        <v>0</v>
      </c>
      <c r="I2942" s="6">
        <v>16249</v>
      </c>
      <c r="J2942" s="6">
        <f>VLOOKUP(Table1[[#This Row],[Province]],[1]Sheet1!$A$3:$K$37,9,FALSE)</f>
        <v>2621900</v>
      </c>
      <c r="K2942">
        <v>0</v>
      </c>
      <c r="L2942" s="4">
        <v>0.62469300000000005</v>
      </c>
      <c r="M2942" s="4">
        <v>123.975002</v>
      </c>
      <c r="N2942" s="13">
        <v>-0.99</v>
      </c>
      <c r="P2942"/>
      <c r="Q2942" s="12"/>
      <c r="R2942" s="12"/>
    </row>
    <row r="2943" spans="1:18" x14ac:dyDescent="0.2">
      <c r="A2943">
        <v>25</v>
      </c>
      <c r="B2943" t="s">
        <v>30</v>
      </c>
      <c r="C2943">
        <v>2020</v>
      </c>
      <c r="D2943">
        <v>6</v>
      </c>
      <c r="E2943" s="4">
        <v>0</v>
      </c>
      <c r="F2943" s="9">
        <v>0</v>
      </c>
      <c r="G2943" s="6">
        <v>3100</v>
      </c>
      <c r="H2943" s="9">
        <f t="shared" si="45"/>
        <v>0</v>
      </c>
      <c r="I2943" s="6">
        <v>15768</v>
      </c>
      <c r="J2943" s="6">
        <f>VLOOKUP(Table1[[#This Row],[Province]],[1]Sheet1!$A$3:$K$37,9,FALSE)</f>
        <v>2621900</v>
      </c>
      <c r="K2943">
        <v>0</v>
      </c>
      <c r="L2943" s="4">
        <v>0.62469300000000005</v>
      </c>
      <c r="M2943" s="4">
        <v>123.975002</v>
      </c>
      <c r="N2943" s="13">
        <v>-0.99</v>
      </c>
      <c r="P2943"/>
      <c r="Q2943" s="12"/>
      <c r="R2943" s="12"/>
    </row>
    <row r="2944" spans="1:18" x14ac:dyDescent="0.2">
      <c r="A2944">
        <v>25</v>
      </c>
      <c r="B2944" t="s">
        <v>30</v>
      </c>
      <c r="C2944">
        <v>2020</v>
      </c>
      <c r="D2944">
        <v>7</v>
      </c>
      <c r="E2944" s="4">
        <v>0</v>
      </c>
      <c r="F2944" s="9">
        <v>0</v>
      </c>
      <c r="G2944" s="6">
        <v>2889</v>
      </c>
      <c r="H2944" s="9">
        <f t="shared" si="45"/>
        <v>0</v>
      </c>
      <c r="I2944" s="6">
        <v>13849</v>
      </c>
      <c r="J2944" s="6">
        <f>VLOOKUP(Table1[[#This Row],[Province]],[1]Sheet1!$A$3:$K$37,9,FALSE)</f>
        <v>2621900</v>
      </c>
      <c r="K2944">
        <v>0</v>
      </c>
      <c r="L2944" s="4">
        <v>0.62469300000000005</v>
      </c>
      <c r="M2944" s="4">
        <v>123.975002</v>
      </c>
      <c r="N2944" s="13">
        <v>-0.99</v>
      </c>
      <c r="P2944"/>
      <c r="Q2944" s="12"/>
      <c r="R2944" s="12"/>
    </row>
    <row r="2945" spans="1:18" x14ac:dyDescent="0.2">
      <c r="A2945">
        <v>25</v>
      </c>
      <c r="B2945" t="s">
        <v>30</v>
      </c>
      <c r="C2945">
        <v>2020</v>
      </c>
      <c r="D2945">
        <v>8</v>
      </c>
      <c r="E2945" s="4">
        <v>0</v>
      </c>
      <c r="F2945" s="9">
        <v>0</v>
      </c>
      <c r="G2945" s="6">
        <v>3196</v>
      </c>
      <c r="H2945" s="9">
        <f t="shared" si="45"/>
        <v>0</v>
      </c>
      <c r="I2945" s="6">
        <v>13429</v>
      </c>
      <c r="J2945" s="6">
        <f>VLOOKUP(Table1[[#This Row],[Province]],[1]Sheet1!$A$3:$K$37,9,FALSE)</f>
        <v>2621900</v>
      </c>
      <c r="K2945">
        <v>0</v>
      </c>
      <c r="L2945" s="4">
        <v>0.62469300000000005</v>
      </c>
      <c r="M2945" s="4">
        <v>123.975002</v>
      </c>
      <c r="N2945" s="13">
        <v>-0.99</v>
      </c>
      <c r="P2945"/>
      <c r="Q2945" s="12"/>
      <c r="R2945" s="12"/>
    </row>
    <row r="2946" spans="1:18" x14ac:dyDescent="0.2">
      <c r="A2946">
        <v>25</v>
      </c>
      <c r="B2946" t="s">
        <v>30</v>
      </c>
      <c r="C2946">
        <v>2020</v>
      </c>
      <c r="D2946">
        <v>9</v>
      </c>
      <c r="E2946" s="4">
        <v>0</v>
      </c>
      <c r="F2946" s="9">
        <v>0</v>
      </c>
      <c r="G2946" s="6">
        <v>2083</v>
      </c>
      <c r="H2946" s="9">
        <f t="shared" ref="H2946:H3009" si="46">F2946+E2946</f>
        <v>0</v>
      </c>
      <c r="I2946" s="6">
        <v>13000</v>
      </c>
      <c r="J2946" s="6">
        <f>VLOOKUP(Table1[[#This Row],[Province]],[1]Sheet1!$A$3:$K$37,9,FALSE)</f>
        <v>2621900</v>
      </c>
      <c r="K2946">
        <v>0</v>
      </c>
      <c r="L2946" s="4">
        <v>0.62469300000000005</v>
      </c>
      <c r="M2946" s="4">
        <v>123.975002</v>
      </c>
      <c r="N2946" s="13">
        <v>-0.99</v>
      </c>
      <c r="P2946"/>
      <c r="Q2946" s="12"/>
      <c r="R2946" s="12"/>
    </row>
    <row r="2947" spans="1:18" x14ac:dyDescent="0.2">
      <c r="A2947">
        <v>25</v>
      </c>
      <c r="B2947" t="s">
        <v>30</v>
      </c>
      <c r="C2947">
        <v>2020</v>
      </c>
      <c r="D2947">
        <v>10</v>
      </c>
      <c r="E2947" s="4">
        <v>0</v>
      </c>
      <c r="F2947" s="9">
        <v>0.01</v>
      </c>
      <c r="G2947" s="6">
        <v>2896</v>
      </c>
      <c r="H2947" s="9">
        <f t="shared" si="46"/>
        <v>0.01</v>
      </c>
      <c r="I2947" s="6">
        <v>13000</v>
      </c>
      <c r="J2947" s="6">
        <f>VLOOKUP(Table1[[#This Row],[Province]],[1]Sheet1!$A$3:$K$37,9,FALSE)</f>
        <v>2621900</v>
      </c>
      <c r="K2947">
        <v>0</v>
      </c>
      <c r="L2947" s="4">
        <v>0.62469300000000005</v>
      </c>
      <c r="M2947" s="4">
        <v>123.975002</v>
      </c>
      <c r="N2947" s="13">
        <v>-0.99</v>
      </c>
      <c r="P2947"/>
      <c r="Q2947" s="12"/>
      <c r="R2947" s="12"/>
    </row>
    <row r="2948" spans="1:18" x14ac:dyDescent="0.2">
      <c r="A2948">
        <v>25</v>
      </c>
      <c r="B2948" t="s">
        <v>30</v>
      </c>
      <c r="C2948">
        <v>2020</v>
      </c>
      <c r="D2948">
        <v>11</v>
      </c>
      <c r="E2948" s="4">
        <v>0</v>
      </c>
      <c r="F2948" s="9">
        <v>0</v>
      </c>
      <c r="G2948" s="6">
        <v>2327</v>
      </c>
      <c r="H2948" s="9">
        <f t="shared" si="46"/>
        <v>0</v>
      </c>
      <c r="I2948" s="6">
        <v>13000</v>
      </c>
      <c r="J2948" s="6">
        <f>VLOOKUP(Table1[[#This Row],[Province]],[1]Sheet1!$A$3:$K$37,9,FALSE)</f>
        <v>2621900</v>
      </c>
      <c r="K2948">
        <v>0</v>
      </c>
      <c r="L2948" s="4">
        <v>0.62469300000000005</v>
      </c>
      <c r="M2948" s="4">
        <v>123.975002</v>
      </c>
      <c r="N2948" s="13">
        <v>-0.99</v>
      </c>
      <c r="P2948"/>
      <c r="Q2948" s="12"/>
      <c r="R2948" s="12"/>
    </row>
    <row r="2949" spans="1:18" x14ac:dyDescent="0.2">
      <c r="A2949">
        <v>25</v>
      </c>
      <c r="B2949" t="s">
        <v>30</v>
      </c>
      <c r="C2949">
        <v>2020</v>
      </c>
      <c r="D2949">
        <v>12</v>
      </c>
      <c r="E2949" s="4">
        <v>0</v>
      </c>
      <c r="F2949" s="9">
        <v>0</v>
      </c>
      <c r="G2949" s="6">
        <v>2731</v>
      </c>
      <c r="H2949" s="9">
        <f t="shared" si="46"/>
        <v>0</v>
      </c>
      <c r="I2949" s="6">
        <v>13000</v>
      </c>
      <c r="J2949" s="6">
        <f>VLOOKUP(Table1[[#This Row],[Province]],[1]Sheet1!$A$3:$K$37,9,FALSE)</f>
        <v>2621900</v>
      </c>
      <c r="K2949">
        <v>1</v>
      </c>
      <c r="L2949" s="4">
        <v>0.62469300000000005</v>
      </c>
      <c r="M2949" s="4">
        <v>123.975002</v>
      </c>
      <c r="N2949" s="13">
        <v>-0.99</v>
      </c>
      <c r="P2949"/>
      <c r="Q2949" s="12"/>
      <c r="R2949" s="12"/>
    </row>
    <row r="2950" spans="1:18" x14ac:dyDescent="0.2">
      <c r="A2950">
        <v>25</v>
      </c>
      <c r="B2950" t="s">
        <v>30</v>
      </c>
      <c r="C2950">
        <v>2021</v>
      </c>
      <c r="D2950">
        <v>1</v>
      </c>
      <c r="E2950" s="4">
        <v>0</v>
      </c>
      <c r="F2950" s="9">
        <v>0</v>
      </c>
      <c r="G2950" s="6">
        <v>2223</v>
      </c>
      <c r="H2950" s="9">
        <f t="shared" si="46"/>
        <v>0</v>
      </c>
      <c r="I2950" s="6">
        <v>13000</v>
      </c>
      <c r="J2950" s="6">
        <f>VLOOKUP(Table1[[#This Row],[Province]],[1]Sheet1!$A$3:$K$37,9,FALSE)</f>
        <v>2621900</v>
      </c>
      <c r="K2950">
        <v>0</v>
      </c>
      <c r="L2950" s="4">
        <v>0.62469300000000005</v>
      </c>
      <c r="M2950" s="4">
        <v>123.975002</v>
      </c>
      <c r="N2950" s="13">
        <v>4.16</v>
      </c>
      <c r="P2950"/>
      <c r="Q2950" s="12"/>
      <c r="R2950" s="12"/>
    </row>
    <row r="2951" spans="1:18" x14ac:dyDescent="0.2">
      <c r="A2951">
        <v>25</v>
      </c>
      <c r="B2951" t="s">
        <v>30</v>
      </c>
      <c r="C2951">
        <v>2021</v>
      </c>
      <c r="D2951">
        <v>2</v>
      </c>
      <c r="E2951" s="4">
        <v>0</v>
      </c>
      <c r="F2951" s="9">
        <v>0</v>
      </c>
      <c r="G2951" s="6">
        <v>2268</v>
      </c>
      <c r="H2951" s="9">
        <f t="shared" si="46"/>
        <v>0</v>
      </c>
      <c r="I2951" s="6">
        <v>13018</v>
      </c>
      <c r="J2951" s="6">
        <f>VLOOKUP(Table1[[#This Row],[Province]],[1]Sheet1!$A$3:$K$37,9,FALSE)</f>
        <v>2621900</v>
      </c>
      <c r="K2951">
        <v>0</v>
      </c>
      <c r="L2951" s="4">
        <v>0.62469300000000005</v>
      </c>
      <c r="M2951" s="4">
        <v>123.975002</v>
      </c>
      <c r="N2951" s="13">
        <v>4.16</v>
      </c>
      <c r="P2951"/>
      <c r="Q2951" s="12"/>
      <c r="R2951" s="12"/>
    </row>
    <row r="2952" spans="1:18" x14ac:dyDescent="0.2">
      <c r="A2952">
        <v>25</v>
      </c>
      <c r="B2952" t="s">
        <v>30</v>
      </c>
      <c r="C2952">
        <v>2021</v>
      </c>
      <c r="D2952">
        <v>3</v>
      </c>
      <c r="E2952" s="4">
        <v>0</v>
      </c>
      <c r="F2952" s="9">
        <v>0</v>
      </c>
      <c r="G2952" s="6">
        <v>2625</v>
      </c>
      <c r="H2952" s="9">
        <f t="shared" si="46"/>
        <v>0</v>
      </c>
      <c r="I2952" s="6">
        <v>13000</v>
      </c>
      <c r="J2952" s="6">
        <f>VLOOKUP(Table1[[#This Row],[Province]],[1]Sheet1!$A$3:$K$37,9,FALSE)</f>
        <v>2621900</v>
      </c>
      <c r="K2952">
        <v>0</v>
      </c>
      <c r="L2952" s="4">
        <v>0.62469300000000005</v>
      </c>
      <c r="M2952" s="4">
        <v>123.975002</v>
      </c>
      <c r="N2952" s="13">
        <v>4.16</v>
      </c>
      <c r="P2952"/>
      <c r="Q2952" s="12"/>
      <c r="R2952" s="12"/>
    </row>
    <row r="2953" spans="1:18" x14ac:dyDescent="0.2">
      <c r="A2953">
        <v>25</v>
      </c>
      <c r="B2953" t="s">
        <v>30</v>
      </c>
      <c r="C2953">
        <v>2021</v>
      </c>
      <c r="D2953">
        <v>4</v>
      </c>
      <c r="E2953" s="4">
        <v>0</v>
      </c>
      <c r="F2953" s="9">
        <v>0</v>
      </c>
      <c r="G2953" s="6">
        <v>2491</v>
      </c>
      <c r="H2953" s="9">
        <f t="shared" si="46"/>
        <v>0</v>
      </c>
      <c r="I2953" s="6">
        <v>13250</v>
      </c>
      <c r="J2953" s="6">
        <f>VLOOKUP(Table1[[#This Row],[Province]],[1]Sheet1!$A$3:$K$37,9,FALSE)</f>
        <v>2621900</v>
      </c>
      <c r="K2953">
        <v>1</v>
      </c>
      <c r="L2953" s="4">
        <v>0.62469300000000005</v>
      </c>
      <c r="M2953" s="4">
        <v>123.975002</v>
      </c>
      <c r="N2953" s="13">
        <v>4.16</v>
      </c>
      <c r="P2953"/>
      <c r="Q2953" s="12"/>
      <c r="R2953" s="12"/>
    </row>
    <row r="2954" spans="1:18" x14ac:dyDescent="0.2">
      <c r="A2954">
        <v>25</v>
      </c>
      <c r="B2954" t="s">
        <v>30</v>
      </c>
      <c r="C2954">
        <v>2021</v>
      </c>
      <c r="D2954">
        <v>5</v>
      </c>
      <c r="E2954" s="4">
        <v>0</v>
      </c>
      <c r="F2954" s="9">
        <v>0</v>
      </c>
      <c r="G2954" s="6">
        <v>3940</v>
      </c>
      <c r="H2954" s="9">
        <f t="shared" si="46"/>
        <v>0</v>
      </c>
      <c r="I2954" s="6">
        <v>13650</v>
      </c>
      <c r="J2954" s="6">
        <f>VLOOKUP(Table1[[#This Row],[Province]],[1]Sheet1!$A$3:$K$37,9,FALSE)</f>
        <v>2621900</v>
      </c>
      <c r="K2954">
        <v>0</v>
      </c>
      <c r="L2954" s="4">
        <v>0.62469300000000005</v>
      </c>
      <c r="M2954" s="4">
        <v>123.975002</v>
      </c>
      <c r="N2954" s="13">
        <v>4.16</v>
      </c>
      <c r="P2954"/>
      <c r="Q2954" s="12"/>
      <c r="R2954" s="12"/>
    </row>
    <row r="2955" spans="1:18" x14ac:dyDescent="0.2">
      <c r="A2955">
        <v>25</v>
      </c>
      <c r="B2955" t="s">
        <v>30</v>
      </c>
      <c r="C2955">
        <v>2021</v>
      </c>
      <c r="D2955">
        <v>6</v>
      </c>
      <c r="E2955" s="4">
        <v>0</v>
      </c>
      <c r="F2955" s="9">
        <v>0</v>
      </c>
      <c r="G2955" s="6">
        <v>1594</v>
      </c>
      <c r="H2955" s="9">
        <f t="shared" si="46"/>
        <v>0</v>
      </c>
      <c r="I2955" s="6">
        <v>13500</v>
      </c>
      <c r="J2955" s="6">
        <f>VLOOKUP(Table1[[#This Row],[Province]],[1]Sheet1!$A$3:$K$37,9,FALSE)</f>
        <v>2621900</v>
      </c>
      <c r="K2955">
        <v>0</v>
      </c>
      <c r="L2955" s="4">
        <v>0.62469300000000005</v>
      </c>
      <c r="M2955" s="4">
        <v>123.975002</v>
      </c>
      <c r="N2955" s="13">
        <v>4.16</v>
      </c>
      <c r="P2955"/>
      <c r="Q2955" s="12"/>
      <c r="R2955" s="12"/>
    </row>
    <row r="2956" spans="1:18" x14ac:dyDescent="0.2">
      <c r="A2956">
        <v>25</v>
      </c>
      <c r="B2956" t="s">
        <v>30</v>
      </c>
      <c r="C2956">
        <v>2021</v>
      </c>
      <c r="D2956">
        <v>7</v>
      </c>
      <c r="E2956" s="4">
        <v>0</v>
      </c>
      <c r="F2956" s="9">
        <v>0</v>
      </c>
      <c r="G2956" s="6">
        <v>2386</v>
      </c>
      <c r="H2956" s="9">
        <f t="shared" si="46"/>
        <v>0</v>
      </c>
      <c r="I2956" s="6">
        <v>13550</v>
      </c>
      <c r="J2956" s="6">
        <f>VLOOKUP(Table1[[#This Row],[Province]],[1]Sheet1!$A$3:$K$37,9,FALSE)</f>
        <v>2621900</v>
      </c>
      <c r="K2956">
        <v>0</v>
      </c>
      <c r="L2956" s="4">
        <v>0.62469300000000005</v>
      </c>
      <c r="M2956" s="4">
        <v>123.975002</v>
      </c>
      <c r="N2956" s="13">
        <v>4.16</v>
      </c>
      <c r="P2956"/>
      <c r="Q2956" s="12"/>
      <c r="R2956" s="12"/>
    </row>
    <row r="2957" spans="1:18" x14ac:dyDescent="0.2">
      <c r="A2957">
        <v>25</v>
      </c>
      <c r="B2957" t="s">
        <v>30</v>
      </c>
      <c r="C2957">
        <v>2021</v>
      </c>
      <c r="D2957">
        <v>8</v>
      </c>
      <c r="E2957" s="4">
        <v>0</v>
      </c>
      <c r="F2957" s="9">
        <v>0</v>
      </c>
      <c r="G2957" s="6">
        <v>2779</v>
      </c>
      <c r="H2957" s="9">
        <f t="shared" si="46"/>
        <v>0</v>
      </c>
      <c r="I2957" s="6">
        <v>13400</v>
      </c>
      <c r="J2957" s="6">
        <f>VLOOKUP(Table1[[#This Row],[Province]],[1]Sheet1!$A$3:$K$37,9,FALSE)</f>
        <v>2621900</v>
      </c>
      <c r="K2957">
        <v>0</v>
      </c>
      <c r="L2957" s="4">
        <v>0.62469300000000005</v>
      </c>
      <c r="M2957" s="4">
        <v>123.975002</v>
      </c>
      <c r="N2957" s="13">
        <v>4.16</v>
      </c>
      <c r="P2957"/>
      <c r="Q2957" s="12"/>
      <c r="R2957" s="12"/>
    </row>
    <row r="2958" spans="1:18" x14ac:dyDescent="0.2">
      <c r="A2958">
        <v>25</v>
      </c>
      <c r="B2958" t="s">
        <v>30</v>
      </c>
      <c r="C2958">
        <v>2021</v>
      </c>
      <c r="D2958">
        <v>9</v>
      </c>
      <c r="E2958" s="4">
        <v>0</v>
      </c>
      <c r="F2958" s="9">
        <v>0</v>
      </c>
      <c r="G2958" s="6">
        <v>2433</v>
      </c>
      <c r="H2958" s="9">
        <f t="shared" si="46"/>
        <v>0</v>
      </c>
      <c r="I2958" s="6">
        <v>13411</v>
      </c>
      <c r="J2958" s="6">
        <f>VLOOKUP(Table1[[#This Row],[Province]],[1]Sheet1!$A$3:$K$37,9,FALSE)</f>
        <v>2621900</v>
      </c>
      <c r="K2958">
        <v>0</v>
      </c>
      <c r="L2958" s="4">
        <v>0.62469300000000005</v>
      </c>
      <c r="M2958" s="4">
        <v>123.975002</v>
      </c>
      <c r="N2958" s="13">
        <v>4.16</v>
      </c>
      <c r="P2958"/>
      <c r="Q2958" s="12"/>
      <c r="R2958" s="12"/>
    </row>
    <row r="2959" spans="1:18" x14ac:dyDescent="0.2">
      <c r="A2959">
        <v>25</v>
      </c>
      <c r="B2959" t="s">
        <v>30</v>
      </c>
      <c r="C2959">
        <v>2021</v>
      </c>
      <c r="D2959">
        <v>10</v>
      </c>
      <c r="E2959" s="4">
        <v>0</v>
      </c>
      <c r="F2959" s="9">
        <v>0</v>
      </c>
      <c r="G2959" s="6">
        <v>3160</v>
      </c>
      <c r="H2959" s="9">
        <f t="shared" si="46"/>
        <v>0</v>
      </c>
      <c r="I2959" s="6">
        <v>13488</v>
      </c>
      <c r="J2959" s="6">
        <f>VLOOKUP(Table1[[#This Row],[Province]],[1]Sheet1!$A$3:$K$37,9,FALSE)</f>
        <v>2621900</v>
      </c>
      <c r="K2959">
        <v>0</v>
      </c>
      <c r="L2959" s="4">
        <v>0.62469300000000005</v>
      </c>
      <c r="M2959" s="4">
        <v>123.975002</v>
      </c>
      <c r="N2959" s="13">
        <v>4.16</v>
      </c>
      <c r="P2959"/>
      <c r="Q2959" s="12"/>
      <c r="R2959" s="12"/>
    </row>
    <row r="2960" spans="1:18" x14ac:dyDescent="0.2">
      <c r="A2960">
        <v>25</v>
      </c>
      <c r="B2960" t="s">
        <v>30</v>
      </c>
      <c r="C2960">
        <v>2021</v>
      </c>
      <c r="D2960">
        <v>11</v>
      </c>
      <c r="E2960" s="4">
        <v>0</v>
      </c>
      <c r="F2960" s="9">
        <v>0</v>
      </c>
      <c r="G2960" s="6">
        <v>3336</v>
      </c>
      <c r="H2960" s="9">
        <f t="shared" si="46"/>
        <v>0</v>
      </c>
      <c r="I2960" s="6">
        <v>13780</v>
      </c>
      <c r="J2960" s="6">
        <f>VLOOKUP(Table1[[#This Row],[Province]],[1]Sheet1!$A$3:$K$37,9,FALSE)</f>
        <v>2621900</v>
      </c>
      <c r="K2960">
        <v>0</v>
      </c>
      <c r="L2960" s="4">
        <v>0.62469300000000005</v>
      </c>
      <c r="M2960" s="4">
        <v>123.975002</v>
      </c>
      <c r="N2960" s="13">
        <v>4.16</v>
      </c>
      <c r="P2960"/>
      <c r="Q2960" s="12"/>
      <c r="R2960" s="12"/>
    </row>
    <row r="2961" spans="1:18" x14ac:dyDescent="0.2">
      <c r="A2961">
        <v>25</v>
      </c>
      <c r="B2961" t="s">
        <v>30</v>
      </c>
      <c r="C2961">
        <v>2021</v>
      </c>
      <c r="D2961">
        <v>12</v>
      </c>
      <c r="E2961" s="4">
        <v>0</v>
      </c>
      <c r="F2961" s="9">
        <v>0</v>
      </c>
      <c r="G2961" s="6">
        <v>1615</v>
      </c>
      <c r="H2961" s="9">
        <f t="shared" si="46"/>
        <v>0</v>
      </c>
      <c r="I2961" s="6">
        <v>13700</v>
      </c>
      <c r="J2961" s="6">
        <f>VLOOKUP(Table1[[#This Row],[Province]],[1]Sheet1!$A$3:$K$37,9,FALSE)</f>
        <v>2621900</v>
      </c>
      <c r="K2961">
        <v>1</v>
      </c>
      <c r="L2961" s="4">
        <v>0.62469300000000005</v>
      </c>
      <c r="M2961" s="4">
        <v>123.975002</v>
      </c>
      <c r="N2961" s="13">
        <v>4.16</v>
      </c>
      <c r="P2961"/>
      <c r="Q2961" s="12"/>
      <c r="R2961" s="12"/>
    </row>
    <row r="2962" spans="1:18" x14ac:dyDescent="0.2">
      <c r="A2962">
        <v>25</v>
      </c>
      <c r="B2962" t="s">
        <v>30</v>
      </c>
      <c r="C2962">
        <v>2022</v>
      </c>
      <c r="D2962">
        <v>1</v>
      </c>
      <c r="E2962" s="6">
        <v>0</v>
      </c>
      <c r="F2962" s="9">
        <v>0</v>
      </c>
      <c r="G2962" s="6">
        <v>1880</v>
      </c>
      <c r="H2962" s="9">
        <f t="shared" si="46"/>
        <v>0</v>
      </c>
      <c r="I2962" s="6">
        <v>14240</v>
      </c>
      <c r="J2962" s="6">
        <f>VLOOKUP(Table1[[#This Row],[Province]],[1]Sheet1!$A$3:$K$37,9,FALSE)</f>
        <v>2621900</v>
      </c>
      <c r="K2962">
        <v>0</v>
      </c>
      <c r="L2962" s="4">
        <v>0.62469300000000005</v>
      </c>
      <c r="M2962" s="4">
        <v>123.975002</v>
      </c>
      <c r="N2962" s="13">
        <v>4.5199999999999996</v>
      </c>
      <c r="P2962"/>
      <c r="Q2962" s="12"/>
      <c r="R2962" s="12"/>
    </row>
    <row r="2963" spans="1:18" x14ac:dyDescent="0.2">
      <c r="A2963">
        <v>25</v>
      </c>
      <c r="B2963" t="s">
        <v>30</v>
      </c>
      <c r="C2963">
        <v>2022</v>
      </c>
      <c r="D2963">
        <v>2</v>
      </c>
      <c r="E2963" s="6">
        <v>0</v>
      </c>
      <c r="F2963" s="9">
        <v>0</v>
      </c>
      <c r="G2963" s="6">
        <v>2628</v>
      </c>
      <c r="H2963" s="9">
        <f t="shared" si="46"/>
        <v>0</v>
      </c>
      <c r="I2963" s="6">
        <v>14458</v>
      </c>
      <c r="J2963" s="6">
        <f>VLOOKUP(Table1[[#This Row],[Province]],[1]Sheet1!$A$3:$K$37,9,FALSE)</f>
        <v>2621900</v>
      </c>
      <c r="K2963">
        <v>0</v>
      </c>
      <c r="L2963" s="4">
        <v>0.62469300000000005</v>
      </c>
      <c r="M2963" s="4">
        <v>123.975002</v>
      </c>
      <c r="N2963" s="13">
        <v>4.5199999999999996</v>
      </c>
      <c r="P2963"/>
      <c r="Q2963" s="12"/>
      <c r="R2963" s="12"/>
    </row>
    <row r="2964" spans="1:18" x14ac:dyDescent="0.2">
      <c r="A2964">
        <v>25</v>
      </c>
      <c r="B2964" t="s">
        <v>30</v>
      </c>
      <c r="C2964">
        <v>2022</v>
      </c>
      <c r="D2964">
        <v>3</v>
      </c>
      <c r="E2964" s="6">
        <v>0</v>
      </c>
      <c r="F2964" s="9">
        <v>0</v>
      </c>
      <c r="G2964" s="6">
        <v>2324</v>
      </c>
      <c r="H2964" s="9">
        <f t="shared" si="46"/>
        <v>0</v>
      </c>
      <c r="I2964" s="6">
        <v>14502</v>
      </c>
      <c r="J2964" s="6">
        <f>VLOOKUP(Table1[[#This Row],[Province]],[1]Sheet1!$A$3:$K$37,9,FALSE)</f>
        <v>2621900</v>
      </c>
      <c r="K2964">
        <v>0</v>
      </c>
      <c r="L2964" s="4">
        <v>0.62469300000000005</v>
      </c>
      <c r="M2964" s="4">
        <v>123.975002</v>
      </c>
      <c r="N2964" s="13">
        <v>4.5199999999999996</v>
      </c>
      <c r="P2964"/>
      <c r="Q2964" s="12"/>
      <c r="R2964" s="12"/>
    </row>
    <row r="2965" spans="1:18" x14ac:dyDescent="0.2">
      <c r="A2965">
        <v>25</v>
      </c>
      <c r="B2965" t="s">
        <v>30</v>
      </c>
      <c r="C2965">
        <v>2022</v>
      </c>
      <c r="D2965">
        <v>4</v>
      </c>
      <c r="E2965" s="6">
        <v>0</v>
      </c>
      <c r="F2965" s="9">
        <v>0</v>
      </c>
      <c r="G2965" s="6">
        <v>1451</v>
      </c>
      <c r="H2965" s="9">
        <f t="shared" si="46"/>
        <v>0</v>
      </c>
      <c r="I2965" s="6">
        <v>15234</v>
      </c>
      <c r="J2965" s="6">
        <f>VLOOKUP(Table1[[#This Row],[Province]],[1]Sheet1!$A$3:$K$37,9,FALSE)</f>
        <v>2621900</v>
      </c>
      <c r="K2965">
        <v>1</v>
      </c>
      <c r="L2965" s="4">
        <v>0.62469300000000005</v>
      </c>
      <c r="M2965" s="4">
        <v>123.975002</v>
      </c>
      <c r="N2965" s="13">
        <v>4.5199999999999996</v>
      </c>
      <c r="P2965"/>
      <c r="Q2965" s="12"/>
      <c r="R2965" s="12"/>
    </row>
    <row r="2966" spans="1:18" x14ac:dyDescent="0.2">
      <c r="A2966">
        <v>25</v>
      </c>
      <c r="B2966" t="s">
        <v>30</v>
      </c>
      <c r="C2966">
        <v>2022</v>
      </c>
      <c r="D2966">
        <v>5</v>
      </c>
      <c r="E2966" s="6">
        <v>0</v>
      </c>
      <c r="F2966" s="9">
        <v>0</v>
      </c>
      <c r="G2966" s="6">
        <v>1682</v>
      </c>
      <c r="H2966" s="9">
        <f t="shared" si="46"/>
        <v>0</v>
      </c>
      <c r="I2966" s="6">
        <v>15400</v>
      </c>
      <c r="J2966" s="6">
        <f>VLOOKUP(Table1[[#This Row],[Province]],[1]Sheet1!$A$3:$K$37,9,FALSE)</f>
        <v>2621900</v>
      </c>
      <c r="K2966">
        <v>0</v>
      </c>
      <c r="L2966" s="4">
        <v>0.62469300000000005</v>
      </c>
      <c r="M2966" s="4">
        <v>123.975002</v>
      </c>
      <c r="N2966" s="13">
        <v>4.5199999999999996</v>
      </c>
      <c r="P2966"/>
      <c r="Q2966" s="12"/>
      <c r="R2966" s="12"/>
    </row>
    <row r="2967" spans="1:18" x14ac:dyDescent="0.2">
      <c r="A2967">
        <v>25</v>
      </c>
      <c r="B2967" t="s">
        <v>30</v>
      </c>
      <c r="C2967">
        <v>2022</v>
      </c>
      <c r="D2967">
        <v>5</v>
      </c>
      <c r="E2967" s="6">
        <v>0</v>
      </c>
      <c r="F2967" s="9">
        <v>0</v>
      </c>
      <c r="G2967" s="6">
        <v>2129</v>
      </c>
      <c r="H2967" s="9">
        <f t="shared" si="46"/>
        <v>0</v>
      </c>
      <c r="I2967" s="6">
        <v>15417</v>
      </c>
      <c r="J2967" s="6">
        <f>VLOOKUP(Table1[[#This Row],[Province]],[1]Sheet1!$A$3:$K$37,9,FALSE)</f>
        <v>2621900</v>
      </c>
      <c r="K2967">
        <v>0</v>
      </c>
      <c r="L2967" s="4">
        <v>0.62469300000000005</v>
      </c>
      <c r="M2967" s="4">
        <v>123.975002</v>
      </c>
      <c r="N2967" s="13">
        <v>4.5199999999999996</v>
      </c>
      <c r="P2967"/>
      <c r="Q2967" s="12"/>
      <c r="R2967" s="12"/>
    </row>
    <row r="2968" spans="1:18" x14ac:dyDescent="0.2">
      <c r="A2968">
        <v>25</v>
      </c>
      <c r="B2968" t="s">
        <v>30</v>
      </c>
      <c r="C2968">
        <v>2022</v>
      </c>
      <c r="D2968">
        <v>6</v>
      </c>
      <c r="E2968" s="6">
        <v>0</v>
      </c>
      <c r="F2968" s="9">
        <v>0</v>
      </c>
      <c r="G2968" s="6">
        <v>1369</v>
      </c>
      <c r="H2968" s="9">
        <f t="shared" si="46"/>
        <v>0</v>
      </c>
      <c r="I2968" s="6">
        <v>15336</v>
      </c>
      <c r="J2968" s="6">
        <f>VLOOKUP(Table1[[#This Row],[Province]],[1]Sheet1!$A$3:$K$37,9,FALSE)</f>
        <v>2621900</v>
      </c>
      <c r="K2968">
        <v>0</v>
      </c>
      <c r="L2968" s="4">
        <v>0.62469300000000005</v>
      </c>
      <c r="M2968" s="4">
        <v>123.975002</v>
      </c>
      <c r="N2968" s="13">
        <v>4.5199999999999996</v>
      </c>
      <c r="P2968"/>
      <c r="Q2968" s="12"/>
      <c r="R2968" s="12"/>
    </row>
    <row r="2969" spans="1:18" x14ac:dyDescent="0.2">
      <c r="A2969">
        <v>25</v>
      </c>
      <c r="B2969" t="s">
        <v>30</v>
      </c>
      <c r="C2969">
        <v>2022</v>
      </c>
      <c r="D2969">
        <v>8</v>
      </c>
      <c r="E2969" s="6">
        <v>0</v>
      </c>
      <c r="F2969" s="9">
        <v>0</v>
      </c>
      <c r="G2969" s="6">
        <v>1784</v>
      </c>
      <c r="H2969" s="9">
        <f t="shared" si="46"/>
        <v>0</v>
      </c>
      <c r="I2969" s="6">
        <v>15250</v>
      </c>
      <c r="J2969" s="6">
        <f>VLOOKUP(Table1[[#This Row],[Province]],[1]Sheet1!$A$3:$K$37,9,FALSE)</f>
        <v>2621900</v>
      </c>
      <c r="K2969">
        <v>0</v>
      </c>
      <c r="L2969" s="4">
        <v>0.62469300000000005</v>
      </c>
      <c r="M2969" s="4">
        <v>123.975002</v>
      </c>
      <c r="N2969" s="13">
        <v>4.5199999999999996</v>
      </c>
      <c r="P2969"/>
      <c r="Q2969" s="12"/>
      <c r="R2969" s="12"/>
    </row>
    <row r="2970" spans="1:18" x14ac:dyDescent="0.2">
      <c r="A2970">
        <v>25</v>
      </c>
      <c r="B2970" t="s">
        <v>30</v>
      </c>
      <c r="C2970">
        <v>2022</v>
      </c>
      <c r="D2970">
        <v>9</v>
      </c>
      <c r="E2970" s="6">
        <v>0</v>
      </c>
      <c r="F2970" s="9">
        <v>0</v>
      </c>
      <c r="G2970" s="6">
        <v>1316</v>
      </c>
      <c r="H2970" s="9">
        <f t="shared" si="46"/>
        <v>0</v>
      </c>
      <c r="I2970" s="6">
        <v>14587</v>
      </c>
      <c r="J2970" s="6">
        <f>VLOOKUP(Table1[[#This Row],[Province]],[1]Sheet1!$A$3:$K$37,9,FALSE)</f>
        <v>2621900</v>
      </c>
      <c r="K2970">
        <v>0</v>
      </c>
      <c r="L2970" s="4">
        <v>0.62469300000000005</v>
      </c>
      <c r="M2970" s="4">
        <v>123.975002</v>
      </c>
      <c r="N2970" s="13">
        <v>4.5199999999999996</v>
      </c>
      <c r="P2970"/>
      <c r="Q2970" s="12"/>
      <c r="R2970" s="12"/>
    </row>
    <row r="2971" spans="1:18" x14ac:dyDescent="0.2">
      <c r="A2971">
        <v>25</v>
      </c>
      <c r="B2971" t="s">
        <v>30</v>
      </c>
      <c r="C2971">
        <v>2022</v>
      </c>
      <c r="D2971">
        <v>10</v>
      </c>
      <c r="E2971" s="6">
        <v>0</v>
      </c>
      <c r="F2971" s="9">
        <v>0</v>
      </c>
      <c r="G2971" s="6">
        <v>1582</v>
      </c>
      <c r="H2971" s="9">
        <f t="shared" si="46"/>
        <v>0</v>
      </c>
      <c r="I2971" s="6">
        <v>14552</v>
      </c>
      <c r="J2971" s="6">
        <f>VLOOKUP(Table1[[#This Row],[Province]],[1]Sheet1!$A$3:$K$37,9,FALSE)</f>
        <v>2621900</v>
      </c>
      <c r="K2971">
        <v>0</v>
      </c>
      <c r="L2971" s="4">
        <v>0.62469300000000005</v>
      </c>
      <c r="M2971" s="4">
        <v>123.975002</v>
      </c>
      <c r="N2971" s="13">
        <v>4.5199999999999996</v>
      </c>
      <c r="P2971"/>
      <c r="Q2971" s="12"/>
      <c r="R2971" s="12"/>
    </row>
    <row r="2972" spans="1:18" x14ac:dyDescent="0.2">
      <c r="A2972">
        <v>25</v>
      </c>
      <c r="B2972" t="s">
        <v>30</v>
      </c>
      <c r="C2972">
        <v>2022</v>
      </c>
      <c r="D2972">
        <v>11</v>
      </c>
      <c r="E2972" s="6">
        <v>0</v>
      </c>
      <c r="F2972" s="9">
        <v>0</v>
      </c>
      <c r="G2972" s="6">
        <v>1226</v>
      </c>
      <c r="H2972" s="9">
        <f t="shared" si="46"/>
        <v>0</v>
      </c>
      <c r="I2972" s="6">
        <v>15007</v>
      </c>
      <c r="J2972" s="6">
        <f>VLOOKUP(Table1[[#This Row],[Province]],[1]Sheet1!$A$3:$K$37,9,FALSE)</f>
        <v>2621900</v>
      </c>
      <c r="K2972">
        <v>0</v>
      </c>
      <c r="L2972" s="4">
        <v>0.62469300000000005</v>
      </c>
      <c r="M2972" s="4">
        <v>123.975002</v>
      </c>
      <c r="N2972" s="13">
        <v>4.5199999999999996</v>
      </c>
      <c r="P2972"/>
      <c r="Q2972" s="12"/>
      <c r="R2972" s="12"/>
    </row>
    <row r="2973" spans="1:18" x14ac:dyDescent="0.2">
      <c r="A2973">
        <v>25</v>
      </c>
      <c r="B2973" t="s">
        <v>30</v>
      </c>
      <c r="C2973">
        <v>2022</v>
      </c>
      <c r="D2973">
        <v>12</v>
      </c>
      <c r="E2973" s="6">
        <v>0</v>
      </c>
      <c r="F2973" s="9">
        <v>0</v>
      </c>
      <c r="G2973" s="6">
        <v>234</v>
      </c>
      <c r="H2973" s="9">
        <f t="shared" si="46"/>
        <v>0</v>
      </c>
      <c r="I2973" s="6">
        <v>14995</v>
      </c>
      <c r="J2973" s="6">
        <f>VLOOKUP(Table1[[#This Row],[Province]],[1]Sheet1!$A$3:$K$37,9,FALSE)</f>
        <v>2621900</v>
      </c>
      <c r="K2973">
        <v>1</v>
      </c>
      <c r="L2973" s="4">
        <v>0.62469300000000005</v>
      </c>
      <c r="M2973" s="4">
        <v>123.975002</v>
      </c>
      <c r="N2973" s="13">
        <v>4.5199999999999996</v>
      </c>
      <c r="P2973"/>
      <c r="Q2973" s="12"/>
      <c r="R2973" s="12"/>
    </row>
    <row r="2974" spans="1:18" x14ac:dyDescent="0.2">
      <c r="A2974">
        <v>26</v>
      </c>
      <c r="B2974" t="s">
        <v>28</v>
      </c>
      <c r="C2974">
        <v>2013</v>
      </c>
      <c r="D2974">
        <v>1</v>
      </c>
      <c r="E2974" s="4">
        <v>0</v>
      </c>
      <c r="F2974" s="9">
        <v>0</v>
      </c>
      <c r="G2974" s="6">
        <v>1893</v>
      </c>
      <c r="H2974" s="9">
        <f t="shared" si="46"/>
        <v>0</v>
      </c>
      <c r="I2974" s="6">
        <v>11000</v>
      </c>
      <c r="J2974" s="6">
        <f>VLOOKUP(Table1[[#This Row],[Province]],[1]Sheet1!$A$3:$K$37,9,FALSE)</f>
        <v>2985700</v>
      </c>
      <c r="K2974">
        <v>0</v>
      </c>
      <c r="L2974" s="4">
        <v>1.4300250000000001</v>
      </c>
      <c r="M2974" s="4">
        <v>121.445618</v>
      </c>
      <c r="N2974" s="6"/>
      <c r="P2974"/>
      <c r="Q2974" s="12"/>
      <c r="R2974" s="12"/>
    </row>
    <row r="2975" spans="1:18" x14ac:dyDescent="0.2">
      <c r="A2975">
        <v>26</v>
      </c>
      <c r="B2975" t="s">
        <v>28</v>
      </c>
      <c r="C2975">
        <v>2013</v>
      </c>
      <c r="D2975">
        <v>2</v>
      </c>
      <c r="E2975" s="4">
        <v>0</v>
      </c>
      <c r="F2975" s="9">
        <v>0</v>
      </c>
      <c r="G2975" s="6">
        <v>1814</v>
      </c>
      <c r="H2975" s="9">
        <f t="shared" si="46"/>
        <v>0</v>
      </c>
      <c r="I2975" s="6">
        <v>11000</v>
      </c>
      <c r="J2975" s="6">
        <f>VLOOKUP(Table1[[#This Row],[Province]],[1]Sheet1!$A$3:$K$37,9,FALSE)</f>
        <v>2985700</v>
      </c>
      <c r="K2975">
        <v>0</v>
      </c>
      <c r="L2975" s="4">
        <v>1.4300250000000001</v>
      </c>
      <c r="M2975" s="4">
        <v>121.445618</v>
      </c>
      <c r="N2975" s="6"/>
      <c r="P2975"/>
      <c r="Q2975" s="12"/>
      <c r="R2975" s="12"/>
    </row>
    <row r="2976" spans="1:18" x14ac:dyDescent="0.2">
      <c r="A2976">
        <v>26</v>
      </c>
      <c r="B2976" t="s">
        <v>28</v>
      </c>
      <c r="C2976">
        <v>2013</v>
      </c>
      <c r="D2976">
        <v>3</v>
      </c>
      <c r="E2976" s="4">
        <v>0</v>
      </c>
      <c r="F2976" s="9">
        <v>0</v>
      </c>
      <c r="G2976" s="6">
        <v>1870</v>
      </c>
      <c r="H2976" s="9">
        <f t="shared" si="46"/>
        <v>0</v>
      </c>
      <c r="I2976" s="6">
        <v>11000</v>
      </c>
      <c r="J2976" s="6">
        <f>VLOOKUP(Table1[[#This Row],[Province]],[1]Sheet1!$A$3:$K$37,9,FALSE)</f>
        <v>2985700</v>
      </c>
      <c r="K2976">
        <v>0</v>
      </c>
      <c r="L2976" s="4">
        <v>1.4300250000000001</v>
      </c>
      <c r="M2976" s="4">
        <v>121.445618</v>
      </c>
      <c r="N2976" s="6"/>
      <c r="P2976"/>
      <c r="Q2976" s="12"/>
      <c r="R2976" s="12"/>
    </row>
    <row r="2977" spans="1:18" x14ac:dyDescent="0.2">
      <c r="A2977">
        <v>26</v>
      </c>
      <c r="B2977" t="s">
        <v>28</v>
      </c>
      <c r="C2977">
        <v>2013</v>
      </c>
      <c r="D2977">
        <v>4</v>
      </c>
      <c r="E2977" s="4">
        <v>0</v>
      </c>
      <c r="F2977" s="9">
        <v>0</v>
      </c>
      <c r="G2977" s="6">
        <v>2430</v>
      </c>
      <c r="H2977" s="9">
        <f t="shared" si="46"/>
        <v>0</v>
      </c>
      <c r="I2977" s="6">
        <v>12818</v>
      </c>
      <c r="J2977" s="6">
        <f>VLOOKUP(Table1[[#This Row],[Province]],[1]Sheet1!$A$3:$K$37,9,FALSE)</f>
        <v>2985700</v>
      </c>
      <c r="K2977">
        <v>0</v>
      </c>
      <c r="L2977" s="4">
        <v>1.4300250000000001</v>
      </c>
      <c r="M2977" s="4">
        <v>121.445618</v>
      </c>
      <c r="N2977" s="6"/>
      <c r="P2977"/>
      <c r="Q2977" s="12"/>
      <c r="R2977" s="12"/>
    </row>
    <row r="2978" spans="1:18" x14ac:dyDescent="0.2">
      <c r="A2978">
        <v>26</v>
      </c>
      <c r="B2978" t="s">
        <v>28</v>
      </c>
      <c r="C2978">
        <v>2013</v>
      </c>
      <c r="D2978">
        <v>5</v>
      </c>
      <c r="E2978" s="4">
        <v>0</v>
      </c>
      <c r="F2978" s="9">
        <v>0</v>
      </c>
      <c r="G2978" s="6">
        <v>2946</v>
      </c>
      <c r="H2978" s="9">
        <f t="shared" si="46"/>
        <v>0</v>
      </c>
      <c r="I2978" s="6">
        <v>12670</v>
      </c>
      <c r="J2978" s="6">
        <f>VLOOKUP(Table1[[#This Row],[Province]],[1]Sheet1!$A$3:$K$37,9,FALSE)</f>
        <v>2985700</v>
      </c>
      <c r="K2978">
        <v>0</v>
      </c>
      <c r="L2978" s="4">
        <v>1.4300250000000001</v>
      </c>
      <c r="M2978" s="4">
        <v>121.445618</v>
      </c>
      <c r="N2978" s="6"/>
      <c r="P2978"/>
      <c r="Q2978" s="12"/>
      <c r="R2978" s="12"/>
    </row>
    <row r="2979" spans="1:18" x14ac:dyDescent="0.2">
      <c r="A2979">
        <v>26</v>
      </c>
      <c r="B2979" t="s">
        <v>28</v>
      </c>
      <c r="C2979">
        <v>2013</v>
      </c>
      <c r="D2979">
        <v>6</v>
      </c>
      <c r="E2979" s="4">
        <v>0</v>
      </c>
      <c r="F2979" s="9">
        <v>0</v>
      </c>
      <c r="G2979" s="6">
        <v>2453</v>
      </c>
      <c r="H2979" s="9">
        <f t="shared" si="46"/>
        <v>0</v>
      </c>
      <c r="I2979" s="6">
        <v>12661</v>
      </c>
      <c r="J2979" s="6">
        <f>VLOOKUP(Table1[[#This Row],[Province]],[1]Sheet1!$A$3:$K$37,9,FALSE)</f>
        <v>2985700</v>
      </c>
      <c r="K2979">
        <v>0</v>
      </c>
      <c r="L2979" s="4">
        <v>1.4300250000000001</v>
      </c>
      <c r="M2979" s="4">
        <v>121.445618</v>
      </c>
      <c r="N2979" s="6"/>
      <c r="P2979"/>
      <c r="Q2979" s="12"/>
      <c r="R2979" s="12"/>
    </row>
    <row r="2980" spans="1:18" x14ac:dyDescent="0.2">
      <c r="A2980">
        <v>26</v>
      </c>
      <c r="B2980" t="s">
        <v>28</v>
      </c>
      <c r="C2980">
        <v>2013</v>
      </c>
      <c r="D2980">
        <v>7</v>
      </c>
      <c r="E2980" s="4">
        <v>0</v>
      </c>
      <c r="F2980" s="9">
        <v>0</v>
      </c>
      <c r="G2980" s="6">
        <v>4256</v>
      </c>
      <c r="H2980" s="9">
        <f t="shared" si="46"/>
        <v>0</v>
      </c>
      <c r="I2980" s="6">
        <v>13592</v>
      </c>
      <c r="J2980" s="6">
        <f>VLOOKUP(Table1[[#This Row],[Province]],[1]Sheet1!$A$3:$K$37,9,FALSE)</f>
        <v>2985700</v>
      </c>
      <c r="K2980">
        <v>1</v>
      </c>
      <c r="L2980" s="4">
        <v>1.4300250000000001</v>
      </c>
      <c r="M2980" s="4">
        <v>121.445618</v>
      </c>
      <c r="N2980" s="6"/>
      <c r="P2980"/>
      <c r="Q2980" s="12"/>
      <c r="R2980" s="12"/>
    </row>
    <row r="2981" spans="1:18" x14ac:dyDescent="0.2">
      <c r="A2981">
        <v>26</v>
      </c>
      <c r="B2981" t="s">
        <v>28</v>
      </c>
      <c r="C2981">
        <v>2013</v>
      </c>
      <c r="D2981">
        <v>8</v>
      </c>
      <c r="E2981" s="4">
        <v>0</v>
      </c>
      <c r="F2981" s="9">
        <v>0</v>
      </c>
      <c r="G2981" s="6">
        <v>1557</v>
      </c>
      <c r="H2981" s="9">
        <f t="shared" si="46"/>
        <v>0</v>
      </c>
      <c r="I2981" s="6">
        <v>11961</v>
      </c>
      <c r="J2981" s="6">
        <f>VLOOKUP(Table1[[#This Row],[Province]],[1]Sheet1!$A$3:$K$37,9,FALSE)</f>
        <v>2985700</v>
      </c>
      <c r="K2981">
        <v>0</v>
      </c>
      <c r="L2981" s="4">
        <v>1.4300250000000001</v>
      </c>
      <c r="M2981" s="4">
        <v>121.445618</v>
      </c>
      <c r="N2981" s="6"/>
      <c r="P2981"/>
      <c r="Q2981" s="12"/>
      <c r="R2981" s="12"/>
    </row>
    <row r="2982" spans="1:18" x14ac:dyDescent="0.2">
      <c r="A2982">
        <v>26</v>
      </c>
      <c r="B2982" t="s">
        <v>28</v>
      </c>
      <c r="C2982">
        <v>2013</v>
      </c>
      <c r="D2982">
        <v>9</v>
      </c>
      <c r="E2982" s="4">
        <v>0</v>
      </c>
      <c r="F2982" s="9">
        <v>0</v>
      </c>
      <c r="G2982" s="6">
        <v>3326</v>
      </c>
      <c r="H2982" s="9">
        <f t="shared" si="46"/>
        <v>0</v>
      </c>
      <c r="I2982" s="6">
        <v>12000</v>
      </c>
      <c r="J2982" s="6">
        <f>VLOOKUP(Table1[[#This Row],[Province]],[1]Sheet1!$A$3:$K$37,9,FALSE)</f>
        <v>2985700</v>
      </c>
      <c r="K2982">
        <v>0</v>
      </c>
      <c r="L2982" s="4">
        <v>1.4300250000000001</v>
      </c>
      <c r="M2982" s="4">
        <v>121.445618</v>
      </c>
      <c r="N2982" s="6"/>
      <c r="P2982"/>
      <c r="Q2982" s="12"/>
      <c r="R2982" s="12"/>
    </row>
    <row r="2983" spans="1:18" x14ac:dyDescent="0.2">
      <c r="A2983">
        <v>26</v>
      </c>
      <c r="B2983" t="s">
        <v>28</v>
      </c>
      <c r="C2983">
        <v>2013</v>
      </c>
      <c r="D2983">
        <v>10</v>
      </c>
      <c r="E2983" s="4">
        <v>0</v>
      </c>
      <c r="F2983" s="9">
        <v>0</v>
      </c>
      <c r="G2983" s="6">
        <v>2722</v>
      </c>
      <c r="H2983" s="9">
        <f t="shared" si="46"/>
        <v>0</v>
      </c>
      <c r="I2983" s="6">
        <v>11984</v>
      </c>
      <c r="J2983" s="6">
        <f>VLOOKUP(Table1[[#This Row],[Province]],[1]Sheet1!$A$3:$K$37,9,FALSE)</f>
        <v>2985700</v>
      </c>
      <c r="K2983">
        <v>0</v>
      </c>
      <c r="L2983" s="4">
        <v>1.4300250000000001</v>
      </c>
      <c r="M2983" s="4">
        <v>121.445618</v>
      </c>
      <c r="N2983" s="6"/>
      <c r="P2983"/>
      <c r="Q2983" s="12"/>
      <c r="R2983" s="12"/>
    </row>
    <row r="2984" spans="1:18" x14ac:dyDescent="0.2">
      <c r="A2984">
        <v>26</v>
      </c>
      <c r="B2984" t="s">
        <v>28</v>
      </c>
      <c r="C2984">
        <v>2013</v>
      </c>
      <c r="D2984">
        <v>11</v>
      </c>
      <c r="E2984" s="4">
        <v>0</v>
      </c>
      <c r="F2984" s="9">
        <v>0</v>
      </c>
      <c r="G2984" s="6">
        <v>2005</v>
      </c>
      <c r="H2984" s="9">
        <f t="shared" si="46"/>
        <v>0</v>
      </c>
      <c r="I2984" s="6">
        <v>11692</v>
      </c>
      <c r="J2984" s="6">
        <f>VLOOKUP(Table1[[#This Row],[Province]],[1]Sheet1!$A$3:$K$37,9,FALSE)</f>
        <v>2985700</v>
      </c>
      <c r="K2984">
        <v>0</v>
      </c>
      <c r="L2984" s="4">
        <v>1.4300250000000001</v>
      </c>
      <c r="M2984" s="4">
        <v>121.445618</v>
      </c>
      <c r="N2984" s="6"/>
      <c r="P2984"/>
      <c r="Q2984" s="12"/>
      <c r="R2984" s="12"/>
    </row>
    <row r="2985" spans="1:18" x14ac:dyDescent="0.2">
      <c r="A2985">
        <v>26</v>
      </c>
      <c r="B2985" t="s">
        <v>28</v>
      </c>
      <c r="C2985">
        <v>2013</v>
      </c>
      <c r="D2985">
        <v>12</v>
      </c>
      <c r="E2985" s="4">
        <v>0</v>
      </c>
      <c r="F2985" s="9">
        <v>0</v>
      </c>
      <c r="G2985" s="6">
        <v>2789</v>
      </c>
      <c r="H2985" s="9">
        <f t="shared" si="46"/>
        <v>0</v>
      </c>
      <c r="I2985" s="6">
        <v>11383</v>
      </c>
      <c r="J2985" s="6">
        <f>VLOOKUP(Table1[[#This Row],[Province]],[1]Sheet1!$A$3:$K$37,9,FALSE)</f>
        <v>2985700</v>
      </c>
      <c r="K2985">
        <v>1</v>
      </c>
      <c r="L2985" s="4">
        <v>1.4300250000000001</v>
      </c>
      <c r="M2985" s="4">
        <v>121.445618</v>
      </c>
      <c r="N2985" s="6"/>
      <c r="P2985"/>
      <c r="Q2985" s="12"/>
      <c r="R2985" s="12"/>
    </row>
    <row r="2986" spans="1:18" x14ac:dyDescent="0.2">
      <c r="A2986">
        <v>26</v>
      </c>
      <c r="B2986" t="s">
        <v>28</v>
      </c>
      <c r="C2986">
        <v>2014</v>
      </c>
      <c r="D2986">
        <v>1</v>
      </c>
      <c r="E2986" s="4">
        <v>0</v>
      </c>
      <c r="F2986" s="9">
        <v>0</v>
      </c>
      <c r="G2986" s="6">
        <v>1952</v>
      </c>
      <c r="H2986" s="9">
        <f t="shared" si="46"/>
        <v>0</v>
      </c>
      <c r="I2986" s="6">
        <v>10598</v>
      </c>
      <c r="J2986" s="6">
        <f>VLOOKUP(Table1[[#This Row],[Province]],[1]Sheet1!$A$3:$K$37,9,FALSE)</f>
        <v>2985700</v>
      </c>
      <c r="K2986">
        <v>0</v>
      </c>
      <c r="L2986" s="4">
        <v>1.4300250000000001</v>
      </c>
      <c r="M2986" s="4">
        <v>121.445618</v>
      </c>
      <c r="N2986" s="6"/>
      <c r="P2986"/>
      <c r="Q2986" s="12"/>
      <c r="R2986" s="12"/>
    </row>
    <row r="2987" spans="1:18" x14ac:dyDescent="0.2">
      <c r="A2987">
        <v>26</v>
      </c>
      <c r="B2987" t="s">
        <v>28</v>
      </c>
      <c r="C2987">
        <v>2014</v>
      </c>
      <c r="D2987">
        <v>2</v>
      </c>
      <c r="E2987" s="4">
        <v>0</v>
      </c>
      <c r="F2987" s="9">
        <v>0</v>
      </c>
      <c r="G2987" s="6">
        <v>1742</v>
      </c>
      <c r="H2987" s="9">
        <f t="shared" si="46"/>
        <v>0</v>
      </c>
      <c r="I2987" s="6">
        <v>10417</v>
      </c>
      <c r="J2987" s="6">
        <f>VLOOKUP(Table1[[#This Row],[Province]],[1]Sheet1!$A$3:$K$37,9,FALSE)</f>
        <v>2985700</v>
      </c>
      <c r="K2987">
        <v>0</v>
      </c>
      <c r="L2987" s="4">
        <v>1.4300250000000001</v>
      </c>
      <c r="M2987" s="4">
        <v>121.445618</v>
      </c>
      <c r="N2987" s="6"/>
      <c r="P2987"/>
      <c r="Q2987" s="12"/>
      <c r="R2987" s="12"/>
    </row>
    <row r="2988" spans="1:18" x14ac:dyDescent="0.2">
      <c r="A2988">
        <v>26</v>
      </c>
      <c r="B2988" t="s">
        <v>28</v>
      </c>
      <c r="C2988">
        <v>2014</v>
      </c>
      <c r="D2988">
        <v>3</v>
      </c>
      <c r="E2988" s="4">
        <v>0</v>
      </c>
      <c r="F2988" s="9">
        <v>0</v>
      </c>
      <c r="G2988" s="6">
        <v>1956</v>
      </c>
      <c r="H2988" s="9">
        <f t="shared" si="46"/>
        <v>0</v>
      </c>
      <c r="I2988" s="6">
        <v>10258</v>
      </c>
      <c r="J2988" s="6">
        <f>VLOOKUP(Table1[[#This Row],[Province]],[1]Sheet1!$A$3:$K$37,9,FALSE)</f>
        <v>2985700</v>
      </c>
      <c r="K2988">
        <v>0</v>
      </c>
      <c r="L2988" s="4">
        <v>1.4300250000000001</v>
      </c>
      <c r="M2988" s="4">
        <v>121.445618</v>
      </c>
      <c r="N2988" s="6"/>
      <c r="P2988"/>
      <c r="Q2988" s="12"/>
      <c r="R2988" s="12"/>
    </row>
    <row r="2989" spans="1:18" x14ac:dyDescent="0.2">
      <c r="A2989">
        <v>26</v>
      </c>
      <c r="B2989" t="s">
        <v>28</v>
      </c>
      <c r="C2989">
        <v>2014</v>
      </c>
      <c r="D2989">
        <v>4</v>
      </c>
      <c r="E2989" s="4">
        <v>0</v>
      </c>
      <c r="F2989" s="9">
        <v>0</v>
      </c>
      <c r="G2989" s="6">
        <v>2519</v>
      </c>
      <c r="H2989" s="9">
        <f t="shared" si="46"/>
        <v>0</v>
      </c>
      <c r="I2989" s="6">
        <v>10433</v>
      </c>
      <c r="J2989" s="6">
        <f>VLOOKUP(Table1[[#This Row],[Province]],[1]Sheet1!$A$3:$K$37,9,FALSE)</f>
        <v>2985700</v>
      </c>
      <c r="K2989">
        <v>0</v>
      </c>
      <c r="L2989" s="4">
        <v>1.4300250000000001</v>
      </c>
      <c r="M2989" s="4">
        <v>121.445618</v>
      </c>
      <c r="N2989" s="6"/>
      <c r="P2989"/>
      <c r="Q2989" s="12"/>
      <c r="R2989" s="12"/>
    </row>
    <row r="2990" spans="1:18" x14ac:dyDescent="0.2">
      <c r="A2990">
        <v>26</v>
      </c>
      <c r="B2990" t="s">
        <v>28</v>
      </c>
      <c r="C2990">
        <v>2014</v>
      </c>
      <c r="D2990">
        <v>5</v>
      </c>
      <c r="E2990" s="4">
        <v>0</v>
      </c>
      <c r="F2990" s="9">
        <v>0</v>
      </c>
      <c r="G2990" s="6">
        <v>2821</v>
      </c>
      <c r="H2990" s="9">
        <f t="shared" si="46"/>
        <v>0</v>
      </c>
      <c r="I2990" s="6">
        <v>10379</v>
      </c>
      <c r="J2990" s="6">
        <f>VLOOKUP(Table1[[#This Row],[Province]],[1]Sheet1!$A$3:$K$37,9,FALSE)</f>
        <v>2985700</v>
      </c>
      <c r="K2990">
        <v>0</v>
      </c>
      <c r="L2990" s="4">
        <v>1.4300250000000001</v>
      </c>
      <c r="M2990" s="4">
        <v>121.445618</v>
      </c>
      <c r="N2990" s="6"/>
      <c r="P2990"/>
      <c r="Q2990" s="12"/>
      <c r="R2990" s="12"/>
    </row>
    <row r="2991" spans="1:18" x14ac:dyDescent="0.2">
      <c r="A2991">
        <v>26</v>
      </c>
      <c r="B2991" t="s">
        <v>28</v>
      </c>
      <c r="C2991">
        <v>2014</v>
      </c>
      <c r="D2991">
        <v>6</v>
      </c>
      <c r="E2991" s="4">
        <v>0</v>
      </c>
      <c r="F2991" s="9">
        <v>0</v>
      </c>
      <c r="G2991" s="6">
        <v>4015</v>
      </c>
      <c r="H2991" s="9">
        <f t="shared" si="46"/>
        <v>0</v>
      </c>
      <c r="I2991" s="6">
        <v>10397</v>
      </c>
      <c r="J2991" s="6">
        <f>VLOOKUP(Table1[[#This Row],[Province]],[1]Sheet1!$A$3:$K$37,9,FALSE)</f>
        <v>2985700</v>
      </c>
      <c r="K2991">
        <v>1</v>
      </c>
      <c r="L2991" s="4">
        <v>1.4300250000000001</v>
      </c>
      <c r="M2991" s="4">
        <v>121.445618</v>
      </c>
      <c r="N2991" s="6"/>
      <c r="P2991"/>
      <c r="Q2991" s="12"/>
      <c r="R2991" s="12"/>
    </row>
    <row r="2992" spans="1:18" x14ac:dyDescent="0.2">
      <c r="A2992">
        <v>26</v>
      </c>
      <c r="B2992" t="s">
        <v>28</v>
      </c>
      <c r="C2992">
        <v>2014</v>
      </c>
      <c r="D2992">
        <v>7</v>
      </c>
      <c r="E2992" s="4">
        <v>0</v>
      </c>
      <c r="F2992" s="9">
        <v>0</v>
      </c>
      <c r="G2992" s="6">
        <v>2519</v>
      </c>
      <c r="H2992" s="9">
        <f t="shared" si="46"/>
        <v>0</v>
      </c>
      <c r="I2992" s="6">
        <v>10139</v>
      </c>
      <c r="J2992" s="6">
        <f>VLOOKUP(Table1[[#This Row],[Province]],[1]Sheet1!$A$3:$K$37,9,FALSE)</f>
        <v>2985700</v>
      </c>
      <c r="K2992">
        <v>0</v>
      </c>
      <c r="L2992" s="4">
        <v>1.4300250000000001</v>
      </c>
      <c r="M2992" s="4">
        <v>121.445618</v>
      </c>
      <c r="N2992" s="6"/>
      <c r="P2992"/>
      <c r="Q2992" s="12"/>
      <c r="R2992" s="12"/>
    </row>
    <row r="2993" spans="1:18" x14ac:dyDescent="0.2">
      <c r="A2993">
        <v>26</v>
      </c>
      <c r="B2993" t="s">
        <v>28</v>
      </c>
      <c r="C2993">
        <v>2014</v>
      </c>
      <c r="D2993">
        <v>8</v>
      </c>
      <c r="E2993" s="4">
        <v>0</v>
      </c>
      <c r="F2993" s="9">
        <v>0</v>
      </c>
      <c r="G2993" s="6">
        <v>2428</v>
      </c>
      <c r="H2993" s="9">
        <f t="shared" si="46"/>
        <v>0</v>
      </c>
      <c r="I2993" s="6">
        <v>10067</v>
      </c>
      <c r="J2993" s="6">
        <f>VLOOKUP(Table1[[#This Row],[Province]],[1]Sheet1!$A$3:$K$37,9,FALSE)</f>
        <v>2985700</v>
      </c>
      <c r="K2993">
        <v>0</v>
      </c>
      <c r="L2993" s="4">
        <v>1.4300250000000001</v>
      </c>
      <c r="M2993" s="4">
        <v>121.445618</v>
      </c>
      <c r="N2993" s="6"/>
      <c r="P2993"/>
      <c r="Q2993" s="12"/>
      <c r="R2993" s="12"/>
    </row>
    <row r="2994" spans="1:18" x14ac:dyDescent="0.2">
      <c r="A2994">
        <v>26</v>
      </c>
      <c r="B2994" t="s">
        <v>28</v>
      </c>
      <c r="C2994">
        <v>2014</v>
      </c>
      <c r="D2994">
        <v>9</v>
      </c>
      <c r="E2994" s="4">
        <v>0</v>
      </c>
      <c r="F2994" s="9">
        <v>0</v>
      </c>
      <c r="G2994" s="6">
        <v>2444</v>
      </c>
      <c r="H2994" s="9">
        <f t="shared" si="46"/>
        <v>0</v>
      </c>
      <c r="I2994" s="6">
        <v>10045</v>
      </c>
      <c r="J2994" s="6">
        <f>VLOOKUP(Table1[[#This Row],[Province]],[1]Sheet1!$A$3:$K$37,9,FALSE)</f>
        <v>2985700</v>
      </c>
      <c r="K2994">
        <v>0</v>
      </c>
      <c r="L2994" s="4">
        <v>1.4300250000000001</v>
      </c>
      <c r="M2994" s="4">
        <v>121.445618</v>
      </c>
      <c r="N2994" s="6"/>
      <c r="P2994"/>
      <c r="Q2994" s="12"/>
      <c r="R2994" s="12"/>
    </row>
    <row r="2995" spans="1:18" x14ac:dyDescent="0.2">
      <c r="A2995">
        <v>26</v>
      </c>
      <c r="B2995" t="s">
        <v>28</v>
      </c>
      <c r="C2995">
        <v>2014</v>
      </c>
      <c r="D2995">
        <v>10</v>
      </c>
      <c r="E2995" s="4">
        <v>0</v>
      </c>
      <c r="F2995" s="9">
        <v>0</v>
      </c>
      <c r="G2995" s="6">
        <v>3625</v>
      </c>
      <c r="H2995" s="9">
        <f t="shared" si="46"/>
        <v>0</v>
      </c>
      <c r="I2995" s="6">
        <v>10094</v>
      </c>
      <c r="J2995" s="6">
        <f>VLOOKUP(Table1[[#This Row],[Province]],[1]Sheet1!$A$3:$K$37,9,FALSE)</f>
        <v>2985700</v>
      </c>
      <c r="K2995">
        <v>0</v>
      </c>
      <c r="L2995" s="4">
        <v>1.4300250000000001</v>
      </c>
      <c r="M2995" s="4">
        <v>121.445618</v>
      </c>
      <c r="N2995" s="6"/>
      <c r="P2995"/>
      <c r="Q2995" s="12"/>
      <c r="R2995" s="12"/>
    </row>
    <row r="2996" spans="1:18" x14ac:dyDescent="0.2">
      <c r="A2996">
        <v>26</v>
      </c>
      <c r="B2996" t="s">
        <v>28</v>
      </c>
      <c r="C2996">
        <v>2014</v>
      </c>
      <c r="D2996">
        <v>11</v>
      </c>
      <c r="E2996" s="4">
        <v>0</v>
      </c>
      <c r="F2996" s="9">
        <v>0</v>
      </c>
      <c r="G2996" s="6">
        <v>2893</v>
      </c>
      <c r="H2996" s="9">
        <f t="shared" si="46"/>
        <v>0</v>
      </c>
      <c r="I2996" s="6">
        <v>10358</v>
      </c>
      <c r="J2996" s="6">
        <f>VLOOKUP(Table1[[#This Row],[Province]],[1]Sheet1!$A$3:$K$37,9,FALSE)</f>
        <v>2985700</v>
      </c>
      <c r="K2996">
        <v>0</v>
      </c>
      <c r="L2996" s="4">
        <v>1.4300250000000001</v>
      </c>
      <c r="M2996" s="4">
        <v>121.445618</v>
      </c>
      <c r="N2996" s="6"/>
      <c r="P2996"/>
      <c r="Q2996" s="12"/>
      <c r="R2996" s="12"/>
    </row>
    <row r="2997" spans="1:18" x14ac:dyDescent="0.2">
      <c r="A2997">
        <v>26</v>
      </c>
      <c r="B2997" t="s">
        <v>28</v>
      </c>
      <c r="C2997">
        <v>2014</v>
      </c>
      <c r="D2997">
        <v>12</v>
      </c>
      <c r="E2997" s="4">
        <v>0</v>
      </c>
      <c r="F2997" s="9">
        <v>0</v>
      </c>
      <c r="G2997" s="6">
        <v>3373</v>
      </c>
      <c r="H2997" s="9">
        <f t="shared" si="46"/>
        <v>0</v>
      </c>
      <c r="I2997" s="6">
        <v>10572</v>
      </c>
      <c r="J2997" s="6">
        <f>VLOOKUP(Table1[[#This Row],[Province]],[1]Sheet1!$A$3:$K$37,9,FALSE)</f>
        <v>2985700</v>
      </c>
      <c r="K2997">
        <v>1</v>
      </c>
      <c r="L2997" s="4">
        <v>1.4300250000000001</v>
      </c>
      <c r="M2997" s="4">
        <v>121.445618</v>
      </c>
      <c r="N2997" s="6"/>
      <c r="P2997"/>
      <c r="Q2997" s="12"/>
      <c r="R2997" s="12"/>
    </row>
    <row r="2998" spans="1:18" x14ac:dyDescent="0.2">
      <c r="A2998">
        <v>26</v>
      </c>
      <c r="B2998" t="s">
        <v>28</v>
      </c>
      <c r="C2998">
        <v>2015</v>
      </c>
      <c r="D2998">
        <v>1</v>
      </c>
      <c r="E2998" s="4">
        <v>0</v>
      </c>
      <c r="F2998" s="9">
        <v>0</v>
      </c>
      <c r="G2998" s="6">
        <v>1673</v>
      </c>
      <c r="H2998" s="9">
        <f t="shared" si="46"/>
        <v>0</v>
      </c>
      <c r="I2998" s="6">
        <v>10762</v>
      </c>
      <c r="J2998" s="6">
        <f>VLOOKUP(Table1[[#This Row],[Province]],[1]Sheet1!$A$3:$K$37,9,FALSE)</f>
        <v>2985700</v>
      </c>
      <c r="K2998">
        <v>0</v>
      </c>
      <c r="L2998" s="4">
        <v>1.4300250000000001</v>
      </c>
      <c r="M2998" s="4">
        <v>121.445618</v>
      </c>
      <c r="N2998" s="6"/>
      <c r="P2998"/>
      <c r="Q2998" s="12"/>
      <c r="R2998" s="12"/>
    </row>
    <row r="2999" spans="1:18" x14ac:dyDescent="0.2">
      <c r="A2999">
        <v>26</v>
      </c>
      <c r="B2999" t="s">
        <v>28</v>
      </c>
      <c r="C2999">
        <v>2015</v>
      </c>
      <c r="D2999">
        <v>2</v>
      </c>
      <c r="E2999" s="4">
        <v>0</v>
      </c>
      <c r="F2999" s="9">
        <v>0</v>
      </c>
      <c r="G2999" s="6">
        <v>4219</v>
      </c>
      <c r="H2999" s="9">
        <f t="shared" si="46"/>
        <v>0</v>
      </c>
      <c r="I2999" s="6">
        <v>10272</v>
      </c>
      <c r="J2999" s="6">
        <f>VLOOKUP(Table1[[#This Row],[Province]],[1]Sheet1!$A$3:$K$37,9,FALSE)</f>
        <v>2985700</v>
      </c>
      <c r="K2999">
        <v>0</v>
      </c>
      <c r="L2999" s="4">
        <v>1.4300250000000001</v>
      </c>
      <c r="M2999" s="4">
        <v>121.445618</v>
      </c>
      <c r="N2999" s="6"/>
      <c r="P2999"/>
      <c r="Q2999" s="12"/>
      <c r="R2999" s="12"/>
    </row>
    <row r="3000" spans="1:18" x14ac:dyDescent="0.2">
      <c r="A3000">
        <v>26</v>
      </c>
      <c r="B3000" t="s">
        <v>28</v>
      </c>
      <c r="C3000">
        <v>2015</v>
      </c>
      <c r="D3000">
        <v>3</v>
      </c>
      <c r="E3000" s="4">
        <v>0</v>
      </c>
      <c r="F3000" s="9">
        <v>0</v>
      </c>
      <c r="G3000" s="6">
        <v>1915</v>
      </c>
      <c r="H3000" s="9">
        <f t="shared" si="46"/>
        <v>0</v>
      </c>
      <c r="I3000" s="6">
        <v>11000</v>
      </c>
      <c r="J3000" s="6">
        <f>VLOOKUP(Table1[[#This Row],[Province]],[1]Sheet1!$A$3:$K$37,9,FALSE)</f>
        <v>2985700</v>
      </c>
      <c r="K3000">
        <v>0</v>
      </c>
      <c r="L3000" s="4">
        <v>1.4300250000000001</v>
      </c>
      <c r="M3000" s="4">
        <v>121.445618</v>
      </c>
      <c r="N3000" s="6"/>
      <c r="P3000"/>
      <c r="Q3000" s="12"/>
      <c r="R3000" s="12"/>
    </row>
    <row r="3001" spans="1:18" x14ac:dyDescent="0.2">
      <c r="A3001">
        <v>26</v>
      </c>
      <c r="B3001" t="s">
        <v>28</v>
      </c>
      <c r="C3001">
        <v>2015</v>
      </c>
      <c r="D3001">
        <v>4</v>
      </c>
      <c r="E3001" s="4">
        <v>0</v>
      </c>
      <c r="F3001" s="9">
        <v>0</v>
      </c>
      <c r="G3001" s="6">
        <v>3172</v>
      </c>
      <c r="H3001" s="9">
        <f t="shared" si="46"/>
        <v>0</v>
      </c>
      <c r="I3001" s="6">
        <v>11484</v>
      </c>
      <c r="J3001" s="6">
        <f>VLOOKUP(Table1[[#This Row],[Province]],[1]Sheet1!$A$3:$K$37,9,FALSE)</f>
        <v>2985700</v>
      </c>
      <c r="K3001">
        <v>0</v>
      </c>
      <c r="L3001" s="4">
        <v>1.4300250000000001</v>
      </c>
      <c r="M3001" s="4">
        <v>121.445618</v>
      </c>
      <c r="N3001" s="6"/>
      <c r="P3001"/>
      <c r="Q3001" s="12"/>
      <c r="R3001" s="12"/>
    </row>
    <row r="3002" spans="1:18" x14ac:dyDescent="0.2">
      <c r="A3002">
        <v>26</v>
      </c>
      <c r="B3002" t="s">
        <v>28</v>
      </c>
      <c r="C3002">
        <v>2015</v>
      </c>
      <c r="D3002">
        <v>5</v>
      </c>
      <c r="E3002" s="4">
        <v>0</v>
      </c>
      <c r="F3002" s="9">
        <v>0</v>
      </c>
      <c r="G3002" s="6">
        <v>3039</v>
      </c>
      <c r="H3002" s="9">
        <f t="shared" si="46"/>
        <v>0</v>
      </c>
      <c r="I3002" s="6">
        <v>12904</v>
      </c>
      <c r="J3002" s="6">
        <f>VLOOKUP(Table1[[#This Row],[Province]],[1]Sheet1!$A$3:$K$37,9,FALSE)</f>
        <v>2985700</v>
      </c>
      <c r="K3002">
        <v>0</v>
      </c>
      <c r="L3002" s="4">
        <v>1.4300250000000001</v>
      </c>
      <c r="M3002" s="4">
        <v>121.445618</v>
      </c>
      <c r="N3002" s="6"/>
      <c r="P3002"/>
      <c r="Q3002" s="12"/>
      <c r="R3002" s="12"/>
    </row>
    <row r="3003" spans="1:18" x14ac:dyDescent="0.2">
      <c r="A3003">
        <v>26</v>
      </c>
      <c r="B3003" t="s">
        <v>28</v>
      </c>
      <c r="C3003">
        <v>2015</v>
      </c>
      <c r="D3003">
        <v>6</v>
      </c>
      <c r="E3003" s="4">
        <v>0</v>
      </c>
      <c r="F3003" s="9">
        <v>0</v>
      </c>
      <c r="G3003" s="6">
        <v>3454</v>
      </c>
      <c r="H3003" s="9">
        <f t="shared" si="46"/>
        <v>0</v>
      </c>
      <c r="I3003" s="6">
        <v>13365</v>
      </c>
      <c r="J3003" s="6">
        <f>VLOOKUP(Table1[[#This Row],[Province]],[1]Sheet1!$A$3:$K$37,9,FALSE)</f>
        <v>2985700</v>
      </c>
      <c r="K3003">
        <v>1</v>
      </c>
      <c r="L3003" s="4">
        <v>1.4300250000000001</v>
      </c>
      <c r="M3003" s="4">
        <v>121.445618</v>
      </c>
      <c r="N3003" s="6"/>
      <c r="P3003"/>
      <c r="Q3003" s="12"/>
      <c r="R3003" s="12"/>
    </row>
    <row r="3004" spans="1:18" x14ac:dyDescent="0.2">
      <c r="A3004">
        <v>26</v>
      </c>
      <c r="B3004" t="s">
        <v>28</v>
      </c>
      <c r="C3004">
        <v>2015</v>
      </c>
      <c r="D3004">
        <v>7</v>
      </c>
      <c r="E3004" s="4">
        <v>0</v>
      </c>
      <c r="F3004" s="9">
        <v>0</v>
      </c>
      <c r="G3004" s="6">
        <v>2358</v>
      </c>
      <c r="H3004" s="9">
        <f t="shared" si="46"/>
        <v>0</v>
      </c>
      <c r="I3004" s="6">
        <v>13184</v>
      </c>
      <c r="J3004" s="6">
        <f>VLOOKUP(Table1[[#This Row],[Province]],[1]Sheet1!$A$3:$K$37,9,FALSE)</f>
        <v>2985700</v>
      </c>
      <c r="K3004">
        <v>0</v>
      </c>
      <c r="L3004" s="4">
        <v>1.4300250000000001</v>
      </c>
      <c r="M3004" s="4">
        <v>121.445618</v>
      </c>
      <c r="N3004" s="6"/>
      <c r="P3004"/>
      <c r="Q3004" s="12"/>
      <c r="R3004" s="12"/>
    </row>
    <row r="3005" spans="1:18" x14ac:dyDescent="0.2">
      <c r="A3005">
        <v>26</v>
      </c>
      <c r="B3005" t="s">
        <v>28</v>
      </c>
      <c r="C3005">
        <v>2015</v>
      </c>
      <c r="D3005">
        <v>8</v>
      </c>
      <c r="E3005" s="4">
        <v>0</v>
      </c>
      <c r="F3005" s="9">
        <v>0</v>
      </c>
      <c r="G3005" s="6">
        <v>2333</v>
      </c>
      <c r="H3005" s="9">
        <f t="shared" si="46"/>
        <v>0</v>
      </c>
      <c r="I3005" s="6">
        <v>12908</v>
      </c>
      <c r="J3005" s="6">
        <f>VLOOKUP(Table1[[#This Row],[Province]],[1]Sheet1!$A$3:$K$37,9,FALSE)</f>
        <v>2985700</v>
      </c>
      <c r="K3005">
        <v>0</v>
      </c>
      <c r="L3005" s="4">
        <v>1.4300250000000001</v>
      </c>
      <c r="M3005" s="4">
        <v>121.445618</v>
      </c>
      <c r="N3005" s="6"/>
      <c r="P3005"/>
      <c r="Q3005" s="12"/>
      <c r="R3005" s="12"/>
    </row>
    <row r="3006" spans="1:18" x14ac:dyDescent="0.2">
      <c r="A3006">
        <v>26</v>
      </c>
      <c r="B3006" t="s">
        <v>28</v>
      </c>
      <c r="C3006">
        <v>2015</v>
      </c>
      <c r="D3006">
        <v>9</v>
      </c>
      <c r="E3006" s="4">
        <v>0</v>
      </c>
      <c r="F3006" s="9">
        <v>0</v>
      </c>
      <c r="G3006" s="6">
        <v>3131</v>
      </c>
      <c r="H3006" s="9">
        <f t="shared" si="46"/>
        <v>0</v>
      </c>
      <c r="I3006" s="6">
        <v>12683</v>
      </c>
      <c r="J3006" s="6">
        <f>VLOOKUP(Table1[[#This Row],[Province]],[1]Sheet1!$A$3:$K$37,9,FALSE)</f>
        <v>2985700</v>
      </c>
      <c r="K3006">
        <v>0</v>
      </c>
      <c r="L3006" s="4">
        <v>1.4300250000000001</v>
      </c>
      <c r="M3006" s="4">
        <v>121.445618</v>
      </c>
      <c r="N3006" s="6"/>
      <c r="P3006"/>
      <c r="Q3006" s="12"/>
      <c r="R3006" s="12"/>
    </row>
    <row r="3007" spans="1:18" x14ac:dyDescent="0.2">
      <c r="A3007">
        <v>26</v>
      </c>
      <c r="B3007" t="s">
        <v>28</v>
      </c>
      <c r="C3007">
        <v>2015</v>
      </c>
      <c r="D3007">
        <v>10</v>
      </c>
      <c r="E3007" s="4">
        <v>0</v>
      </c>
      <c r="F3007" s="9">
        <v>0</v>
      </c>
      <c r="G3007" s="6">
        <v>2087</v>
      </c>
      <c r="H3007" s="9">
        <f t="shared" si="46"/>
        <v>0</v>
      </c>
      <c r="I3007" s="6">
        <v>12564</v>
      </c>
      <c r="J3007" s="6">
        <f>VLOOKUP(Table1[[#This Row],[Province]],[1]Sheet1!$A$3:$K$37,9,FALSE)</f>
        <v>2985700</v>
      </c>
      <c r="K3007">
        <v>0</v>
      </c>
      <c r="L3007" s="4">
        <v>1.4300250000000001</v>
      </c>
      <c r="M3007" s="4">
        <v>121.445618</v>
      </c>
      <c r="N3007" s="6"/>
      <c r="P3007"/>
      <c r="Q3007" s="12"/>
      <c r="R3007" s="12"/>
    </row>
    <row r="3008" spans="1:18" x14ac:dyDescent="0.2">
      <c r="A3008">
        <v>26</v>
      </c>
      <c r="B3008" t="s">
        <v>28</v>
      </c>
      <c r="C3008">
        <v>2015</v>
      </c>
      <c r="D3008">
        <v>11</v>
      </c>
      <c r="E3008" s="4">
        <v>0</v>
      </c>
      <c r="F3008" s="9">
        <v>0</v>
      </c>
      <c r="G3008" s="6">
        <v>2752</v>
      </c>
      <c r="H3008" s="9">
        <f t="shared" si="46"/>
        <v>0</v>
      </c>
      <c r="I3008" s="6">
        <v>12445</v>
      </c>
      <c r="J3008" s="6">
        <f>VLOOKUP(Table1[[#This Row],[Province]],[1]Sheet1!$A$3:$K$37,9,FALSE)</f>
        <v>2985700</v>
      </c>
      <c r="K3008">
        <v>0</v>
      </c>
      <c r="L3008" s="4">
        <v>1.4300250000000001</v>
      </c>
      <c r="M3008" s="4">
        <v>121.445618</v>
      </c>
      <c r="N3008" s="6"/>
      <c r="P3008"/>
      <c r="Q3008" s="12"/>
      <c r="R3008" s="12"/>
    </row>
    <row r="3009" spans="1:18" x14ac:dyDescent="0.2">
      <c r="A3009">
        <v>26</v>
      </c>
      <c r="B3009" t="s">
        <v>28</v>
      </c>
      <c r="C3009">
        <v>2015</v>
      </c>
      <c r="D3009">
        <v>12</v>
      </c>
      <c r="E3009" s="4">
        <v>0</v>
      </c>
      <c r="F3009" s="9">
        <v>0</v>
      </c>
      <c r="G3009" s="6">
        <v>2950</v>
      </c>
      <c r="H3009" s="9">
        <f t="shared" si="46"/>
        <v>0</v>
      </c>
      <c r="I3009" s="6">
        <v>12033</v>
      </c>
      <c r="J3009" s="6">
        <f>VLOOKUP(Table1[[#This Row],[Province]],[1]Sheet1!$A$3:$K$37,9,FALSE)</f>
        <v>2985700</v>
      </c>
      <c r="K3009">
        <v>1</v>
      </c>
      <c r="L3009" s="4">
        <v>1.4300250000000001</v>
      </c>
      <c r="M3009" s="4">
        <v>121.445618</v>
      </c>
      <c r="N3009" s="6"/>
      <c r="P3009"/>
      <c r="Q3009" s="12"/>
      <c r="R3009" s="12"/>
    </row>
    <row r="3010" spans="1:18" x14ac:dyDescent="0.2">
      <c r="A3010">
        <v>26</v>
      </c>
      <c r="B3010" t="s">
        <v>28</v>
      </c>
      <c r="C3010">
        <v>2016</v>
      </c>
      <c r="D3010">
        <v>1</v>
      </c>
      <c r="E3010" s="4">
        <v>0</v>
      </c>
      <c r="F3010" s="9">
        <v>0</v>
      </c>
      <c r="G3010" s="6">
        <v>4590</v>
      </c>
      <c r="H3010" s="9">
        <f t="shared" ref="H3010:H3073" si="47">F3010+E3010</f>
        <v>0</v>
      </c>
      <c r="I3010" s="6">
        <v>12000</v>
      </c>
      <c r="J3010" s="6">
        <f>VLOOKUP(Table1[[#This Row],[Province]],[1]Sheet1!$A$3:$K$37,9,FALSE)</f>
        <v>2985700</v>
      </c>
      <c r="K3010">
        <v>0</v>
      </c>
      <c r="L3010" s="4">
        <v>1.4300250000000001</v>
      </c>
      <c r="M3010" s="4">
        <v>121.445618</v>
      </c>
      <c r="N3010" s="13">
        <v>9.94</v>
      </c>
      <c r="P3010"/>
      <c r="Q3010" s="12"/>
      <c r="R3010" s="12"/>
    </row>
    <row r="3011" spans="1:18" x14ac:dyDescent="0.2">
      <c r="A3011">
        <v>26</v>
      </c>
      <c r="B3011" t="s">
        <v>28</v>
      </c>
      <c r="C3011">
        <v>2016</v>
      </c>
      <c r="D3011">
        <v>2</v>
      </c>
      <c r="E3011" s="4">
        <v>0</v>
      </c>
      <c r="F3011" s="9">
        <v>0</v>
      </c>
      <c r="G3011" s="6">
        <v>4521</v>
      </c>
      <c r="H3011" s="9">
        <f t="shared" si="47"/>
        <v>0</v>
      </c>
      <c r="I3011" s="6">
        <v>12242</v>
      </c>
      <c r="J3011" s="6">
        <f>VLOOKUP(Table1[[#This Row],[Province]],[1]Sheet1!$A$3:$K$37,9,FALSE)</f>
        <v>2985700</v>
      </c>
      <c r="K3011">
        <v>0</v>
      </c>
      <c r="L3011" s="4">
        <v>1.4300250000000001</v>
      </c>
      <c r="M3011" s="4">
        <v>121.445618</v>
      </c>
      <c r="N3011" s="13">
        <v>9.94</v>
      </c>
      <c r="P3011"/>
      <c r="Q3011" s="12"/>
      <c r="R3011" s="12"/>
    </row>
    <row r="3012" spans="1:18" x14ac:dyDescent="0.2">
      <c r="A3012">
        <v>26</v>
      </c>
      <c r="B3012" t="s">
        <v>28</v>
      </c>
      <c r="C3012">
        <v>2016</v>
      </c>
      <c r="D3012">
        <v>3</v>
      </c>
      <c r="E3012" s="4">
        <v>0</v>
      </c>
      <c r="F3012" s="9">
        <v>0</v>
      </c>
      <c r="G3012" s="6">
        <v>3237</v>
      </c>
      <c r="H3012" s="9">
        <f t="shared" si="47"/>
        <v>0</v>
      </c>
      <c r="I3012" s="6">
        <v>12222</v>
      </c>
      <c r="J3012" s="6">
        <f>VLOOKUP(Table1[[#This Row],[Province]],[1]Sheet1!$A$3:$K$37,9,FALSE)</f>
        <v>2985700</v>
      </c>
      <c r="K3012">
        <v>0</v>
      </c>
      <c r="L3012" s="4">
        <v>1.4300250000000001</v>
      </c>
      <c r="M3012" s="4">
        <v>121.445618</v>
      </c>
      <c r="N3012" s="13">
        <v>9.94</v>
      </c>
      <c r="P3012"/>
      <c r="Q3012" s="12"/>
      <c r="R3012" s="12"/>
    </row>
    <row r="3013" spans="1:18" x14ac:dyDescent="0.2">
      <c r="A3013">
        <v>26</v>
      </c>
      <c r="B3013" t="s">
        <v>28</v>
      </c>
      <c r="C3013">
        <v>2016</v>
      </c>
      <c r="D3013">
        <v>4</v>
      </c>
      <c r="E3013" s="4">
        <v>0</v>
      </c>
      <c r="F3013" s="9">
        <v>0</v>
      </c>
      <c r="G3013" s="6">
        <v>1792</v>
      </c>
      <c r="H3013" s="9">
        <f t="shared" si="47"/>
        <v>0</v>
      </c>
      <c r="I3013" s="6">
        <v>12484</v>
      </c>
      <c r="J3013" s="6">
        <f>VLOOKUP(Table1[[#This Row],[Province]],[1]Sheet1!$A$3:$K$37,9,FALSE)</f>
        <v>2985700</v>
      </c>
      <c r="K3013">
        <v>0</v>
      </c>
      <c r="L3013" s="4">
        <v>1.4300250000000001</v>
      </c>
      <c r="M3013" s="4">
        <v>121.445618</v>
      </c>
      <c r="N3013" s="13">
        <v>9.94</v>
      </c>
      <c r="P3013"/>
      <c r="Q3013" s="12"/>
      <c r="R3013" s="12"/>
    </row>
    <row r="3014" spans="1:18" x14ac:dyDescent="0.2">
      <c r="A3014">
        <v>26</v>
      </c>
      <c r="B3014" t="s">
        <v>28</v>
      </c>
      <c r="C3014">
        <v>2016</v>
      </c>
      <c r="D3014">
        <v>5</v>
      </c>
      <c r="E3014" s="4">
        <v>0</v>
      </c>
      <c r="F3014" s="9">
        <v>0</v>
      </c>
      <c r="G3014" s="6">
        <v>3886</v>
      </c>
      <c r="H3014" s="9">
        <f t="shared" si="47"/>
        <v>0</v>
      </c>
      <c r="I3014" s="6">
        <v>14400</v>
      </c>
      <c r="J3014" s="6">
        <f>VLOOKUP(Table1[[#This Row],[Province]],[1]Sheet1!$A$3:$K$37,9,FALSE)</f>
        <v>2985700</v>
      </c>
      <c r="K3014">
        <v>0</v>
      </c>
      <c r="L3014" s="4">
        <v>1.4300250000000001</v>
      </c>
      <c r="M3014" s="4">
        <v>121.445618</v>
      </c>
      <c r="N3014" s="13">
        <v>9.94</v>
      </c>
      <c r="P3014"/>
      <c r="Q3014" s="12"/>
      <c r="R3014" s="12"/>
    </row>
    <row r="3015" spans="1:18" x14ac:dyDescent="0.2">
      <c r="A3015">
        <v>26</v>
      </c>
      <c r="B3015" t="s">
        <v>28</v>
      </c>
      <c r="C3015">
        <v>2016</v>
      </c>
      <c r="D3015">
        <v>6</v>
      </c>
      <c r="E3015" s="4">
        <v>0</v>
      </c>
      <c r="F3015" s="9">
        <v>0</v>
      </c>
      <c r="G3015" s="6">
        <v>3004</v>
      </c>
      <c r="H3015" s="9">
        <f t="shared" si="47"/>
        <v>0</v>
      </c>
      <c r="I3015" s="6">
        <v>15038</v>
      </c>
      <c r="J3015" s="6">
        <f>VLOOKUP(Table1[[#This Row],[Province]],[1]Sheet1!$A$3:$K$37,9,FALSE)</f>
        <v>2985700</v>
      </c>
      <c r="K3015">
        <v>1</v>
      </c>
      <c r="L3015" s="4">
        <v>1.4300250000000001</v>
      </c>
      <c r="M3015" s="4">
        <v>121.445618</v>
      </c>
      <c r="N3015" s="13">
        <v>9.94</v>
      </c>
      <c r="P3015"/>
      <c r="Q3015" s="12"/>
      <c r="R3015" s="12"/>
    </row>
    <row r="3016" spans="1:18" x14ac:dyDescent="0.2">
      <c r="A3016">
        <v>26</v>
      </c>
      <c r="B3016" t="s">
        <v>28</v>
      </c>
      <c r="C3016">
        <v>2016</v>
      </c>
      <c r="D3016">
        <v>7</v>
      </c>
      <c r="E3016" s="4">
        <v>0</v>
      </c>
      <c r="F3016" s="9">
        <v>0</v>
      </c>
      <c r="G3016" s="6">
        <v>2866</v>
      </c>
      <c r="H3016" s="9">
        <f t="shared" si="47"/>
        <v>0</v>
      </c>
      <c r="I3016" s="6">
        <v>15542</v>
      </c>
      <c r="J3016" s="6">
        <f>VLOOKUP(Table1[[#This Row],[Province]],[1]Sheet1!$A$3:$K$37,9,FALSE)</f>
        <v>2985700</v>
      </c>
      <c r="K3016">
        <v>0</v>
      </c>
      <c r="L3016" s="4">
        <v>1.4300250000000001</v>
      </c>
      <c r="M3016" s="4">
        <v>121.445618</v>
      </c>
      <c r="N3016" s="13">
        <v>9.94</v>
      </c>
      <c r="P3016"/>
      <c r="Q3016" s="12"/>
      <c r="R3016" s="12"/>
    </row>
    <row r="3017" spans="1:18" x14ac:dyDescent="0.2">
      <c r="A3017">
        <v>26</v>
      </c>
      <c r="B3017" t="s">
        <v>28</v>
      </c>
      <c r="C3017">
        <v>2016</v>
      </c>
      <c r="D3017">
        <v>8</v>
      </c>
      <c r="E3017" s="4">
        <v>0</v>
      </c>
      <c r="F3017" s="9">
        <v>0</v>
      </c>
      <c r="G3017" s="6">
        <v>2832</v>
      </c>
      <c r="H3017" s="9">
        <f t="shared" si="47"/>
        <v>0</v>
      </c>
      <c r="I3017" s="6">
        <v>15614</v>
      </c>
      <c r="J3017" s="6">
        <f>VLOOKUP(Table1[[#This Row],[Province]],[1]Sheet1!$A$3:$K$37,9,FALSE)</f>
        <v>2985700</v>
      </c>
      <c r="K3017">
        <v>0</v>
      </c>
      <c r="L3017" s="4">
        <v>1.4300250000000001</v>
      </c>
      <c r="M3017" s="4">
        <v>121.445618</v>
      </c>
      <c r="N3017" s="13">
        <v>9.94</v>
      </c>
      <c r="P3017"/>
      <c r="Q3017" s="12"/>
      <c r="R3017" s="12"/>
    </row>
    <row r="3018" spans="1:18" x14ac:dyDescent="0.2">
      <c r="A3018">
        <v>26</v>
      </c>
      <c r="B3018" t="s">
        <v>28</v>
      </c>
      <c r="C3018">
        <v>2016</v>
      </c>
      <c r="D3018">
        <v>9</v>
      </c>
      <c r="E3018" s="4">
        <v>0</v>
      </c>
      <c r="F3018" s="9">
        <v>0</v>
      </c>
      <c r="G3018" s="6">
        <v>1095</v>
      </c>
      <c r="H3018" s="9">
        <f t="shared" si="47"/>
        <v>0</v>
      </c>
      <c r="I3018" s="6">
        <v>14746</v>
      </c>
      <c r="J3018" s="6">
        <f>VLOOKUP(Table1[[#This Row],[Province]],[1]Sheet1!$A$3:$K$37,9,FALSE)</f>
        <v>2985700</v>
      </c>
      <c r="K3018">
        <v>0</v>
      </c>
      <c r="L3018" s="4">
        <v>1.4300250000000001</v>
      </c>
      <c r="M3018" s="4">
        <v>121.445618</v>
      </c>
      <c r="N3018" s="13">
        <v>9.94</v>
      </c>
      <c r="P3018"/>
      <c r="Q3018" s="12"/>
      <c r="R3018" s="12"/>
    </row>
    <row r="3019" spans="1:18" x14ac:dyDescent="0.2">
      <c r="A3019">
        <v>26</v>
      </c>
      <c r="B3019" t="s">
        <v>28</v>
      </c>
      <c r="C3019">
        <v>2016</v>
      </c>
      <c r="D3019">
        <v>10</v>
      </c>
      <c r="E3019" s="4">
        <v>0</v>
      </c>
      <c r="F3019" s="9">
        <v>0</v>
      </c>
      <c r="G3019" s="6">
        <v>4782</v>
      </c>
      <c r="H3019" s="9">
        <f t="shared" si="47"/>
        <v>0</v>
      </c>
      <c r="I3019" s="6">
        <v>14365</v>
      </c>
      <c r="J3019" s="6">
        <f>VLOOKUP(Table1[[#This Row],[Province]],[1]Sheet1!$A$3:$K$37,9,FALSE)</f>
        <v>2985700</v>
      </c>
      <c r="K3019">
        <v>0</v>
      </c>
      <c r="L3019" s="4">
        <v>1.4300250000000001</v>
      </c>
      <c r="M3019" s="4">
        <v>121.445618</v>
      </c>
      <c r="N3019" s="13">
        <v>9.94</v>
      </c>
      <c r="P3019"/>
      <c r="Q3019" s="12"/>
      <c r="R3019" s="12"/>
    </row>
    <row r="3020" spans="1:18" x14ac:dyDescent="0.2">
      <c r="A3020">
        <v>26</v>
      </c>
      <c r="B3020" t="s">
        <v>28</v>
      </c>
      <c r="C3020">
        <v>2016</v>
      </c>
      <c r="D3020">
        <v>11</v>
      </c>
      <c r="E3020" s="4">
        <v>0</v>
      </c>
      <c r="F3020" s="9">
        <v>0</v>
      </c>
      <c r="G3020" s="6">
        <v>1354</v>
      </c>
      <c r="H3020" s="9">
        <f t="shared" si="47"/>
        <v>0</v>
      </c>
      <c r="I3020" s="6">
        <v>13349</v>
      </c>
      <c r="J3020" s="6">
        <f>VLOOKUP(Table1[[#This Row],[Province]],[1]Sheet1!$A$3:$K$37,9,FALSE)</f>
        <v>2985700</v>
      </c>
      <c r="K3020">
        <v>0</v>
      </c>
      <c r="L3020" s="4">
        <v>1.4300250000000001</v>
      </c>
      <c r="M3020" s="4">
        <v>121.445618</v>
      </c>
      <c r="N3020" s="13">
        <v>9.94</v>
      </c>
      <c r="P3020"/>
      <c r="Q3020" s="12"/>
      <c r="R3020" s="12"/>
    </row>
    <row r="3021" spans="1:18" x14ac:dyDescent="0.2">
      <c r="A3021">
        <v>26</v>
      </c>
      <c r="B3021" t="s">
        <v>28</v>
      </c>
      <c r="C3021">
        <v>2016</v>
      </c>
      <c r="D3021">
        <v>12</v>
      </c>
      <c r="E3021" s="4">
        <v>0</v>
      </c>
      <c r="F3021" s="9">
        <v>0</v>
      </c>
      <c r="G3021" s="6">
        <v>1355</v>
      </c>
      <c r="H3021" s="9">
        <f t="shared" si="47"/>
        <v>0</v>
      </c>
      <c r="I3021" s="6">
        <v>13083</v>
      </c>
      <c r="J3021" s="6">
        <f>VLOOKUP(Table1[[#This Row],[Province]],[1]Sheet1!$A$3:$K$37,9,FALSE)</f>
        <v>2985700</v>
      </c>
      <c r="K3021">
        <v>1</v>
      </c>
      <c r="L3021" s="4">
        <v>1.4300250000000001</v>
      </c>
      <c r="M3021" s="4">
        <v>121.445618</v>
      </c>
      <c r="N3021" s="13">
        <v>9.94</v>
      </c>
      <c r="P3021"/>
      <c r="Q3021" s="12"/>
      <c r="R3021" s="12"/>
    </row>
    <row r="3022" spans="1:18" x14ac:dyDescent="0.2">
      <c r="A3022">
        <v>26</v>
      </c>
      <c r="B3022" t="s">
        <v>28</v>
      </c>
      <c r="C3022">
        <v>2017</v>
      </c>
      <c r="D3022">
        <v>1</v>
      </c>
      <c r="E3022" s="4">
        <v>0</v>
      </c>
      <c r="F3022" s="9">
        <v>0</v>
      </c>
      <c r="G3022" s="6">
        <v>2686</v>
      </c>
      <c r="H3022" s="9">
        <f t="shared" si="47"/>
        <v>0</v>
      </c>
      <c r="I3022" s="6">
        <v>13000</v>
      </c>
      <c r="J3022" s="6">
        <f>VLOOKUP(Table1[[#This Row],[Province]],[1]Sheet1!$A$3:$K$37,9,FALSE)</f>
        <v>2985700</v>
      </c>
      <c r="K3022">
        <v>0</v>
      </c>
      <c r="L3022" s="4">
        <v>1.4300250000000001</v>
      </c>
      <c r="M3022" s="4">
        <v>121.445618</v>
      </c>
      <c r="N3022" s="13">
        <v>7.1</v>
      </c>
      <c r="P3022"/>
      <c r="Q3022" s="12"/>
      <c r="R3022" s="12"/>
    </row>
    <row r="3023" spans="1:18" x14ac:dyDescent="0.2">
      <c r="A3023">
        <v>26</v>
      </c>
      <c r="B3023" t="s">
        <v>28</v>
      </c>
      <c r="C3023">
        <v>2017</v>
      </c>
      <c r="D3023">
        <v>2</v>
      </c>
      <c r="E3023" s="4">
        <v>0</v>
      </c>
      <c r="F3023" s="9">
        <v>0</v>
      </c>
      <c r="G3023" s="6">
        <v>1543</v>
      </c>
      <c r="H3023" s="9">
        <f t="shared" si="47"/>
        <v>0</v>
      </c>
      <c r="I3023" s="6">
        <v>13000</v>
      </c>
      <c r="J3023" s="6">
        <f>VLOOKUP(Table1[[#This Row],[Province]],[1]Sheet1!$A$3:$K$37,9,FALSE)</f>
        <v>2985700</v>
      </c>
      <c r="K3023">
        <v>0</v>
      </c>
      <c r="L3023" s="4">
        <v>1.4300250000000001</v>
      </c>
      <c r="M3023" s="4">
        <v>121.445618</v>
      </c>
      <c r="N3023" s="13">
        <v>7.1</v>
      </c>
      <c r="P3023"/>
      <c r="Q3023" s="12"/>
      <c r="R3023" s="12"/>
    </row>
    <row r="3024" spans="1:18" x14ac:dyDescent="0.2">
      <c r="A3024">
        <v>26</v>
      </c>
      <c r="B3024" t="s">
        <v>28</v>
      </c>
      <c r="C3024">
        <v>2017</v>
      </c>
      <c r="D3024">
        <v>3</v>
      </c>
      <c r="E3024" s="4">
        <v>0</v>
      </c>
      <c r="F3024" s="9">
        <v>0</v>
      </c>
      <c r="G3024" s="6">
        <v>1205</v>
      </c>
      <c r="H3024" s="9">
        <f t="shared" si="47"/>
        <v>0</v>
      </c>
      <c r="I3024" s="6">
        <v>13038</v>
      </c>
      <c r="J3024" s="6">
        <f>VLOOKUP(Table1[[#This Row],[Province]],[1]Sheet1!$A$3:$K$37,9,FALSE)</f>
        <v>2985700</v>
      </c>
      <c r="K3024">
        <v>0</v>
      </c>
      <c r="L3024" s="4">
        <v>1.4300250000000001</v>
      </c>
      <c r="M3024" s="4">
        <v>121.445618</v>
      </c>
      <c r="N3024" s="13">
        <v>7.1</v>
      </c>
      <c r="P3024"/>
      <c r="Q3024" s="12"/>
      <c r="R3024" s="12"/>
    </row>
    <row r="3025" spans="1:18" x14ac:dyDescent="0.2">
      <c r="A3025">
        <v>26</v>
      </c>
      <c r="B3025" t="s">
        <v>28</v>
      </c>
      <c r="C3025">
        <v>2017</v>
      </c>
      <c r="D3025">
        <v>4</v>
      </c>
      <c r="E3025" s="4">
        <v>0</v>
      </c>
      <c r="F3025" s="9">
        <v>0</v>
      </c>
      <c r="G3025" s="6">
        <v>861</v>
      </c>
      <c r="H3025" s="9">
        <f t="shared" si="47"/>
        <v>0</v>
      </c>
      <c r="I3025" s="6">
        <v>12921</v>
      </c>
      <c r="J3025" s="6">
        <f>VLOOKUP(Table1[[#This Row],[Province]],[1]Sheet1!$A$3:$K$37,9,FALSE)</f>
        <v>2985700</v>
      </c>
      <c r="K3025">
        <v>0</v>
      </c>
      <c r="L3025" s="4">
        <v>1.4300250000000001</v>
      </c>
      <c r="M3025" s="4">
        <v>121.445618</v>
      </c>
      <c r="N3025" s="13">
        <v>7.1</v>
      </c>
      <c r="P3025"/>
      <c r="Q3025" s="12"/>
      <c r="R3025" s="12"/>
    </row>
    <row r="3026" spans="1:18" x14ac:dyDescent="0.2">
      <c r="A3026">
        <v>26</v>
      </c>
      <c r="B3026" t="s">
        <v>28</v>
      </c>
      <c r="C3026">
        <v>2017</v>
      </c>
      <c r="D3026">
        <v>5</v>
      </c>
      <c r="E3026" s="4">
        <v>0</v>
      </c>
      <c r="F3026" s="9">
        <v>0</v>
      </c>
      <c r="G3026" s="6">
        <v>829</v>
      </c>
      <c r="H3026" s="9">
        <f t="shared" si="47"/>
        <v>0</v>
      </c>
      <c r="I3026" s="6">
        <v>12891</v>
      </c>
      <c r="J3026" s="6">
        <f>VLOOKUP(Table1[[#This Row],[Province]],[1]Sheet1!$A$3:$K$37,9,FALSE)</f>
        <v>2985700</v>
      </c>
      <c r="K3026">
        <v>1</v>
      </c>
      <c r="L3026" s="4">
        <v>1.4300250000000001</v>
      </c>
      <c r="M3026" s="4">
        <v>121.445618</v>
      </c>
      <c r="N3026" s="13">
        <v>7.1</v>
      </c>
      <c r="P3026"/>
      <c r="Q3026" s="12"/>
      <c r="R3026" s="12"/>
    </row>
    <row r="3027" spans="1:18" x14ac:dyDescent="0.2">
      <c r="A3027">
        <v>26</v>
      </c>
      <c r="B3027" t="s">
        <v>28</v>
      </c>
      <c r="C3027">
        <v>2017</v>
      </c>
      <c r="D3027">
        <v>6</v>
      </c>
      <c r="E3027" s="4">
        <v>0</v>
      </c>
      <c r="F3027" s="9">
        <v>0</v>
      </c>
      <c r="G3027" s="6">
        <v>1534</v>
      </c>
      <c r="H3027" s="9">
        <f t="shared" si="47"/>
        <v>0</v>
      </c>
      <c r="I3027" s="6">
        <v>12833</v>
      </c>
      <c r="J3027" s="6">
        <f>VLOOKUP(Table1[[#This Row],[Province]],[1]Sheet1!$A$3:$K$37,9,FALSE)</f>
        <v>2985700</v>
      </c>
      <c r="K3027">
        <v>0</v>
      </c>
      <c r="L3027" s="4">
        <v>1.4300250000000001</v>
      </c>
      <c r="M3027" s="4">
        <v>121.445618</v>
      </c>
      <c r="N3027" s="13">
        <v>7.1</v>
      </c>
      <c r="P3027"/>
      <c r="Q3027" s="12"/>
      <c r="R3027" s="12"/>
    </row>
    <row r="3028" spans="1:18" x14ac:dyDescent="0.2">
      <c r="A3028">
        <v>26</v>
      </c>
      <c r="B3028" t="s">
        <v>28</v>
      </c>
      <c r="C3028">
        <v>2017</v>
      </c>
      <c r="D3028">
        <v>7</v>
      </c>
      <c r="E3028" s="4">
        <v>0</v>
      </c>
      <c r="F3028" s="9">
        <v>0</v>
      </c>
      <c r="G3028" s="6">
        <v>1708</v>
      </c>
      <c r="H3028" s="9">
        <f t="shared" si="47"/>
        <v>0</v>
      </c>
      <c r="I3028" s="6">
        <v>12778</v>
      </c>
      <c r="J3028" s="6">
        <f>VLOOKUP(Table1[[#This Row],[Province]],[1]Sheet1!$A$3:$K$37,9,FALSE)</f>
        <v>2985700</v>
      </c>
      <c r="K3028">
        <v>0</v>
      </c>
      <c r="L3028" s="4">
        <v>1.4300250000000001</v>
      </c>
      <c r="M3028" s="4">
        <v>121.445618</v>
      </c>
      <c r="N3028" s="13">
        <v>7.1</v>
      </c>
      <c r="P3028"/>
      <c r="Q3028" s="12"/>
      <c r="R3028" s="12"/>
    </row>
    <row r="3029" spans="1:18" x14ac:dyDescent="0.2">
      <c r="A3029">
        <v>26</v>
      </c>
      <c r="B3029" t="s">
        <v>28</v>
      </c>
      <c r="C3029">
        <v>2017</v>
      </c>
      <c r="D3029">
        <v>8</v>
      </c>
      <c r="E3029" s="4">
        <v>0</v>
      </c>
      <c r="F3029" s="9">
        <v>0</v>
      </c>
      <c r="G3029" s="6">
        <v>3274</v>
      </c>
      <c r="H3029" s="9">
        <f t="shared" si="47"/>
        <v>0</v>
      </c>
      <c r="I3029" s="6">
        <v>12803</v>
      </c>
      <c r="J3029" s="6">
        <f>VLOOKUP(Table1[[#This Row],[Province]],[1]Sheet1!$A$3:$K$37,9,FALSE)</f>
        <v>2985700</v>
      </c>
      <c r="K3029">
        <v>0</v>
      </c>
      <c r="L3029" s="4">
        <v>1.4300250000000001</v>
      </c>
      <c r="M3029" s="4">
        <v>121.445618</v>
      </c>
      <c r="N3029" s="13">
        <v>7.1</v>
      </c>
      <c r="P3029"/>
      <c r="Q3029" s="12"/>
      <c r="R3029" s="12"/>
    </row>
    <row r="3030" spans="1:18" x14ac:dyDescent="0.2">
      <c r="A3030">
        <v>26</v>
      </c>
      <c r="B3030" t="s">
        <v>28</v>
      </c>
      <c r="C3030">
        <v>2017</v>
      </c>
      <c r="D3030">
        <v>9</v>
      </c>
      <c r="E3030" s="4">
        <v>0</v>
      </c>
      <c r="F3030" s="9">
        <v>0</v>
      </c>
      <c r="G3030" s="6">
        <v>3173</v>
      </c>
      <c r="H3030" s="9">
        <f t="shared" si="47"/>
        <v>0</v>
      </c>
      <c r="I3030" s="6">
        <v>12685</v>
      </c>
      <c r="J3030" s="6">
        <f>VLOOKUP(Table1[[#This Row],[Province]],[1]Sheet1!$A$3:$K$37,9,FALSE)</f>
        <v>2985700</v>
      </c>
      <c r="K3030">
        <v>0</v>
      </c>
      <c r="L3030" s="4">
        <v>1.4300250000000001</v>
      </c>
      <c r="M3030" s="4">
        <v>121.445618</v>
      </c>
      <c r="N3030" s="13">
        <v>7.1</v>
      </c>
      <c r="P3030"/>
      <c r="Q3030" s="12"/>
      <c r="R3030" s="12"/>
    </row>
    <row r="3031" spans="1:18" x14ac:dyDescent="0.2">
      <c r="A3031">
        <v>26</v>
      </c>
      <c r="B3031" t="s">
        <v>28</v>
      </c>
      <c r="C3031">
        <v>2017</v>
      </c>
      <c r="D3031">
        <v>10</v>
      </c>
      <c r="E3031" s="4">
        <v>0</v>
      </c>
      <c r="F3031" s="9">
        <v>0</v>
      </c>
      <c r="G3031" s="6">
        <v>4119</v>
      </c>
      <c r="H3031" s="9">
        <f t="shared" si="47"/>
        <v>0</v>
      </c>
      <c r="I3031" s="6">
        <v>12829</v>
      </c>
      <c r="J3031" s="6">
        <f>VLOOKUP(Table1[[#This Row],[Province]],[1]Sheet1!$A$3:$K$37,9,FALSE)</f>
        <v>2985700</v>
      </c>
      <c r="K3031">
        <v>0</v>
      </c>
      <c r="L3031" s="4">
        <v>1.4300250000000001</v>
      </c>
      <c r="M3031" s="4">
        <v>121.445618</v>
      </c>
      <c r="N3031" s="13">
        <v>7.1</v>
      </c>
      <c r="P3031"/>
      <c r="Q3031" s="12"/>
      <c r="R3031" s="12"/>
    </row>
    <row r="3032" spans="1:18" x14ac:dyDescent="0.2">
      <c r="A3032">
        <v>26</v>
      </c>
      <c r="B3032" t="s">
        <v>28</v>
      </c>
      <c r="C3032">
        <v>2017</v>
      </c>
      <c r="D3032">
        <v>11</v>
      </c>
      <c r="E3032" s="4">
        <v>0</v>
      </c>
      <c r="F3032" s="9">
        <v>0</v>
      </c>
      <c r="G3032" s="6">
        <v>1076</v>
      </c>
      <c r="H3032" s="9">
        <f t="shared" si="47"/>
        <v>0</v>
      </c>
      <c r="I3032" s="6">
        <v>12848</v>
      </c>
      <c r="J3032" s="6">
        <f>VLOOKUP(Table1[[#This Row],[Province]],[1]Sheet1!$A$3:$K$37,9,FALSE)</f>
        <v>2985700</v>
      </c>
      <c r="K3032">
        <v>0</v>
      </c>
      <c r="L3032" s="4">
        <v>1.4300250000000001</v>
      </c>
      <c r="M3032" s="4">
        <v>121.445618</v>
      </c>
      <c r="N3032" s="13">
        <v>7.1</v>
      </c>
      <c r="P3032"/>
      <c r="Q3032" s="12"/>
      <c r="R3032" s="12"/>
    </row>
    <row r="3033" spans="1:18" x14ac:dyDescent="0.2">
      <c r="A3033">
        <v>26</v>
      </c>
      <c r="B3033" t="s">
        <v>28</v>
      </c>
      <c r="C3033">
        <v>2017</v>
      </c>
      <c r="D3033">
        <v>12</v>
      </c>
      <c r="E3033" s="4">
        <v>0</v>
      </c>
      <c r="F3033" s="9">
        <v>0</v>
      </c>
      <c r="G3033" s="6">
        <v>2005</v>
      </c>
      <c r="H3033" s="9">
        <f t="shared" si="47"/>
        <v>0</v>
      </c>
      <c r="I3033" s="6">
        <v>12815</v>
      </c>
      <c r="J3033" s="6">
        <f>VLOOKUP(Table1[[#This Row],[Province]],[1]Sheet1!$A$3:$K$37,9,FALSE)</f>
        <v>2985700</v>
      </c>
      <c r="K3033">
        <v>1</v>
      </c>
      <c r="L3033" s="4">
        <v>1.4300250000000001</v>
      </c>
      <c r="M3033" s="4">
        <v>121.445618</v>
      </c>
      <c r="N3033" s="13">
        <v>7.1</v>
      </c>
      <c r="P3033"/>
      <c r="Q3033" s="12"/>
      <c r="R3033" s="12"/>
    </row>
    <row r="3034" spans="1:18" x14ac:dyDescent="0.2">
      <c r="A3034">
        <v>26</v>
      </c>
      <c r="B3034" t="s">
        <v>28</v>
      </c>
      <c r="C3034">
        <v>2018</v>
      </c>
      <c r="D3034">
        <v>1</v>
      </c>
      <c r="E3034" s="4">
        <v>0</v>
      </c>
      <c r="F3034" s="9">
        <v>0</v>
      </c>
      <c r="G3034" s="6">
        <v>1766</v>
      </c>
      <c r="H3034" s="9">
        <f t="shared" si="47"/>
        <v>0</v>
      </c>
      <c r="I3034" s="6">
        <v>13000</v>
      </c>
      <c r="J3034" s="6">
        <f>VLOOKUP(Table1[[#This Row],[Province]],[1]Sheet1!$A$3:$K$37,9,FALSE)</f>
        <v>2985700</v>
      </c>
      <c r="K3034">
        <v>0</v>
      </c>
      <c r="L3034" s="4">
        <v>1.4300250000000001</v>
      </c>
      <c r="M3034" s="4">
        <v>121.445618</v>
      </c>
      <c r="N3034" s="13">
        <v>20.6</v>
      </c>
      <c r="P3034"/>
      <c r="Q3034" s="12"/>
      <c r="R3034" s="12"/>
    </row>
    <row r="3035" spans="1:18" x14ac:dyDescent="0.2">
      <c r="A3035">
        <v>26</v>
      </c>
      <c r="B3035" t="s">
        <v>28</v>
      </c>
      <c r="C3035">
        <v>2018</v>
      </c>
      <c r="D3035">
        <v>2</v>
      </c>
      <c r="E3035" s="4">
        <v>0</v>
      </c>
      <c r="F3035" s="9">
        <v>0</v>
      </c>
      <c r="G3035" s="6">
        <v>2474</v>
      </c>
      <c r="H3035" s="9">
        <f t="shared" si="47"/>
        <v>0</v>
      </c>
      <c r="I3035" s="6">
        <v>13000</v>
      </c>
      <c r="J3035" s="6">
        <f>VLOOKUP(Table1[[#This Row],[Province]],[1]Sheet1!$A$3:$K$37,9,FALSE)</f>
        <v>2985700</v>
      </c>
      <c r="K3035">
        <v>0</v>
      </c>
      <c r="L3035" s="4">
        <v>1.4300250000000001</v>
      </c>
      <c r="M3035" s="4">
        <v>121.445618</v>
      </c>
      <c r="N3035" s="13">
        <v>20.6</v>
      </c>
      <c r="P3035"/>
      <c r="Q3035" s="12"/>
      <c r="R3035" s="12"/>
    </row>
    <row r="3036" spans="1:18" x14ac:dyDescent="0.2">
      <c r="A3036">
        <v>26</v>
      </c>
      <c r="B3036" t="s">
        <v>28</v>
      </c>
      <c r="C3036">
        <v>2018</v>
      </c>
      <c r="D3036">
        <v>3</v>
      </c>
      <c r="E3036" s="4">
        <v>0</v>
      </c>
      <c r="F3036" s="9">
        <v>0</v>
      </c>
      <c r="G3036" s="6">
        <v>3617</v>
      </c>
      <c r="H3036" s="9">
        <f t="shared" si="47"/>
        <v>0</v>
      </c>
      <c r="I3036" s="6">
        <v>13381</v>
      </c>
      <c r="J3036" s="6">
        <f>VLOOKUP(Table1[[#This Row],[Province]],[1]Sheet1!$A$3:$K$37,9,FALSE)</f>
        <v>2985700</v>
      </c>
      <c r="K3036">
        <v>0</v>
      </c>
      <c r="L3036" s="4">
        <v>1.4300250000000001</v>
      </c>
      <c r="M3036" s="4">
        <v>121.445618</v>
      </c>
      <c r="N3036" s="13">
        <v>20.6</v>
      </c>
      <c r="P3036"/>
      <c r="Q3036" s="12"/>
      <c r="R3036" s="12"/>
    </row>
    <row r="3037" spans="1:18" x14ac:dyDescent="0.2">
      <c r="A3037">
        <v>26</v>
      </c>
      <c r="B3037" t="s">
        <v>28</v>
      </c>
      <c r="C3037">
        <v>2018</v>
      </c>
      <c r="D3037">
        <v>4</v>
      </c>
      <c r="E3037" s="4">
        <v>0</v>
      </c>
      <c r="F3037" s="9">
        <v>0</v>
      </c>
      <c r="G3037" s="6">
        <v>2202</v>
      </c>
      <c r="H3037" s="9">
        <f t="shared" si="47"/>
        <v>0</v>
      </c>
      <c r="I3037" s="6">
        <v>13072</v>
      </c>
      <c r="J3037" s="6">
        <f>VLOOKUP(Table1[[#This Row],[Province]],[1]Sheet1!$A$3:$K$37,9,FALSE)</f>
        <v>2985700</v>
      </c>
      <c r="K3037">
        <v>0</v>
      </c>
      <c r="L3037" s="4">
        <v>1.4300250000000001</v>
      </c>
      <c r="M3037" s="4">
        <v>121.445618</v>
      </c>
      <c r="N3037" s="13">
        <v>20.6</v>
      </c>
      <c r="P3037"/>
      <c r="Q3037" s="12"/>
      <c r="R3037" s="12"/>
    </row>
    <row r="3038" spans="1:18" x14ac:dyDescent="0.2">
      <c r="A3038">
        <v>26</v>
      </c>
      <c r="B3038" t="s">
        <v>28</v>
      </c>
      <c r="C3038">
        <v>2018</v>
      </c>
      <c r="D3038">
        <v>5</v>
      </c>
      <c r="E3038" s="4">
        <v>0</v>
      </c>
      <c r="F3038" s="9">
        <v>0</v>
      </c>
      <c r="G3038" s="6">
        <v>2201</v>
      </c>
      <c r="H3038" s="9">
        <f t="shared" si="47"/>
        <v>0</v>
      </c>
      <c r="I3038" s="6">
        <v>13000</v>
      </c>
      <c r="J3038" s="6">
        <f>VLOOKUP(Table1[[#This Row],[Province]],[1]Sheet1!$A$3:$K$37,9,FALSE)</f>
        <v>2985700</v>
      </c>
      <c r="K3038">
        <v>1</v>
      </c>
      <c r="L3038" s="4">
        <v>1.4300250000000001</v>
      </c>
      <c r="M3038" s="4">
        <v>121.445618</v>
      </c>
      <c r="N3038" s="13">
        <v>20.6</v>
      </c>
      <c r="P3038"/>
      <c r="Q3038" s="12"/>
      <c r="R3038" s="12"/>
    </row>
    <row r="3039" spans="1:18" x14ac:dyDescent="0.2">
      <c r="A3039">
        <v>26</v>
      </c>
      <c r="B3039" t="s">
        <v>28</v>
      </c>
      <c r="C3039">
        <v>2018</v>
      </c>
      <c r="D3039">
        <v>6</v>
      </c>
      <c r="E3039" s="4">
        <v>0</v>
      </c>
      <c r="F3039" s="9">
        <v>0</v>
      </c>
      <c r="G3039" s="6">
        <v>1676</v>
      </c>
      <c r="H3039" s="9">
        <f t="shared" si="47"/>
        <v>0</v>
      </c>
      <c r="I3039" s="6">
        <v>12750</v>
      </c>
      <c r="J3039" s="6">
        <f>VLOOKUP(Table1[[#This Row],[Province]],[1]Sheet1!$A$3:$K$37,9,FALSE)</f>
        <v>2985700</v>
      </c>
      <c r="K3039">
        <v>0</v>
      </c>
      <c r="L3039" s="4">
        <v>1.4300250000000001</v>
      </c>
      <c r="M3039" s="4">
        <v>121.445618</v>
      </c>
      <c r="N3039" s="13">
        <v>20.6</v>
      </c>
      <c r="P3039"/>
      <c r="Q3039" s="12"/>
      <c r="R3039" s="12"/>
    </row>
    <row r="3040" spans="1:18" x14ac:dyDescent="0.2">
      <c r="A3040">
        <v>26</v>
      </c>
      <c r="B3040" t="s">
        <v>28</v>
      </c>
      <c r="C3040">
        <v>2018</v>
      </c>
      <c r="D3040">
        <v>7</v>
      </c>
      <c r="E3040" s="4">
        <v>0</v>
      </c>
      <c r="F3040" s="9">
        <v>0</v>
      </c>
      <c r="G3040" s="6">
        <v>2647</v>
      </c>
      <c r="H3040" s="9">
        <f t="shared" si="47"/>
        <v>0</v>
      </c>
      <c r="I3040" s="6">
        <v>12800</v>
      </c>
      <c r="J3040" s="6">
        <f>VLOOKUP(Table1[[#This Row],[Province]],[1]Sheet1!$A$3:$K$37,9,FALSE)</f>
        <v>2985700</v>
      </c>
      <c r="K3040">
        <v>0</v>
      </c>
      <c r="L3040" s="4">
        <v>1.4300250000000001</v>
      </c>
      <c r="M3040" s="4">
        <v>121.445618</v>
      </c>
      <c r="N3040" s="13">
        <v>20.6</v>
      </c>
      <c r="P3040"/>
      <c r="Q3040" s="12"/>
      <c r="R3040" s="12"/>
    </row>
    <row r="3041" spans="1:18" x14ac:dyDescent="0.2">
      <c r="A3041">
        <v>26</v>
      </c>
      <c r="B3041" t="s">
        <v>28</v>
      </c>
      <c r="C3041">
        <v>2018</v>
      </c>
      <c r="D3041">
        <v>8</v>
      </c>
      <c r="E3041" s="4">
        <v>0</v>
      </c>
      <c r="F3041" s="9">
        <v>0</v>
      </c>
      <c r="G3041" s="6">
        <v>1498</v>
      </c>
      <c r="H3041" s="9">
        <f t="shared" si="47"/>
        <v>0</v>
      </c>
      <c r="I3041" s="6">
        <v>13000</v>
      </c>
      <c r="J3041" s="6">
        <f>VLOOKUP(Table1[[#This Row],[Province]],[1]Sheet1!$A$3:$K$37,9,FALSE)</f>
        <v>2985700</v>
      </c>
      <c r="K3041">
        <v>0</v>
      </c>
      <c r="L3041" s="4">
        <v>1.4300250000000001</v>
      </c>
      <c r="M3041" s="4">
        <v>121.445618</v>
      </c>
      <c r="N3041" s="13">
        <v>20.6</v>
      </c>
      <c r="P3041"/>
      <c r="Q3041" s="12"/>
      <c r="R3041" s="12"/>
    </row>
    <row r="3042" spans="1:18" x14ac:dyDescent="0.2">
      <c r="A3042">
        <v>26</v>
      </c>
      <c r="B3042" t="s">
        <v>28</v>
      </c>
      <c r="C3042">
        <v>2018</v>
      </c>
      <c r="D3042">
        <v>9</v>
      </c>
      <c r="E3042" s="4">
        <v>0</v>
      </c>
      <c r="F3042" s="9">
        <v>0</v>
      </c>
      <c r="G3042" s="6">
        <v>1831</v>
      </c>
      <c r="H3042" s="9">
        <f t="shared" si="47"/>
        <v>0</v>
      </c>
      <c r="I3042" s="6">
        <v>13000</v>
      </c>
      <c r="J3042" s="6">
        <f>VLOOKUP(Table1[[#This Row],[Province]],[1]Sheet1!$A$3:$K$37,9,FALSE)</f>
        <v>2985700</v>
      </c>
      <c r="K3042">
        <v>0</v>
      </c>
      <c r="L3042" s="4">
        <v>1.4300250000000001</v>
      </c>
      <c r="M3042" s="4">
        <v>121.445618</v>
      </c>
      <c r="N3042" s="13">
        <v>20.6</v>
      </c>
      <c r="P3042"/>
      <c r="Q3042" s="12"/>
      <c r="R3042" s="12"/>
    </row>
    <row r="3043" spans="1:18" x14ac:dyDescent="0.2">
      <c r="A3043">
        <v>26</v>
      </c>
      <c r="B3043" t="s">
        <v>28</v>
      </c>
      <c r="C3043">
        <v>2018</v>
      </c>
      <c r="D3043">
        <v>10</v>
      </c>
      <c r="E3043" s="4">
        <v>0</v>
      </c>
      <c r="F3043" s="9">
        <v>0</v>
      </c>
      <c r="G3043" s="6">
        <v>2992</v>
      </c>
      <c r="H3043" s="9">
        <f t="shared" si="47"/>
        <v>0</v>
      </c>
      <c r="I3043" s="6">
        <v>13000</v>
      </c>
      <c r="J3043" s="6">
        <f>VLOOKUP(Table1[[#This Row],[Province]],[1]Sheet1!$A$3:$K$37,9,FALSE)</f>
        <v>2985700</v>
      </c>
      <c r="K3043">
        <v>0</v>
      </c>
      <c r="L3043" s="4">
        <v>1.4300250000000001</v>
      </c>
      <c r="M3043" s="4">
        <v>121.445618</v>
      </c>
      <c r="N3043" s="13">
        <v>20.6</v>
      </c>
      <c r="P3043"/>
      <c r="Q3043" s="12"/>
      <c r="R3043" s="12"/>
    </row>
    <row r="3044" spans="1:18" x14ac:dyDescent="0.2">
      <c r="A3044">
        <v>26</v>
      </c>
      <c r="B3044" t="s">
        <v>28</v>
      </c>
      <c r="C3044">
        <v>2018</v>
      </c>
      <c r="D3044">
        <v>11</v>
      </c>
      <c r="E3044" s="4">
        <v>0</v>
      </c>
      <c r="F3044" s="9">
        <v>0</v>
      </c>
      <c r="G3044" s="6">
        <v>1673</v>
      </c>
      <c r="H3044" s="9">
        <f t="shared" si="47"/>
        <v>0</v>
      </c>
      <c r="I3044" s="6">
        <v>13000</v>
      </c>
      <c r="J3044" s="6">
        <f>VLOOKUP(Table1[[#This Row],[Province]],[1]Sheet1!$A$3:$K$37,9,FALSE)</f>
        <v>2985700</v>
      </c>
      <c r="K3044">
        <v>0</v>
      </c>
      <c r="L3044" s="4">
        <v>1.4300250000000001</v>
      </c>
      <c r="M3044" s="4">
        <v>121.445618</v>
      </c>
      <c r="N3044" s="13">
        <v>20.6</v>
      </c>
      <c r="P3044"/>
      <c r="Q3044" s="12"/>
      <c r="R3044" s="12"/>
    </row>
    <row r="3045" spans="1:18" x14ac:dyDescent="0.2">
      <c r="A3045">
        <v>26</v>
      </c>
      <c r="B3045" t="s">
        <v>28</v>
      </c>
      <c r="C3045">
        <v>2018</v>
      </c>
      <c r="D3045">
        <v>12</v>
      </c>
      <c r="E3045" s="4">
        <v>0</v>
      </c>
      <c r="F3045" s="9">
        <v>0</v>
      </c>
      <c r="G3045" s="6">
        <v>2094</v>
      </c>
      <c r="H3045" s="9">
        <f t="shared" si="47"/>
        <v>0</v>
      </c>
      <c r="I3045" s="6">
        <v>12159</v>
      </c>
      <c r="J3045" s="6">
        <f>VLOOKUP(Table1[[#This Row],[Province]],[1]Sheet1!$A$3:$K$37,9,FALSE)</f>
        <v>2985700</v>
      </c>
      <c r="K3045">
        <v>1</v>
      </c>
      <c r="L3045" s="4">
        <v>1.4300250000000001</v>
      </c>
      <c r="M3045" s="4">
        <v>121.445618</v>
      </c>
      <c r="N3045" s="13">
        <v>20.6</v>
      </c>
      <c r="P3045"/>
      <c r="Q3045" s="12"/>
      <c r="R3045" s="12"/>
    </row>
    <row r="3046" spans="1:18" x14ac:dyDescent="0.2">
      <c r="A3046">
        <v>26</v>
      </c>
      <c r="B3046" t="s">
        <v>28</v>
      </c>
      <c r="C3046">
        <v>2019</v>
      </c>
      <c r="D3046">
        <v>1</v>
      </c>
      <c r="E3046" s="4">
        <v>0</v>
      </c>
      <c r="F3046" s="9">
        <v>0</v>
      </c>
      <c r="G3046" s="6">
        <v>2751</v>
      </c>
      <c r="H3046" s="9">
        <f t="shared" si="47"/>
        <v>0</v>
      </c>
      <c r="I3046" s="6">
        <v>12729</v>
      </c>
      <c r="J3046" s="6">
        <f>VLOOKUP(Table1[[#This Row],[Province]],[1]Sheet1!$A$3:$K$37,9,FALSE)</f>
        <v>2985700</v>
      </c>
      <c r="K3046">
        <v>0</v>
      </c>
      <c r="L3046" s="4">
        <v>1.4300250000000001</v>
      </c>
      <c r="M3046" s="4">
        <v>121.445618</v>
      </c>
      <c r="N3046" s="13">
        <v>8.83</v>
      </c>
      <c r="P3046"/>
      <c r="Q3046" s="12"/>
      <c r="R3046" s="12"/>
    </row>
    <row r="3047" spans="1:18" x14ac:dyDescent="0.2">
      <c r="A3047">
        <v>26</v>
      </c>
      <c r="B3047" t="s">
        <v>28</v>
      </c>
      <c r="C3047">
        <v>2019</v>
      </c>
      <c r="D3047">
        <v>2</v>
      </c>
      <c r="E3047" s="4">
        <v>0</v>
      </c>
      <c r="F3047" s="9">
        <v>0</v>
      </c>
      <c r="G3047" s="6">
        <v>1798</v>
      </c>
      <c r="H3047" s="9">
        <f t="shared" si="47"/>
        <v>0</v>
      </c>
      <c r="I3047" s="6">
        <v>12991</v>
      </c>
      <c r="J3047" s="6">
        <f>VLOOKUP(Table1[[#This Row],[Province]],[1]Sheet1!$A$3:$K$37,9,FALSE)</f>
        <v>2985700</v>
      </c>
      <c r="K3047">
        <v>0</v>
      </c>
      <c r="L3047" s="4">
        <v>1.4300250000000001</v>
      </c>
      <c r="M3047" s="4">
        <v>121.445618</v>
      </c>
      <c r="N3047" s="13">
        <v>8.83</v>
      </c>
      <c r="P3047"/>
      <c r="Q3047" s="12"/>
      <c r="R3047" s="12"/>
    </row>
    <row r="3048" spans="1:18" x14ac:dyDescent="0.2">
      <c r="A3048">
        <v>26</v>
      </c>
      <c r="B3048" t="s">
        <v>28</v>
      </c>
      <c r="C3048">
        <v>2019</v>
      </c>
      <c r="D3048">
        <v>3</v>
      </c>
      <c r="E3048" s="4">
        <v>0</v>
      </c>
      <c r="F3048" s="9">
        <v>0</v>
      </c>
      <c r="G3048" s="6">
        <v>4561</v>
      </c>
      <c r="H3048" s="9">
        <f t="shared" si="47"/>
        <v>0</v>
      </c>
      <c r="I3048" s="6">
        <v>12964</v>
      </c>
      <c r="J3048" s="6">
        <f>VLOOKUP(Table1[[#This Row],[Province]],[1]Sheet1!$A$3:$K$37,9,FALSE)</f>
        <v>2985700</v>
      </c>
      <c r="K3048">
        <v>0</v>
      </c>
      <c r="L3048" s="4">
        <v>1.4300250000000001</v>
      </c>
      <c r="M3048" s="4">
        <v>121.445618</v>
      </c>
      <c r="N3048" s="13">
        <v>8.83</v>
      </c>
      <c r="P3048"/>
      <c r="Q3048" s="12"/>
      <c r="R3048" s="12"/>
    </row>
    <row r="3049" spans="1:18" x14ac:dyDescent="0.2">
      <c r="A3049">
        <v>26</v>
      </c>
      <c r="B3049" t="s">
        <v>28</v>
      </c>
      <c r="C3049">
        <v>2019</v>
      </c>
      <c r="D3049">
        <v>4</v>
      </c>
      <c r="E3049" s="4">
        <v>0</v>
      </c>
      <c r="F3049" s="9">
        <v>0</v>
      </c>
      <c r="G3049" s="6">
        <v>1753</v>
      </c>
      <c r="H3049" s="9">
        <f t="shared" si="47"/>
        <v>0</v>
      </c>
      <c r="I3049" s="6">
        <v>12996</v>
      </c>
      <c r="J3049" s="6">
        <f>VLOOKUP(Table1[[#This Row],[Province]],[1]Sheet1!$A$3:$K$37,9,FALSE)</f>
        <v>2985700</v>
      </c>
      <c r="K3049">
        <v>0</v>
      </c>
      <c r="L3049" s="4">
        <v>1.4300250000000001</v>
      </c>
      <c r="M3049" s="4">
        <v>121.445618</v>
      </c>
      <c r="N3049" s="13">
        <v>8.83</v>
      </c>
      <c r="P3049"/>
      <c r="Q3049" s="12"/>
      <c r="R3049" s="12"/>
    </row>
    <row r="3050" spans="1:18" x14ac:dyDescent="0.2">
      <c r="A3050">
        <v>26</v>
      </c>
      <c r="B3050" t="s">
        <v>28</v>
      </c>
      <c r="C3050">
        <v>2019</v>
      </c>
      <c r="D3050">
        <v>5</v>
      </c>
      <c r="E3050" s="4">
        <v>0</v>
      </c>
      <c r="F3050" s="9">
        <v>0</v>
      </c>
      <c r="G3050" s="6">
        <v>3782</v>
      </c>
      <c r="H3050" s="9">
        <f t="shared" si="47"/>
        <v>0</v>
      </c>
      <c r="I3050" s="6">
        <v>13027</v>
      </c>
      <c r="J3050" s="6">
        <f>VLOOKUP(Table1[[#This Row],[Province]],[1]Sheet1!$A$3:$K$37,9,FALSE)</f>
        <v>2985700</v>
      </c>
      <c r="K3050">
        <v>1</v>
      </c>
      <c r="L3050" s="4">
        <v>1.4300250000000001</v>
      </c>
      <c r="M3050" s="4">
        <v>121.445618</v>
      </c>
      <c r="N3050" s="13">
        <v>8.83</v>
      </c>
      <c r="P3050"/>
      <c r="Q3050" s="12"/>
      <c r="R3050" s="12"/>
    </row>
    <row r="3051" spans="1:18" x14ac:dyDescent="0.2">
      <c r="A3051">
        <v>26</v>
      </c>
      <c r="B3051" t="s">
        <v>28</v>
      </c>
      <c r="C3051">
        <v>2019</v>
      </c>
      <c r="D3051">
        <v>6</v>
      </c>
      <c r="E3051" s="4">
        <v>0</v>
      </c>
      <c r="F3051" s="9">
        <v>0</v>
      </c>
      <c r="G3051" s="6">
        <v>1808</v>
      </c>
      <c r="H3051" s="9">
        <f t="shared" si="47"/>
        <v>0</v>
      </c>
      <c r="I3051" s="6">
        <v>13000</v>
      </c>
      <c r="J3051" s="6">
        <f>VLOOKUP(Table1[[#This Row],[Province]],[1]Sheet1!$A$3:$K$37,9,FALSE)</f>
        <v>2985700</v>
      </c>
      <c r="K3051">
        <v>0</v>
      </c>
      <c r="L3051" s="4">
        <v>1.4300250000000001</v>
      </c>
      <c r="M3051" s="4">
        <v>121.445618</v>
      </c>
      <c r="N3051" s="13">
        <v>8.83</v>
      </c>
      <c r="P3051"/>
      <c r="Q3051" s="12"/>
      <c r="R3051" s="12"/>
    </row>
    <row r="3052" spans="1:18" x14ac:dyDescent="0.2">
      <c r="A3052">
        <v>26</v>
      </c>
      <c r="B3052" t="s">
        <v>28</v>
      </c>
      <c r="C3052">
        <v>2019</v>
      </c>
      <c r="D3052">
        <v>7</v>
      </c>
      <c r="E3052" s="4">
        <v>0</v>
      </c>
      <c r="F3052" s="9">
        <v>0</v>
      </c>
      <c r="G3052" s="6">
        <v>3426</v>
      </c>
      <c r="H3052" s="9">
        <f t="shared" si="47"/>
        <v>0</v>
      </c>
      <c r="I3052" s="6">
        <v>12814</v>
      </c>
      <c r="J3052" s="6">
        <f>VLOOKUP(Table1[[#This Row],[Province]],[1]Sheet1!$A$3:$K$37,9,FALSE)</f>
        <v>2985700</v>
      </c>
      <c r="K3052">
        <v>0</v>
      </c>
      <c r="L3052" s="4">
        <v>1.4300250000000001</v>
      </c>
      <c r="M3052" s="4">
        <v>121.445618</v>
      </c>
      <c r="N3052" s="13">
        <v>8.83</v>
      </c>
      <c r="P3052"/>
      <c r="Q3052" s="12"/>
      <c r="R3052" s="12"/>
    </row>
    <row r="3053" spans="1:18" x14ac:dyDescent="0.2">
      <c r="A3053">
        <v>26</v>
      </c>
      <c r="B3053" t="s">
        <v>28</v>
      </c>
      <c r="C3053">
        <v>2019</v>
      </c>
      <c r="D3053">
        <v>8</v>
      </c>
      <c r="E3053" s="4">
        <v>0</v>
      </c>
      <c r="F3053" s="9">
        <v>0</v>
      </c>
      <c r="G3053" s="6">
        <v>2472</v>
      </c>
      <c r="H3053" s="9">
        <f t="shared" si="47"/>
        <v>0</v>
      </c>
      <c r="I3053" s="6">
        <v>13000</v>
      </c>
      <c r="J3053" s="6">
        <f>VLOOKUP(Table1[[#This Row],[Province]],[1]Sheet1!$A$3:$K$37,9,FALSE)</f>
        <v>2985700</v>
      </c>
      <c r="K3053">
        <v>0</v>
      </c>
      <c r="L3053" s="4">
        <v>1.4300250000000001</v>
      </c>
      <c r="M3053" s="4">
        <v>121.445618</v>
      </c>
      <c r="N3053" s="13">
        <v>8.83</v>
      </c>
      <c r="P3053"/>
      <c r="Q3053" s="12"/>
      <c r="R3053" s="12"/>
    </row>
    <row r="3054" spans="1:18" x14ac:dyDescent="0.2">
      <c r="A3054">
        <v>26</v>
      </c>
      <c r="B3054" t="s">
        <v>28</v>
      </c>
      <c r="C3054">
        <v>2019</v>
      </c>
      <c r="D3054">
        <v>9</v>
      </c>
      <c r="E3054" s="4">
        <v>0</v>
      </c>
      <c r="F3054" s="9">
        <v>0</v>
      </c>
      <c r="G3054" s="6">
        <v>1463</v>
      </c>
      <c r="H3054" s="9">
        <f t="shared" si="47"/>
        <v>0</v>
      </c>
      <c r="I3054" s="6">
        <v>13201</v>
      </c>
      <c r="J3054" s="6">
        <f>VLOOKUP(Table1[[#This Row],[Province]],[1]Sheet1!$A$3:$K$37,9,FALSE)</f>
        <v>2985700</v>
      </c>
      <c r="K3054">
        <v>0</v>
      </c>
      <c r="L3054" s="4">
        <v>1.4300250000000001</v>
      </c>
      <c r="M3054" s="4">
        <v>121.445618</v>
      </c>
      <c r="N3054" s="13">
        <v>8.83</v>
      </c>
      <c r="P3054"/>
      <c r="Q3054" s="12"/>
      <c r="R3054" s="12"/>
    </row>
    <row r="3055" spans="1:18" x14ac:dyDescent="0.2">
      <c r="A3055">
        <v>26</v>
      </c>
      <c r="B3055" t="s">
        <v>28</v>
      </c>
      <c r="C3055">
        <v>2019</v>
      </c>
      <c r="D3055">
        <v>10</v>
      </c>
      <c r="E3055" s="4">
        <v>0</v>
      </c>
      <c r="F3055" s="9">
        <v>0</v>
      </c>
      <c r="G3055" s="6">
        <v>1276</v>
      </c>
      <c r="H3055" s="9">
        <f t="shared" si="47"/>
        <v>0</v>
      </c>
      <c r="I3055" s="6">
        <v>13235</v>
      </c>
      <c r="J3055" s="6">
        <f>VLOOKUP(Table1[[#This Row],[Province]],[1]Sheet1!$A$3:$K$37,9,FALSE)</f>
        <v>2985700</v>
      </c>
      <c r="K3055">
        <v>0</v>
      </c>
      <c r="L3055" s="4">
        <v>1.4300250000000001</v>
      </c>
      <c r="M3055" s="4">
        <v>121.445618</v>
      </c>
      <c r="N3055" s="13">
        <v>8.83</v>
      </c>
      <c r="P3055"/>
      <c r="Q3055" s="12"/>
      <c r="R3055" s="12"/>
    </row>
    <row r="3056" spans="1:18" x14ac:dyDescent="0.2">
      <c r="A3056">
        <v>26</v>
      </c>
      <c r="B3056" t="s">
        <v>28</v>
      </c>
      <c r="C3056">
        <v>2019</v>
      </c>
      <c r="D3056">
        <v>11</v>
      </c>
      <c r="E3056" s="4">
        <v>0</v>
      </c>
      <c r="F3056" s="9">
        <v>0</v>
      </c>
      <c r="G3056" s="6">
        <v>808</v>
      </c>
      <c r="H3056" s="9">
        <f t="shared" si="47"/>
        <v>0</v>
      </c>
      <c r="I3056" s="6">
        <v>13241</v>
      </c>
      <c r="J3056" s="6">
        <f>VLOOKUP(Table1[[#This Row],[Province]],[1]Sheet1!$A$3:$K$37,9,FALSE)</f>
        <v>2985700</v>
      </c>
      <c r="K3056">
        <v>0</v>
      </c>
      <c r="L3056" s="4">
        <v>1.4300250000000001</v>
      </c>
      <c r="M3056" s="4">
        <v>121.445618</v>
      </c>
      <c r="N3056" s="13">
        <v>8.83</v>
      </c>
      <c r="P3056"/>
      <c r="Q3056" s="12"/>
      <c r="R3056" s="12"/>
    </row>
    <row r="3057" spans="1:18" x14ac:dyDescent="0.2">
      <c r="A3057">
        <v>26</v>
      </c>
      <c r="B3057" t="s">
        <v>28</v>
      </c>
      <c r="C3057">
        <v>2019</v>
      </c>
      <c r="D3057">
        <v>12</v>
      </c>
      <c r="E3057" s="4">
        <v>0</v>
      </c>
      <c r="F3057" s="9">
        <v>0</v>
      </c>
      <c r="G3057" s="6">
        <v>251</v>
      </c>
      <c r="H3057" s="9">
        <f t="shared" si="47"/>
        <v>0</v>
      </c>
      <c r="I3057" s="6">
        <v>13241</v>
      </c>
      <c r="J3057" s="6">
        <f>VLOOKUP(Table1[[#This Row],[Province]],[1]Sheet1!$A$3:$K$37,9,FALSE)</f>
        <v>2985700</v>
      </c>
      <c r="K3057">
        <v>1</v>
      </c>
      <c r="L3057" s="4">
        <v>1.4300250000000001</v>
      </c>
      <c r="M3057" s="4">
        <v>121.445618</v>
      </c>
      <c r="N3057" s="13">
        <v>8.83</v>
      </c>
      <c r="P3057"/>
      <c r="Q3057" s="12"/>
      <c r="R3057" s="12"/>
    </row>
    <row r="3058" spans="1:18" x14ac:dyDescent="0.2">
      <c r="A3058">
        <v>26</v>
      </c>
      <c r="B3058" t="s">
        <v>28</v>
      </c>
      <c r="C3058">
        <v>2020</v>
      </c>
      <c r="D3058">
        <v>1</v>
      </c>
      <c r="E3058" s="4">
        <v>0</v>
      </c>
      <c r="F3058" s="9">
        <v>0</v>
      </c>
      <c r="G3058" s="6">
        <v>1627</v>
      </c>
      <c r="H3058" s="9">
        <f t="shared" si="47"/>
        <v>0</v>
      </c>
      <c r="I3058" s="6">
        <v>13409</v>
      </c>
      <c r="J3058" s="6">
        <f>VLOOKUP(Table1[[#This Row],[Province]],[1]Sheet1!$A$3:$K$37,9,FALSE)</f>
        <v>2985700</v>
      </c>
      <c r="K3058">
        <v>0</v>
      </c>
      <c r="L3058" s="4">
        <v>1.4300250000000001</v>
      </c>
      <c r="M3058" s="4">
        <v>121.445618</v>
      </c>
      <c r="N3058" s="13">
        <v>4.8600000000000003</v>
      </c>
      <c r="P3058"/>
      <c r="Q3058" s="12"/>
      <c r="R3058" s="12"/>
    </row>
    <row r="3059" spans="1:18" x14ac:dyDescent="0.2">
      <c r="A3059">
        <v>26</v>
      </c>
      <c r="B3059" t="s">
        <v>28</v>
      </c>
      <c r="C3059">
        <v>2020</v>
      </c>
      <c r="D3059">
        <v>2</v>
      </c>
      <c r="E3059" s="4">
        <v>0</v>
      </c>
      <c r="F3059" s="9">
        <v>0</v>
      </c>
      <c r="G3059" s="6">
        <v>361</v>
      </c>
      <c r="H3059" s="9">
        <f t="shared" si="47"/>
        <v>0</v>
      </c>
      <c r="I3059" s="6">
        <v>14000</v>
      </c>
      <c r="J3059" s="6">
        <f>VLOOKUP(Table1[[#This Row],[Province]],[1]Sheet1!$A$3:$K$37,9,FALSE)</f>
        <v>2985700</v>
      </c>
      <c r="K3059">
        <v>0</v>
      </c>
      <c r="L3059" s="4">
        <v>1.4300250000000001</v>
      </c>
      <c r="M3059" s="4">
        <v>121.445618</v>
      </c>
      <c r="N3059" s="13">
        <v>4.8600000000000003</v>
      </c>
      <c r="P3059"/>
      <c r="Q3059" s="12"/>
      <c r="R3059" s="12"/>
    </row>
    <row r="3060" spans="1:18" x14ac:dyDescent="0.2">
      <c r="A3060">
        <v>26</v>
      </c>
      <c r="B3060" t="s">
        <v>28</v>
      </c>
      <c r="C3060">
        <v>2020</v>
      </c>
      <c r="D3060">
        <v>3</v>
      </c>
      <c r="E3060" s="4">
        <v>0</v>
      </c>
      <c r="F3060" s="9">
        <v>0</v>
      </c>
      <c r="G3060" s="6">
        <v>720</v>
      </c>
      <c r="H3060" s="9">
        <f t="shared" si="47"/>
        <v>0</v>
      </c>
      <c r="I3060" s="6">
        <v>16643</v>
      </c>
      <c r="J3060" s="6">
        <f>VLOOKUP(Table1[[#This Row],[Province]],[1]Sheet1!$A$3:$K$37,9,FALSE)</f>
        <v>2985700</v>
      </c>
      <c r="K3060">
        <v>0</v>
      </c>
      <c r="L3060" s="4">
        <v>1.4300250000000001</v>
      </c>
      <c r="M3060" s="4">
        <v>121.445618</v>
      </c>
      <c r="N3060" s="13">
        <v>4.8600000000000003</v>
      </c>
      <c r="P3060"/>
      <c r="Q3060" s="12"/>
      <c r="R3060" s="12"/>
    </row>
    <row r="3061" spans="1:18" x14ac:dyDescent="0.2">
      <c r="A3061">
        <v>26</v>
      </c>
      <c r="B3061" t="s">
        <v>28</v>
      </c>
      <c r="C3061">
        <v>2020</v>
      </c>
      <c r="D3061">
        <v>4</v>
      </c>
      <c r="E3061" s="4">
        <v>0</v>
      </c>
      <c r="F3061" s="9">
        <v>0</v>
      </c>
      <c r="G3061" s="6">
        <v>2226</v>
      </c>
      <c r="H3061" s="9">
        <f t="shared" si="47"/>
        <v>0</v>
      </c>
      <c r="I3061" s="6">
        <v>19424</v>
      </c>
      <c r="J3061" s="6">
        <f>VLOOKUP(Table1[[#This Row],[Province]],[1]Sheet1!$A$3:$K$37,9,FALSE)</f>
        <v>2985700</v>
      </c>
      <c r="K3061">
        <v>1</v>
      </c>
      <c r="L3061" s="4">
        <v>1.4300250000000001</v>
      </c>
      <c r="M3061" s="4">
        <v>121.445618</v>
      </c>
      <c r="N3061" s="13">
        <v>4.8600000000000003</v>
      </c>
      <c r="P3061"/>
      <c r="Q3061" s="12"/>
      <c r="R3061" s="12"/>
    </row>
    <row r="3062" spans="1:18" x14ac:dyDescent="0.2">
      <c r="A3062">
        <v>26</v>
      </c>
      <c r="B3062" t="s">
        <v>28</v>
      </c>
      <c r="C3062">
        <v>2020</v>
      </c>
      <c r="D3062">
        <v>5</v>
      </c>
      <c r="E3062" s="4">
        <v>0</v>
      </c>
      <c r="F3062" s="9">
        <v>0</v>
      </c>
      <c r="G3062" s="6">
        <v>1169</v>
      </c>
      <c r="H3062" s="9">
        <f t="shared" si="47"/>
        <v>0</v>
      </c>
      <c r="I3062" s="6">
        <v>17389</v>
      </c>
      <c r="J3062" s="6">
        <f>VLOOKUP(Table1[[#This Row],[Province]],[1]Sheet1!$A$3:$K$37,9,FALSE)</f>
        <v>2985700</v>
      </c>
      <c r="K3062">
        <v>0</v>
      </c>
      <c r="L3062" s="4">
        <v>1.4300250000000001</v>
      </c>
      <c r="M3062" s="4">
        <v>121.445618</v>
      </c>
      <c r="N3062" s="13">
        <v>4.8600000000000003</v>
      </c>
      <c r="P3062"/>
      <c r="Q3062" s="12"/>
      <c r="R3062" s="12"/>
    </row>
    <row r="3063" spans="1:18" x14ac:dyDescent="0.2">
      <c r="A3063">
        <v>26</v>
      </c>
      <c r="B3063" t="s">
        <v>28</v>
      </c>
      <c r="C3063">
        <v>2020</v>
      </c>
      <c r="D3063">
        <v>6</v>
      </c>
      <c r="E3063" s="4">
        <v>0</v>
      </c>
      <c r="F3063" s="9">
        <v>0</v>
      </c>
      <c r="G3063" s="6">
        <v>3883</v>
      </c>
      <c r="H3063" s="9">
        <f t="shared" si="47"/>
        <v>0</v>
      </c>
      <c r="I3063" s="6">
        <v>15768</v>
      </c>
      <c r="J3063" s="6">
        <f>VLOOKUP(Table1[[#This Row],[Province]],[1]Sheet1!$A$3:$K$37,9,FALSE)</f>
        <v>2985700</v>
      </c>
      <c r="K3063">
        <v>0</v>
      </c>
      <c r="L3063" s="4">
        <v>1.4300250000000001</v>
      </c>
      <c r="M3063" s="4">
        <v>121.445618</v>
      </c>
      <c r="N3063" s="13">
        <v>4.8600000000000003</v>
      </c>
      <c r="P3063"/>
      <c r="Q3063" s="12"/>
      <c r="R3063" s="12"/>
    </row>
    <row r="3064" spans="1:18" x14ac:dyDescent="0.2">
      <c r="A3064">
        <v>26</v>
      </c>
      <c r="B3064" t="s">
        <v>28</v>
      </c>
      <c r="C3064">
        <v>2020</v>
      </c>
      <c r="D3064">
        <v>7</v>
      </c>
      <c r="E3064" s="4">
        <v>0</v>
      </c>
      <c r="F3064" s="9">
        <v>0</v>
      </c>
      <c r="G3064" s="6">
        <v>2159</v>
      </c>
      <c r="H3064" s="9">
        <f t="shared" si="47"/>
        <v>0</v>
      </c>
      <c r="I3064" s="6">
        <v>13943</v>
      </c>
      <c r="J3064" s="6">
        <f>VLOOKUP(Table1[[#This Row],[Province]],[1]Sheet1!$A$3:$K$37,9,FALSE)</f>
        <v>2985700</v>
      </c>
      <c r="K3064">
        <v>0</v>
      </c>
      <c r="L3064" s="4">
        <v>1.4300250000000001</v>
      </c>
      <c r="M3064" s="4">
        <v>121.445618</v>
      </c>
      <c r="N3064" s="13">
        <v>4.8600000000000003</v>
      </c>
      <c r="P3064"/>
      <c r="Q3064" s="12"/>
      <c r="R3064" s="12"/>
    </row>
    <row r="3065" spans="1:18" x14ac:dyDescent="0.2">
      <c r="A3065">
        <v>26</v>
      </c>
      <c r="B3065" t="s">
        <v>28</v>
      </c>
      <c r="C3065">
        <v>2020</v>
      </c>
      <c r="D3065">
        <v>8</v>
      </c>
      <c r="E3065" s="4">
        <v>0</v>
      </c>
      <c r="F3065" s="9">
        <v>0</v>
      </c>
      <c r="G3065" s="6">
        <v>2989</v>
      </c>
      <c r="H3065" s="9">
        <f t="shared" si="47"/>
        <v>0</v>
      </c>
      <c r="I3065" s="6">
        <v>13500</v>
      </c>
      <c r="J3065" s="6">
        <f>VLOOKUP(Table1[[#This Row],[Province]],[1]Sheet1!$A$3:$K$37,9,FALSE)</f>
        <v>2985700</v>
      </c>
      <c r="K3065">
        <v>0</v>
      </c>
      <c r="L3065" s="4">
        <v>1.4300250000000001</v>
      </c>
      <c r="M3065" s="4">
        <v>121.445618</v>
      </c>
      <c r="N3065" s="13">
        <v>4.8600000000000003</v>
      </c>
      <c r="P3065"/>
      <c r="Q3065" s="12"/>
      <c r="R3065" s="12"/>
    </row>
    <row r="3066" spans="1:18" x14ac:dyDescent="0.2">
      <c r="A3066">
        <v>26</v>
      </c>
      <c r="B3066" t="s">
        <v>28</v>
      </c>
      <c r="C3066">
        <v>2020</v>
      </c>
      <c r="D3066">
        <v>9</v>
      </c>
      <c r="E3066" s="4">
        <v>0</v>
      </c>
      <c r="F3066" s="9">
        <v>0</v>
      </c>
      <c r="G3066" s="6">
        <v>3882</v>
      </c>
      <c r="H3066" s="9">
        <f t="shared" si="47"/>
        <v>0</v>
      </c>
      <c r="I3066" s="6">
        <v>13714</v>
      </c>
      <c r="J3066" s="6">
        <f>VLOOKUP(Table1[[#This Row],[Province]],[1]Sheet1!$A$3:$K$37,9,FALSE)</f>
        <v>2985700</v>
      </c>
      <c r="K3066">
        <v>0</v>
      </c>
      <c r="L3066" s="4">
        <v>1.4300250000000001</v>
      </c>
      <c r="M3066" s="4">
        <v>121.445618</v>
      </c>
      <c r="N3066" s="13">
        <v>4.8600000000000003</v>
      </c>
      <c r="P3066"/>
      <c r="Q3066" s="12"/>
      <c r="R3066" s="12"/>
    </row>
    <row r="3067" spans="1:18" x14ac:dyDescent="0.2">
      <c r="A3067">
        <v>26</v>
      </c>
      <c r="B3067" t="s">
        <v>28</v>
      </c>
      <c r="C3067">
        <v>2020</v>
      </c>
      <c r="D3067">
        <v>10</v>
      </c>
      <c r="E3067" s="4">
        <v>0</v>
      </c>
      <c r="F3067" s="9">
        <v>0</v>
      </c>
      <c r="G3067" s="6">
        <v>3186</v>
      </c>
      <c r="H3067" s="9">
        <f t="shared" si="47"/>
        <v>0</v>
      </c>
      <c r="I3067" s="6">
        <v>13000</v>
      </c>
      <c r="J3067" s="6">
        <f>VLOOKUP(Table1[[#This Row],[Province]],[1]Sheet1!$A$3:$K$37,9,FALSE)</f>
        <v>2985700</v>
      </c>
      <c r="K3067">
        <v>0</v>
      </c>
      <c r="L3067" s="4">
        <v>1.4300250000000001</v>
      </c>
      <c r="M3067" s="4">
        <v>121.445618</v>
      </c>
      <c r="N3067" s="13">
        <v>4.8600000000000003</v>
      </c>
      <c r="P3067"/>
      <c r="Q3067" s="12"/>
      <c r="R3067" s="12"/>
    </row>
    <row r="3068" spans="1:18" x14ac:dyDescent="0.2">
      <c r="A3068">
        <v>26</v>
      </c>
      <c r="B3068" t="s">
        <v>28</v>
      </c>
      <c r="C3068">
        <v>2020</v>
      </c>
      <c r="D3068">
        <v>11</v>
      </c>
      <c r="E3068" s="4">
        <v>0</v>
      </c>
      <c r="F3068" s="9">
        <v>0</v>
      </c>
      <c r="G3068" s="6">
        <v>3515</v>
      </c>
      <c r="H3068" s="9">
        <f t="shared" si="47"/>
        <v>0</v>
      </c>
      <c r="I3068" s="6">
        <v>13000</v>
      </c>
      <c r="J3068" s="6">
        <f>VLOOKUP(Table1[[#This Row],[Province]],[1]Sheet1!$A$3:$K$37,9,FALSE)</f>
        <v>2985700</v>
      </c>
      <c r="K3068">
        <v>0</v>
      </c>
      <c r="L3068" s="4">
        <v>1.4300250000000001</v>
      </c>
      <c r="M3068" s="4">
        <v>121.445618</v>
      </c>
      <c r="N3068" s="13">
        <v>4.8600000000000003</v>
      </c>
      <c r="P3068"/>
      <c r="Q3068" s="12"/>
      <c r="R3068" s="12"/>
    </row>
    <row r="3069" spans="1:18" x14ac:dyDescent="0.2">
      <c r="A3069">
        <v>26</v>
      </c>
      <c r="B3069" t="s">
        <v>28</v>
      </c>
      <c r="C3069">
        <v>2020</v>
      </c>
      <c r="D3069">
        <v>12</v>
      </c>
      <c r="E3069" s="4">
        <v>0</v>
      </c>
      <c r="F3069" s="9">
        <v>0</v>
      </c>
      <c r="G3069" s="6">
        <v>3276</v>
      </c>
      <c r="H3069" s="9">
        <f t="shared" si="47"/>
        <v>0</v>
      </c>
      <c r="I3069" s="6">
        <v>13000</v>
      </c>
      <c r="J3069" s="6">
        <f>VLOOKUP(Table1[[#This Row],[Province]],[1]Sheet1!$A$3:$K$37,9,FALSE)</f>
        <v>2985700</v>
      </c>
      <c r="K3069">
        <v>1</v>
      </c>
      <c r="L3069" s="4">
        <v>1.4300250000000001</v>
      </c>
      <c r="M3069" s="4">
        <v>121.445618</v>
      </c>
      <c r="N3069" s="13">
        <v>4.8600000000000003</v>
      </c>
      <c r="P3069"/>
      <c r="Q3069" s="12"/>
      <c r="R3069" s="12"/>
    </row>
    <row r="3070" spans="1:18" x14ac:dyDescent="0.2">
      <c r="A3070">
        <v>26</v>
      </c>
      <c r="B3070" t="s">
        <v>28</v>
      </c>
      <c r="C3070">
        <v>2021</v>
      </c>
      <c r="D3070">
        <v>1</v>
      </c>
      <c r="E3070" s="4">
        <v>0</v>
      </c>
      <c r="F3070" s="9">
        <v>0</v>
      </c>
      <c r="G3070" s="6">
        <v>3657</v>
      </c>
      <c r="H3070" s="9">
        <f t="shared" si="47"/>
        <v>0</v>
      </c>
      <c r="I3070" s="6">
        <v>13000</v>
      </c>
      <c r="J3070" s="6">
        <f>VLOOKUP(Table1[[#This Row],[Province]],[1]Sheet1!$A$3:$K$37,9,FALSE)</f>
        <v>2985700</v>
      </c>
      <c r="K3070">
        <v>0</v>
      </c>
      <c r="L3070" s="4">
        <v>1.4300250000000001</v>
      </c>
      <c r="M3070" s="4">
        <v>121.445618</v>
      </c>
      <c r="N3070" s="13">
        <v>11.68</v>
      </c>
      <c r="P3070"/>
      <c r="Q3070" s="12"/>
      <c r="R3070" s="12"/>
    </row>
    <row r="3071" spans="1:18" x14ac:dyDescent="0.2">
      <c r="A3071">
        <v>26</v>
      </c>
      <c r="B3071" t="s">
        <v>28</v>
      </c>
      <c r="C3071">
        <v>2021</v>
      </c>
      <c r="D3071">
        <v>2</v>
      </c>
      <c r="E3071" s="4">
        <v>0</v>
      </c>
      <c r="F3071" s="9">
        <v>0</v>
      </c>
      <c r="G3071" s="6">
        <v>2383</v>
      </c>
      <c r="H3071" s="9">
        <f t="shared" si="47"/>
        <v>0</v>
      </c>
      <c r="I3071" s="6">
        <v>13000</v>
      </c>
      <c r="J3071" s="6">
        <f>VLOOKUP(Table1[[#This Row],[Province]],[1]Sheet1!$A$3:$K$37,9,FALSE)</f>
        <v>2985700</v>
      </c>
      <c r="K3071">
        <v>0</v>
      </c>
      <c r="L3071" s="4">
        <v>1.4300250000000001</v>
      </c>
      <c r="M3071" s="4">
        <v>121.445618</v>
      </c>
      <c r="N3071" s="13">
        <v>11.68</v>
      </c>
      <c r="P3071"/>
      <c r="Q3071" s="12"/>
      <c r="R3071" s="12"/>
    </row>
    <row r="3072" spans="1:18" x14ac:dyDescent="0.2">
      <c r="A3072">
        <v>26</v>
      </c>
      <c r="B3072" t="s">
        <v>28</v>
      </c>
      <c r="C3072">
        <v>2021</v>
      </c>
      <c r="D3072">
        <v>3</v>
      </c>
      <c r="E3072" s="4">
        <v>0</v>
      </c>
      <c r="F3072" s="9">
        <v>0</v>
      </c>
      <c r="G3072" s="6">
        <v>3314</v>
      </c>
      <c r="H3072" s="9">
        <f t="shared" si="47"/>
        <v>0</v>
      </c>
      <c r="I3072" s="6">
        <v>13000</v>
      </c>
      <c r="J3072" s="6">
        <f>VLOOKUP(Table1[[#This Row],[Province]],[1]Sheet1!$A$3:$K$37,9,FALSE)</f>
        <v>2985700</v>
      </c>
      <c r="K3072">
        <v>0</v>
      </c>
      <c r="L3072" s="4">
        <v>1.4300250000000001</v>
      </c>
      <c r="M3072" s="4">
        <v>121.445618</v>
      </c>
      <c r="N3072" s="13">
        <v>11.68</v>
      </c>
      <c r="P3072"/>
      <c r="Q3072" s="12"/>
      <c r="R3072" s="12"/>
    </row>
    <row r="3073" spans="1:18" x14ac:dyDescent="0.2">
      <c r="A3073">
        <v>26</v>
      </c>
      <c r="B3073" t="s">
        <v>28</v>
      </c>
      <c r="C3073">
        <v>2021</v>
      </c>
      <c r="D3073">
        <v>4</v>
      </c>
      <c r="E3073" s="4">
        <v>0</v>
      </c>
      <c r="F3073" s="9">
        <v>0</v>
      </c>
      <c r="G3073" s="6">
        <v>2662</v>
      </c>
      <c r="H3073" s="9">
        <f t="shared" si="47"/>
        <v>0</v>
      </c>
      <c r="I3073" s="6">
        <v>13000</v>
      </c>
      <c r="J3073" s="6">
        <f>VLOOKUP(Table1[[#This Row],[Province]],[1]Sheet1!$A$3:$K$37,9,FALSE)</f>
        <v>2985700</v>
      </c>
      <c r="K3073">
        <v>1</v>
      </c>
      <c r="L3073" s="4">
        <v>1.4300250000000001</v>
      </c>
      <c r="M3073" s="4">
        <v>121.445618</v>
      </c>
      <c r="N3073" s="13">
        <v>11.68</v>
      </c>
      <c r="P3073"/>
      <c r="Q3073" s="12"/>
      <c r="R3073" s="12"/>
    </row>
    <row r="3074" spans="1:18" x14ac:dyDescent="0.2">
      <c r="A3074">
        <v>26</v>
      </c>
      <c r="B3074" t="s">
        <v>28</v>
      </c>
      <c r="C3074">
        <v>2021</v>
      </c>
      <c r="D3074">
        <v>5</v>
      </c>
      <c r="E3074" s="4">
        <v>0</v>
      </c>
      <c r="F3074" s="9">
        <v>0</v>
      </c>
      <c r="G3074" s="6">
        <v>3125</v>
      </c>
      <c r="H3074" s="9">
        <f t="shared" ref="H3074:H3137" si="48">F3074+E3074</f>
        <v>0</v>
      </c>
      <c r="I3074" s="6">
        <v>13000</v>
      </c>
      <c r="J3074" s="6">
        <f>VLOOKUP(Table1[[#This Row],[Province]],[1]Sheet1!$A$3:$K$37,9,FALSE)</f>
        <v>2985700</v>
      </c>
      <c r="K3074">
        <v>0</v>
      </c>
      <c r="L3074" s="4">
        <v>1.4300250000000001</v>
      </c>
      <c r="M3074" s="4">
        <v>121.445618</v>
      </c>
      <c r="N3074" s="13">
        <v>11.68</v>
      </c>
      <c r="P3074"/>
      <c r="Q3074" s="12"/>
      <c r="R3074" s="12"/>
    </row>
    <row r="3075" spans="1:18" x14ac:dyDescent="0.2">
      <c r="A3075">
        <v>26</v>
      </c>
      <c r="B3075" t="s">
        <v>28</v>
      </c>
      <c r="C3075">
        <v>2021</v>
      </c>
      <c r="D3075">
        <v>6</v>
      </c>
      <c r="E3075" s="4">
        <v>0</v>
      </c>
      <c r="F3075" s="9">
        <v>0</v>
      </c>
      <c r="G3075" s="6">
        <v>2544</v>
      </c>
      <c r="H3075" s="9">
        <f t="shared" si="48"/>
        <v>0</v>
      </c>
      <c r="I3075" s="6">
        <v>13000</v>
      </c>
      <c r="J3075" s="6">
        <f>VLOOKUP(Table1[[#This Row],[Province]],[1]Sheet1!$A$3:$K$37,9,FALSE)</f>
        <v>2985700</v>
      </c>
      <c r="K3075">
        <v>0</v>
      </c>
      <c r="L3075" s="4">
        <v>1.4300250000000001</v>
      </c>
      <c r="M3075" s="4">
        <v>121.445618</v>
      </c>
      <c r="N3075" s="13">
        <v>11.68</v>
      </c>
      <c r="P3075"/>
      <c r="Q3075" s="12"/>
      <c r="R3075" s="12"/>
    </row>
    <row r="3076" spans="1:18" x14ac:dyDescent="0.2">
      <c r="A3076">
        <v>26</v>
      </c>
      <c r="B3076" t="s">
        <v>28</v>
      </c>
      <c r="C3076">
        <v>2021</v>
      </c>
      <c r="D3076">
        <v>7</v>
      </c>
      <c r="E3076" s="4">
        <v>0</v>
      </c>
      <c r="F3076" s="9">
        <v>0</v>
      </c>
      <c r="G3076" s="6">
        <v>2596</v>
      </c>
      <c r="H3076" s="9">
        <f t="shared" si="48"/>
        <v>0</v>
      </c>
      <c r="I3076" s="6">
        <v>12950</v>
      </c>
      <c r="J3076" s="6">
        <f>VLOOKUP(Table1[[#This Row],[Province]],[1]Sheet1!$A$3:$K$37,9,FALSE)</f>
        <v>2985700</v>
      </c>
      <c r="K3076">
        <v>0</v>
      </c>
      <c r="L3076" s="4">
        <v>1.4300250000000001</v>
      </c>
      <c r="M3076" s="4">
        <v>121.445618</v>
      </c>
      <c r="N3076" s="13">
        <v>11.68</v>
      </c>
      <c r="P3076"/>
      <c r="Q3076" s="12"/>
      <c r="R3076" s="12"/>
    </row>
    <row r="3077" spans="1:18" x14ac:dyDescent="0.2">
      <c r="A3077">
        <v>26</v>
      </c>
      <c r="B3077" t="s">
        <v>28</v>
      </c>
      <c r="C3077">
        <v>2021</v>
      </c>
      <c r="D3077">
        <v>8</v>
      </c>
      <c r="E3077" s="4">
        <v>0</v>
      </c>
      <c r="F3077" s="9">
        <v>0</v>
      </c>
      <c r="G3077" s="6">
        <v>3004</v>
      </c>
      <c r="H3077" s="9">
        <f t="shared" si="48"/>
        <v>0</v>
      </c>
      <c r="I3077" s="6">
        <v>12900</v>
      </c>
      <c r="J3077" s="6">
        <f>VLOOKUP(Table1[[#This Row],[Province]],[1]Sheet1!$A$3:$K$37,9,FALSE)</f>
        <v>2985700</v>
      </c>
      <c r="K3077">
        <v>0</v>
      </c>
      <c r="L3077" s="4">
        <v>1.4300250000000001</v>
      </c>
      <c r="M3077" s="4">
        <v>121.445618</v>
      </c>
      <c r="N3077" s="13">
        <v>11.68</v>
      </c>
      <c r="P3077"/>
      <c r="Q3077" s="12"/>
      <c r="R3077" s="12"/>
    </row>
    <row r="3078" spans="1:18" x14ac:dyDescent="0.2">
      <c r="A3078">
        <v>26</v>
      </c>
      <c r="B3078" t="s">
        <v>28</v>
      </c>
      <c r="C3078">
        <v>2021</v>
      </c>
      <c r="D3078">
        <v>9</v>
      </c>
      <c r="E3078" s="4">
        <v>0</v>
      </c>
      <c r="F3078" s="9">
        <v>0</v>
      </c>
      <c r="G3078" s="6">
        <v>2850</v>
      </c>
      <c r="H3078" s="9">
        <f t="shared" si="48"/>
        <v>0</v>
      </c>
      <c r="I3078" s="6">
        <v>12893</v>
      </c>
      <c r="J3078" s="6">
        <f>VLOOKUP(Table1[[#This Row],[Province]],[1]Sheet1!$A$3:$K$37,9,FALSE)</f>
        <v>2985700</v>
      </c>
      <c r="K3078">
        <v>0</v>
      </c>
      <c r="L3078" s="4">
        <v>1.4300250000000001</v>
      </c>
      <c r="M3078" s="4">
        <v>121.445618</v>
      </c>
      <c r="N3078" s="13">
        <v>11.68</v>
      </c>
      <c r="P3078"/>
      <c r="Q3078" s="12"/>
      <c r="R3078" s="12"/>
    </row>
    <row r="3079" spans="1:18" x14ac:dyDescent="0.2">
      <c r="A3079">
        <v>26</v>
      </c>
      <c r="B3079" t="s">
        <v>28</v>
      </c>
      <c r="C3079">
        <v>2021</v>
      </c>
      <c r="D3079">
        <v>10</v>
      </c>
      <c r="E3079" s="4">
        <v>0</v>
      </c>
      <c r="F3079" s="9">
        <v>0</v>
      </c>
      <c r="G3079" s="6">
        <v>4509</v>
      </c>
      <c r="H3079" s="9">
        <f t="shared" si="48"/>
        <v>0</v>
      </c>
      <c r="I3079" s="6">
        <v>12900</v>
      </c>
      <c r="J3079" s="6">
        <f>VLOOKUP(Table1[[#This Row],[Province]],[1]Sheet1!$A$3:$K$37,9,FALSE)</f>
        <v>2985700</v>
      </c>
      <c r="K3079">
        <v>0</v>
      </c>
      <c r="L3079" s="4">
        <v>1.4300250000000001</v>
      </c>
      <c r="M3079" s="4">
        <v>121.445618</v>
      </c>
      <c r="N3079" s="13">
        <v>11.68</v>
      </c>
      <c r="P3079"/>
      <c r="Q3079" s="12"/>
      <c r="R3079" s="12"/>
    </row>
    <row r="3080" spans="1:18" x14ac:dyDescent="0.2">
      <c r="A3080">
        <v>26</v>
      </c>
      <c r="B3080" t="s">
        <v>28</v>
      </c>
      <c r="C3080">
        <v>2021</v>
      </c>
      <c r="D3080">
        <v>11</v>
      </c>
      <c r="E3080" s="4">
        <v>0</v>
      </c>
      <c r="F3080" s="9">
        <v>0</v>
      </c>
      <c r="G3080" s="6">
        <v>1824</v>
      </c>
      <c r="H3080" s="9">
        <f t="shared" si="48"/>
        <v>0</v>
      </c>
      <c r="I3080" s="6">
        <v>12900</v>
      </c>
      <c r="J3080" s="6">
        <f>VLOOKUP(Table1[[#This Row],[Province]],[1]Sheet1!$A$3:$K$37,9,FALSE)</f>
        <v>2985700</v>
      </c>
      <c r="K3080">
        <v>0</v>
      </c>
      <c r="L3080" s="4">
        <v>1.4300250000000001</v>
      </c>
      <c r="M3080" s="4">
        <v>121.445618</v>
      </c>
      <c r="N3080" s="13">
        <v>11.68</v>
      </c>
      <c r="P3080"/>
      <c r="Q3080" s="12"/>
      <c r="R3080" s="12"/>
    </row>
    <row r="3081" spans="1:18" x14ac:dyDescent="0.2">
      <c r="A3081">
        <v>26</v>
      </c>
      <c r="B3081" t="s">
        <v>28</v>
      </c>
      <c r="C3081">
        <v>2021</v>
      </c>
      <c r="D3081">
        <v>12</v>
      </c>
      <c r="E3081" s="4">
        <v>0</v>
      </c>
      <c r="F3081" s="9">
        <v>0</v>
      </c>
      <c r="G3081" s="6">
        <v>2731</v>
      </c>
      <c r="H3081" s="9">
        <f t="shared" si="48"/>
        <v>0</v>
      </c>
      <c r="I3081" s="6">
        <v>12950</v>
      </c>
      <c r="J3081" s="6">
        <f>VLOOKUP(Table1[[#This Row],[Province]],[1]Sheet1!$A$3:$K$37,9,FALSE)</f>
        <v>2985700</v>
      </c>
      <c r="K3081">
        <v>1</v>
      </c>
      <c r="L3081" s="4">
        <v>1.4300250000000001</v>
      </c>
      <c r="M3081" s="4">
        <v>121.445618</v>
      </c>
      <c r="N3081" s="13">
        <v>11.68</v>
      </c>
      <c r="P3081"/>
      <c r="Q3081" s="12"/>
      <c r="R3081" s="12"/>
    </row>
    <row r="3082" spans="1:18" x14ac:dyDescent="0.2">
      <c r="A3082">
        <v>26</v>
      </c>
      <c r="B3082" t="s">
        <v>28</v>
      </c>
      <c r="C3082">
        <v>2022</v>
      </c>
      <c r="D3082">
        <v>1</v>
      </c>
      <c r="E3082" s="6">
        <v>0</v>
      </c>
      <c r="F3082" s="9">
        <v>0</v>
      </c>
      <c r="G3082" s="6">
        <v>3180</v>
      </c>
      <c r="H3082" s="9">
        <f t="shared" si="48"/>
        <v>0</v>
      </c>
      <c r="I3082" s="6">
        <v>14000</v>
      </c>
      <c r="J3082" s="6">
        <f>VLOOKUP(Table1[[#This Row],[Province]],[1]Sheet1!$A$3:$K$37,9,FALSE)</f>
        <v>2985700</v>
      </c>
      <c r="K3082">
        <v>0</v>
      </c>
      <c r="L3082" s="4">
        <v>1.4300250000000001</v>
      </c>
      <c r="M3082" s="4">
        <v>121.445618</v>
      </c>
      <c r="N3082" s="13">
        <v>15.22</v>
      </c>
      <c r="P3082"/>
      <c r="Q3082" s="12"/>
      <c r="R3082" s="12"/>
    </row>
    <row r="3083" spans="1:18" x14ac:dyDescent="0.2">
      <c r="A3083">
        <v>26</v>
      </c>
      <c r="B3083" t="s">
        <v>28</v>
      </c>
      <c r="C3083">
        <v>2022</v>
      </c>
      <c r="D3083">
        <v>2</v>
      </c>
      <c r="E3083" s="6">
        <v>0</v>
      </c>
      <c r="F3083" s="9">
        <v>0</v>
      </c>
      <c r="G3083" s="6">
        <v>2784</v>
      </c>
      <c r="H3083" s="9">
        <f t="shared" si="48"/>
        <v>0</v>
      </c>
      <c r="I3083" s="6">
        <v>15000</v>
      </c>
      <c r="J3083" s="6">
        <f>VLOOKUP(Table1[[#This Row],[Province]],[1]Sheet1!$A$3:$K$37,9,FALSE)</f>
        <v>2985700</v>
      </c>
      <c r="K3083">
        <v>0</v>
      </c>
      <c r="L3083" s="4">
        <v>1.4300250000000001</v>
      </c>
      <c r="M3083" s="4">
        <v>121.445618</v>
      </c>
      <c r="N3083" s="13">
        <v>15.22</v>
      </c>
      <c r="P3083"/>
      <c r="Q3083" s="12"/>
      <c r="R3083" s="12"/>
    </row>
    <row r="3084" spans="1:18" x14ac:dyDescent="0.2">
      <c r="A3084">
        <v>26</v>
      </c>
      <c r="B3084" t="s">
        <v>28</v>
      </c>
      <c r="C3084">
        <v>2022</v>
      </c>
      <c r="D3084">
        <v>3</v>
      </c>
      <c r="E3084" s="6">
        <v>0</v>
      </c>
      <c r="F3084" s="9">
        <v>0</v>
      </c>
      <c r="G3084" s="6">
        <v>3616</v>
      </c>
      <c r="H3084" s="9">
        <f t="shared" si="48"/>
        <v>0</v>
      </c>
      <c r="I3084" s="6">
        <v>15045</v>
      </c>
      <c r="J3084" s="6">
        <f>VLOOKUP(Table1[[#This Row],[Province]],[1]Sheet1!$A$3:$K$37,9,FALSE)</f>
        <v>2985700</v>
      </c>
      <c r="K3084">
        <v>0</v>
      </c>
      <c r="L3084" s="4">
        <v>1.4300250000000001</v>
      </c>
      <c r="M3084" s="4">
        <v>121.445618</v>
      </c>
      <c r="N3084" s="13">
        <v>15.22</v>
      </c>
      <c r="P3084"/>
      <c r="Q3084" s="12"/>
      <c r="R3084" s="12"/>
    </row>
    <row r="3085" spans="1:18" x14ac:dyDescent="0.2">
      <c r="A3085">
        <v>26</v>
      </c>
      <c r="B3085" t="s">
        <v>28</v>
      </c>
      <c r="C3085">
        <v>2022</v>
      </c>
      <c r="D3085">
        <v>4</v>
      </c>
      <c r="E3085" s="6">
        <v>0</v>
      </c>
      <c r="F3085" s="9">
        <v>0</v>
      </c>
      <c r="G3085" s="6">
        <v>3817</v>
      </c>
      <c r="H3085" s="9">
        <f t="shared" si="48"/>
        <v>0</v>
      </c>
      <c r="I3085" s="6">
        <v>15316</v>
      </c>
      <c r="J3085" s="6">
        <f>VLOOKUP(Table1[[#This Row],[Province]],[1]Sheet1!$A$3:$K$37,9,FALSE)</f>
        <v>2985700</v>
      </c>
      <c r="K3085">
        <v>1</v>
      </c>
      <c r="L3085" s="4">
        <v>1.4300250000000001</v>
      </c>
      <c r="M3085" s="4">
        <v>121.445618</v>
      </c>
      <c r="N3085" s="13">
        <v>15.22</v>
      </c>
      <c r="P3085"/>
      <c r="Q3085" s="12"/>
      <c r="R3085" s="12"/>
    </row>
    <row r="3086" spans="1:18" x14ac:dyDescent="0.2">
      <c r="A3086">
        <v>26</v>
      </c>
      <c r="B3086" t="s">
        <v>28</v>
      </c>
      <c r="C3086">
        <v>2022</v>
      </c>
      <c r="D3086">
        <v>5</v>
      </c>
      <c r="E3086" s="6">
        <v>0</v>
      </c>
      <c r="F3086" s="9">
        <v>0</v>
      </c>
      <c r="G3086" s="6">
        <v>2462</v>
      </c>
      <c r="H3086" s="9">
        <f t="shared" si="48"/>
        <v>0</v>
      </c>
      <c r="I3086" s="6">
        <v>16400</v>
      </c>
      <c r="J3086" s="6">
        <f>VLOOKUP(Table1[[#This Row],[Province]],[1]Sheet1!$A$3:$K$37,9,FALSE)</f>
        <v>2985700</v>
      </c>
      <c r="K3086">
        <v>0</v>
      </c>
      <c r="L3086" s="4">
        <v>1.4300250000000001</v>
      </c>
      <c r="M3086" s="4">
        <v>121.445618</v>
      </c>
      <c r="N3086" s="13">
        <v>15.22</v>
      </c>
      <c r="P3086"/>
      <c r="Q3086" s="12"/>
      <c r="R3086" s="12"/>
    </row>
    <row r="3087" spans="1:18" x14ac:dyDescent="0.2">
      <c r="A3087">
        <v>26</v>
      </c>
      <c r="B3087" t="s">
        <v>28</v>
      </c>
      <c r="C3087">
        <v>2022</v>
      </c>
      <c r="D3087">
        <v>5</v>
      </c>
      <c r="E3087" s="6">
        <v>0</v>
      </c>
      <c r="F3087" s="9">
        <v>0</v>
      </c>
      <c r="G3087" s="6">
        <v>1848</v>
      </c>
      <c r="H3087" s="9">
        <f t="shared" si="48"/>
        <v>0</v>
      </c>
      <c r="I3087" s="6">
        <v>15500</v>
      </c>
      <c r="J3087" s="6">
        <f>VLOOKUP(Table1[[#This Row],[Province]],[1]Sheet1!$A$3:$K$37,9,FALSE)</f>
        <v>2985700</v>
      </c>
      <c r="K3087">
        <v>0</v>
      </c>
      <c r="L3087" s="4">
        <v>1.4300250000000001</v>
      </c>
      <c r="M3087" s="4">
        <v>121.445618</v>
      </c>
      <c r="N3087" s="13">
        <v>15.22</v>
      </c>
      <c r="P3087"/>
      <c r="Q3087" s="12"/>
      <c r="R3087" s="12"/>
    </row>
    <row r="3088" spans="1:18" x14ac:dyDescent="0.2">
      <c r="A3088">
        <v>26</v>
      </c>
      <c r="B3088" t="s">
        <v>28</v>
      </c>
      <c r="C3088">
        <v>2022</v>
      </c>
      <c r="D3088">
        <v>6</v>
      </c>
      <c r="E3088" s="6">
        <v>0</v>
      </c>
      <c r="F3088" s="9">
        <v>0</v>
      </c>
      <c r="G3088" s="6">
        <v>2173</v>
      </c>
      <c r="H3088" s="9">
        <f t="shared" si="48"/>
        <v>0</v>
      </c>
      <c r="I3088" s="6">
        <v>15500</v>
      </c>
      <c r="J3088" s="6">
        <f>VLOOKUP(Table1[[#This Row],[Province]],[1]Sheet1!$A$3:$K$37,9,FALSE)</f>
        <v>2985700</v>
      </c>
      <c r="K3088">
        <v>0</v>
      </c>
      <c r="L3088" s="4">
        <v>1.4300250000000001</v>
      </c>
      <c r="M3088" s="4">
        <v>121.445618</v>
      </c>
      <c r="N3088" s="13">
        <v>15.22</v>
      </c>
      <c r="P3088"/>
      <c r="Q3088" s="12"/>
      <c r="R3088" s="12"/>
    </row>
    <row r="3089" spans="1:18" x14ac:dyDescent="0.2">
      <c r="A3089">
        <v>26</v>
      </c>
      <c r="B3089" t="s">
        <v>28</v>
      </c>
      <c r="C3089">
        <v>2022</v>
      </c>
      <c r="D3089">
        <v>7</v>
      </c>
      <c r="E3089" s="6">
        <v>0</v>
      </c>
      <c r="F3089" s="9">
        <v>0</v>
      </c>
      <c r="G3089" s="6">
        <v>3039</v>
      </c>
      <c r="H3089" s="9">
        <f t="shared" si="48"/>
        <v>0</v>
      </c>
      <c r="I3089" s="6">
        <v>15321</v>
      </c>
      <c r="J3089" s="6">
        <f>VLOOKUP(Table1[[#This Row],[Province]],[1]Sheet1!$A$3:$K$37,9,FALSE)</f>
        <v>2985700</v>
      </c>
      <c r="K3089">
        <v>0</v>
      </c>
      <c r="L3089" s="4">
        <v>1.4300250000000001</v>
      </c>
      <c r="M3089" s="4">
        <v>121.445618</v>
      </c>
      <c r="N3089" s="13">
        <v>15.22</v>
      </c>
      <c r="P3089"/>
      <c r="Q3089" s="12"/>
      <c r="R3089" s="12"/>
    </row>
    <row r="3090" spans="1:18" x14ac:dyDescent="0.2">
      <c r="A3090">
        <v>26</v>
      </c>
      <c r="B3090" t="s">
        <v>28</v>
      </c>
      <c r="C3090">
        <v>2022</v>
      </c>
      <c r="D3090">
        <v>8</v>
      </c>
      <c r="E3090" s="6">
        <v>0</v>
      </c>
      <c r="F3090" s="9">
        <v>0</v>
      </c>
      <c r="G3090" s="6">
        <v>2688</v>
      </c>
      <c r="H3090" s="9">
        <f t="shared" si="48"/>
        <v>0</v>
      </c>
      <c r="I3090" s="6">
        <v>15045</v>
      </c>
      <c r="J3090" s="6">
        <f>VLOOKUP(Table1[[#This Row],[Province]],[1]Sheet1!$A$3:$K$37,9,FALSE)</f>
        <v>2985700</v>
      </c>
      <c r="K3090">
        <v>0</v>
      </c>
      <c r="L3090" s="4">
        <v>1.4300250000000001</v>
      </c>
      <c r="M3090" s="4">
        <v>121.445618</v>
      </c>
      <c r="N3090" s="13">
        <v>15.22</v>
      </c>
      <c r="P3090"/>
      <c r="Q3090" s="12"/>
      <c r="R3090" s="12"/>
    </row>
    <row r="3091" spans="1:18" x14ac:dyDescent="0.2">
      <c r="A3091">
        <v>26</v>
      </c>
      <c r="B3091" t="s">
        <v>28</v>
      </c>
      <c r="C3091">
        <v>2022</v>
      </c>
      <c r="D3091">
        <v>9</v>
      </c>
      <c r="E3091" s="6">
        <v>0</v>
      </c>
      <c r="F3091" s="9">
        <v>0</v>
      </c>
      <c r="G3091" s="6">
        <v>1678</v>
      </c>
      <c r="H3091" s="9">
        <f t="shared" si="48"/>
        <v>0</v>
      </c>
      <c r="I3091" s="6">
        <v>14326</v>
      </c>
      <c r="J3091" s="6">
        <f>VLOOKUP(Table1[[#This Row],[Province]],[1]Sheet1!$A$3:$K$37,9,FALSE)</f>
        <v>2985700</v>
      </c>
      <c r="K3091">
        <v>0</v>
      </c>
      <c r="L3091" s="4">
        <v>1.4300250000000001</v>
      </c>
      <c r="M3091" s="4">
        <v>121.445618</v>
      </c>
      <c r="N3091" s="13">
        <v>15.22</v>
      </c>
      <c r="P3091"/>
      <c r="Q3091" s="12"/>
      <c r="R3091" s="12"/>
    </row>
    <row r="3092" spans="1:18" x14ac:dyDescent="0.2">
      <c r="A3092">
        <v>26</v>
      </c>
      <c r="B3092" t="s">
        <v>28</v>
      </c>
      <c r="C3092">
        <v>2022</v>
      </c>
      <c r="D3092">
        <v>10</v>
      </c>
      <c r="E3092" s="6">
        <v>0</v>
      </c>
      <c r="F3092" s="9">
        <v>0</v>
      </c>
      <c r="G3092" s="6">
        <v>1945</v>
      </c>
      <c r="H3092" s="9">
        <f t="shared" si="48"/>
        <v>0</v>
      </c>
      <c r="I3092" s="6">
        <v>14000</v>
      </c>
      <c r="J3092" s="6">
        <f>VLOOKUP(Table1[[#This Row],[Province]],[1]Sheet1!$A$3:$K$37,9,FALSE)</f>
        <v>2985700</v>
      </c>
      <c r="K3092">
        <v>0</v>
      </c>
      <c r="L3092" s="4">
        <v>1.4300250000000001</v>
      </c>
      <c r="M3092" s="4">
        <v>121.445618</v>
      </c>
      <c r="N3092" s="13">
        <v>15.22</v>
      </c>
      <c r="P3092"/>
      <c r="Q3092" s="12"/>
      <c r="R3092" s="12"/>
    </row>
    <row r="3093" spans="1:18" x14ac:dyDescent="0.2">
      <c r="A3093">
        <v>26</v>
      </c>
      <c r="B3093" t="s">
        <v>28</v>
      </c>
      <c r="C3093">
        <v>2022</v>
      </c>
      <c r="D3093">
        <v>11</v>
      </c>
      <c r="E3093" s="6">
        <v>0</v>
      </c>
      <c r="F3093" s="9">
        <v>0</v>
      </c>
      <c r="G3093" s="6">
        <v>1583</v>
      </c>
      <c r="H3093" s="9">
        <f t="shared" si="48"/>
        <v>0</v>
      </c>
      <c r="I3093" s="6">
        <v>14500</v>
      </c>
      <c r="J3093" s="6">
        <f>VLOOKUP(Table1[[#This Row],[Province]],[1]Sheet1!$A$3:$K$37,9,FALSE)</f>
        <v>2985700</v>
      </c>
      <c r="K3093">
        <v>0</v>
      </c>
      <c r="L3093" s="4">
        <v>1.4300250000000001</v>
      </c>
      <c r="M3093" s="4">
        <v>121.445618</v>
      </c>
      <c r="N3093" s="13">
        <v>15.22</v>
      </c>
      <c r="P3093"/>
      <c r="Q3093" s="12"/>
      <c r="R3093" s="12"/>
    </row>
    <row r="3094" spans="1:18" x14ac:dyDescent="0.2">
      <c r="A3094">
        <v>27</v>
      </c>
      <c r="B3094" t="s">
        <v>27</v>
      </c>
      <c r="C3094">
        <v>2013</v>
      </c>
      <c r="D3094">
        <v>1</v>
      </c>
      <c r="E3094" s="4">
        <v>0</v>
      </c>
      <c r="F3094" s="9">
        <v>0</v>
      </c>
      <c r="G3094" s="6">
        <v>5662</v>
      </c>
      <c r="H3094" s="9">
        <f t="shared" si="48"/>
        <v>0</v>
      </c>
      <c r="I3094" s="6">
        <v>12500</v>
      </c>
      <c r="J3094" s="6">
        <f>VLOOKUP(Table1[[#This Row],[Province]],[1]Sheet1!$A$3:$K$37,9,FALSE)</f>
        <v>9073500</v>
      </c>
      <c r="K3094">
        <v>0</v>
      </c>
      <c r="L3094" s="4">
        <v>3.6687989999999999</v>
      </c>
      <c r="M3094" s="4">
        <v>119.974053</v>
      </c>
      <c r="N3094" s="6"/>
      <c r="P3094"/>
      <c r="Q3094" s="12"/>
      <c r="R3094" s="12"/>
    </row>
    <row r="3095" spans="1:18" x14ac:dyDescent="0.2">
      <c r="A3095">
        <v>27</v>
      </c>
      <c r="B3095" t="s">
        <v>27</v>
      </c>
      <c r="C3095">
        <v>2013</v>
      </c>
      <c r="D3095">
        <v>2</v>
      </c>
      <c r="E3095" s="4">
        <v>0</v>
      </c>
      <c r="F3095" s="9">
        <v>0</v>
      </c>
      <c r="G3095" s="6">
        <v>5427</v>
      </c>
      <c r="H3095" s="9">
        <f t="shared" si="48"/>
        <v>0</v>
      </c>
      <c r="I3095" s="6">
        <v>12400</v>
      </c>
      <c r="J3095" s="6">
        <f>VLOOKUP(Table1[[#This Row],[Province]],[1]Sheet1!$A$3:$K$37,9,FALSE)</f>
        <v>9073500</v>
      </c>
      <c r="K3095">
        <v>0</v>
      </c>
      <c r="L3095" s="4">
        <v>3.6687989999999999</v>
      </c>
      <c r="M3095" s="4">
        <v>119.974053</v>
      </c>
      <c r="N3095" s="6"/>
      <c r="P3095"/>
      <c r="Q3095" s="12"/>
      <c r="R3095" s="12"/>
    </row>
    <row r="3096" spans="1:18" x14ac:dyDescent="0.2">
      <c r="A3096">
        <v>27</v>
      </c>
      <c r="B3096" t="s">
        <v>27</v>
      </c>
      <c r="C3096">
        <v>2013</v>
      </c>
      <c r="D3096">
        <v>3</v>
      </c>
      <c r="E3096" s="4">
        <v>0</v>
      </c>
      <c r="F3096" s="9">
        <v>0</v>
      </c>
      <c r="G3096" s="6">
        <v>5595</v>
      </c>
      <c r="H3096" s="9">
        <f t="shared" si="48"/>
        <v>0</v>
      </c>
      <c r="I3096" s="6">
        <v>12000</v>
      </c>
      <c r="J3096" s="6">
        <f>VLOOKUP(Table1[[#This Row],[Province]],[1]Sheet1!$A$3:$K$37,9,FALSE)</f>
        <v>9073500</v>
      </c>
      <c r="K3096">
        <v>0</v>
      </c>
      <c r="L3096" s="4">
        <v>3.6687989999999999</v>
      </c>
      <c r="M3096" s="4">
        <v>119.974053</v>
      </c>
      <c r="N3096" s="6"/>
      <c r="P3096"/>
      <c r="Q3096" s="12"/>
      <c r="R3096" s="12"/>
    </row>
    <row r="3097" spans="1:18" x14ac:dyDescent="0.2">
      <c r="A3097">
        <v>27</v>
      </c>
      <c r="B3097" t="s">
        <v>27</v>
      </c>
      <c r="C3097">
        <v>2013</v>
      </c>
      <c r="D3097">
        <v>4</v>
      </c>
      <c r="E3097" s="4">
        <v>0</v>
      </c>
      <c r="F3097" s="9">
        <v>0</v>
      </c>
      <c r="G3097" s="6">
        <v>7270</v>
      </c>
      <c r="H3097" s="9">
        <f t="shared" si="48"/>
        <v>0</v>
      </c>
      <c r="I3097" s="6">
        <v>12591</v>
      </c>
      <c r="J3097" s="6">
        <f>VLOOKUP(Table1[[#This Row],[Province]],[1]Sheet1!$A$3:$K$37,9,FALSE)</f>
        <v>9073500</v>
      </c>
      <c r="K3097">
        <v>0</v>
      </c>
      <c r="L3097" s="4">
        <v>3.6687989999999999</v>
      </c>
      <c r="M3097" s="4">
        <v>119.974053</v>
      </c>
      <c r="N3097" s="6"/>
      <c r="P3097"/>
      <c r="Q3097" s="12"/>
      <c r="R3097" s="12"/>
    </row>
    <row r="3098" spans="1:18" x14ac:dyDescent="0.2">
      <c r="A3098">
        <v>27</v>
      </c>
      <c r="B3098" t="s">
        <v>27</v>
      </c>
      <c r="C3098">
        <v>2013</v>
      </c>
      <c r="D3098">
        <v>5</v>
      </c>
      <c r="E3098" s="4">
        <v>0</v>
      </c>
      <c r="F3098" s="9">
        <v>0</v>
      </c>
      <c r="G3098" s="6">
        <v>8811</v>
      </c>
      <c r="H3098" s="9">
        <f t="shared" si="48"/>
        <v>0</v>
      </c>
      <c r="I3098" s="6">
        <v>12955</v>
      </c>
      <c r="J3098" s="6">
        <f>VLOOKUP(Table1[[#This Row],[Province]],[1]Sheet1!$A$3:$K$37,9,FALSE)</f>
        <v>9073500</v>
      </c>
      <c r="K3098">
        <v>0</v>
      </c>
      <c r="L3098" s="4">
        <v>3.6687989999999999</v>
      </c>
      <c r="M3098" s="4">
        <v>119.974053</v>
      </c>
      <c r="N3098" s="6"/>
      <c r="P3098"/>
      <c r="Q3098" s="12"/>
      <c r="R3098" s="12"/>
    </row>
    <row r="3099" spans="1:18" x14ac:dyDescent="0.2">
      <c r="A3099">
        <v>27</v>
      </c>
      <c r="B3099" t="s">
        <v>27</v>
      </c>
      <c r="C3099">
        <v>2013</v>
      </c>
      <c r="D3099">
        <v>6</v>
      </c>
      <c r="E3099" s="4">
        <v>529</v>
      </c>
      <c r="F3099" s="9">
        <v>0</v>
      </c>
      <c r="G3099" s="6">
        <v>7337</v>
      </c>
      <c r="H3099" s="9">
        <f t="shared" si="48"/>
        <v>529</v>
      </c>
      <c r="I3099" s="6">
        <v>12500</v>
      </c>
      <c r="J3099" s="6">
        <f>VLOOKUP(Table1[[#This Row],[Province]],[1]Sheet1!$A$3:$K$37,9,FALSE)</f>
        <v>9073500</v>
      </c>
      <c r="K3099">
        <v>0</v>
      </c>
      <c r="L3099" s="4">
        <v>3.6687989999999999</v>
      </c>
      <c r="M3099" s="4">
        <v>119.974053</v>
      </c>
      <c r="N3099" s="6"/>
      <c r="P3099"/>
      <c r="Q3099" s="12"/>
      <c r="R3099" s="12"/>
    </row>
    <row r="3100" spans="1:18" x14ac:dyDescent="0.2">
      <c r="A3100">
        <v>27</v>
      </c>
      <c r="B3100" t="s">
        <v>27</v>
      </c>
      <c r="C3100">
        <v>2013</v>
      </c>
      <c r="D3100">
        <v>7</v>
      </c>
      <c r="E3100" s="4">
        <v>3477</v>
      </c>
      <c r="F3100" s="9">
        <v>0</v>
      </c>
      <c r="G3100" s="6">
        <v>12730</v>
      </c>
      <c r="H3100" s="9">
        <f t="shared" si="48"/>
        <v>3477</v>
      </c>
      <c r="I3100" s="6">
        <v>13636</v>
      </c>
      <c r="J3100" s="6">
        <f>VLOOKUP(Table1[[#This Row],[Province]],[1]Sheet1!$A$3:$K$37,9,FALSE)</f>
        <v>9073500</v>
      </c>
      <c r="K3100">
        <v>1</v>
      </c>
      <c r="L3100" s="4">
        <v>3.6687989999999999</v>
      </c>
      <c r="M3100" s="4">
        <v>119.974053</v>
      </c>
      <c r="N3100" s="6"/>
      <c r="P3100"/>
      <c r="Q3100" s="12"/>
      <c r="R3100" s="12"/>
    </row>
    <row r="3101" spans="1:18" x14ac:dyDescent="0.2">
      <c r="A3101">
        <v>27</v>
      </c>
      <c r="B3101" t="s">
        <v>27</v>
      </c>
      <c r="C3101">
        <v>2013</v>
      </c>
      <c r="D3101">
        <v>8</v>
      </c>
      <c r="E3101" s="4">
        <v>9862</v>
      </c>
      <c r="F3101" s="9">
        <v>0</v>
      </c>
      <c r="G3101" s="6">
        <v>4657</v>
      </c>
      <c r="H3101" s="9">
        <f t="shared" si="48"/>
        <v>9862</v>
      </c>
      <c r="I3101" s="6">
        <v>13000</v>
      </c>
      <c r="J3101" s="6">
        <f>VLOOKUP(Table1[[#This Row],[Province]],[1]Sheet1!$A$3:$K$37,9,FALSE)</f>
        <v>9073500</v>
      </c>
      <c r="K3101">
        <v>0</v>
      </c>
      <c r="L3101" s="4">
        <v>3.6687989999999999</v>
      </c>
      <c r="M3101" s="4">
        <v>119.974053</v>
      </c>
      <c r="N3101" s="6"/>
      <c r="P3101"/>
      <c r="Q3101" s="12"/>
      <c r="R3101" s="12"/>
    </row>
    <row r="3102" spans="1:18" x14ac:dyDescent="0.2">
      <c r="A3102">
        <v>27</v>
      </c>
      <c r="B3102" t="s">
        <v>27</v>
      </c>
      <c r="C3102">
        <v>2013</v>
      </c>
      <c r="D3102">
        <v>9</v>
      </c>
      <c r="E3102" s="4">
        <v>4933</v>
      </c>
      <c r="F3102" s="9">
        <v>0</v>
      </c>
      <c r="G3102" s="6">
        <v>9950</v>
      </c>
      <c r="H3102" s="9">
        <f t="shared" si="48"/>
        <v>4933</v>
      </c>
      <c r="I3102" s="6">
        <v>13000</v>
      </c>
      <c r="J3102" s="6">
        <f>VLOOKUP(Table1[[#This Row],[Province]],[1]Sheet1!$A$3:$K$37,9,FALSE)</f>
        <v>9073500</v>
      </c>
      <c r="K3102">
        <v>0</v>
      </c>
      <c r="L3102" s="4">
        <v>3.6687989999999999</v>
      </c>
      <c r="M3102" s="4">
        <v>119.974053</v>
      </c>
      <c r="N3102" s="6"/>
      <c r="P3102"/>
      <c r="Q3102" s="12"/>
      <c r="R3102" s="12"/>
    </row>
    <row r="3103" spans="1:18" x14ac:dyDescent="0.2">
      <c r="A3103">
        <v>27</v>
      </c>
      <c r="B3103" t="s">
        <v>27</v>
      </c>
      <c r="C3103">
        <v>2013</v>
      </c>
      <c r="D3103">
        <v>10</v>
      </c>
      <c r="E3103" s="4">
        <v>9052</v>
      </c>
      <c r="F3103" s="9">
        <v>0</v>
      </c>
      <c r="G3103" s="6">
        <v>8141</v>
      </c>
      <c r="H3103" s="9">
        <f t="shared" si="48"/>
        <v>9052</v>
      </c>
      <c r="I3103" s="6">
        <v>13000</v>
      </c>
      <c r="J3103" s="6">
        <f>VLOOKUP(Table1[[#This Row],[Province]],[1]Sheet1!$A$3:$K$37,9,FALSE)</f>
        <v>9073500</v>
      </c>
      <c r="K3103">
        <v>0</v>
      </c>
      <c r="L3103" s="4">
        <v>3.6687989999999999</v>
      </c>
      <c r="M3103" s="4">
        <v>119.974053</v>
      </c>
      <c r="N3103" s="6"/>
      <c r="P3103"/>
      <c r="Q3103" s="12"/>
      <c r="R3103" s="12"/>
    </row>
    <row r="3104" spans="1:18" x14ac:dyDescent="0.2">
      <c r="A3104">
        <v>27</v>
      </c>
      <c r="B3104" t="s">
        <v>27</v>
      </c>
      <c r="C3104">
        <v>2013</v>
      </c>
      <c r="D3104">
        <v>11</v>
      </c>
      <c r="E3104" s="4">
        <v>3524</v>
      </c>
      <c r="F3104" s="9">
        <v>0</v>
      </c>
      <c r="G3104" s="6">
        <v>5997</v>
      </c>
      <c r="H3104" s="9">
        <f t="shared" si="48"/>
        <v>3524</v>
      </c>
      <c r="I3104" s="6">
        <v>12910</v>
      </c>
      <c r="J3104" s="6">
        <f>VLOOKUP(Table1[[#This Row],[Province]],[1]Sheet1!$A$3:$K$37,9,FALSE)</f>
        <v>9073500</v>
      </c>
      <c r="K3104">
        <v>0</v>
      </c>
      <c r="L3104" s="4">
        <v>3.6687989999999999</v>
      </c>
      <c r="M3104" s="4">
        <v>119.974053</v>
      </c>
      <c r="N3104" s="6"/>
      <c r="P3104"/>
      <c r="Q3104" s="12"/>
      <c r="R3104" s="12"/>
    </row>
    <row r="3105" spans="1:18" x14ac:dyDescent="0.2">
      <c r="A3105">
        <v>27</v>
      </c>
      <c r="B3105" t="s">
        <v>27</v>
      </c>
      <c r="C3105">
        <v>2013</v>
      </c>
      <c r="D3105">
        <v>12</v>
      </c>
      <c r="E3105" s="4">
        <v>0</v>
      </c>
      <c r="F3105" s="9">
        <v>0</v>
      </c>
      <c r="G3105" s="6">
        <v>8342</v>
      </c>
      <c r="H3105" s="9">
        <f t="shared" si="48"/>
        <v>0</v>
      </c>
      <c r="I3105" s="6">
        <v>12075</v>
      </c>
      <c r="J3105" s="6">
        <f>VLOOKUP(Table1[[#This Row],[Province]],[1]Sheet1!$A$3:$K$37,9,FALSE)</f>
        <v>9073500</v>
      </c>
      <c r="K3105">
        <v>1</v>
      </c>
      <c r="L3105" s="4">
        <v>3.6687989999999999</v>
      </c>
      <c r="M3105" s="4">
        <v>119.974053</v>
      </c>
      <c r="N3105" s="6"/>
      <c r="P3105"/>
      <c r="Q3105" s="12"/>
      <c r="R3105" s="12"/>
    </row>
    <row r="3106" spans="1:18" x14ac:dyDescent="0.2">
      <c r="A3106">
        <v>27</v>
      </c>
      <c r="B3106" t="s">
        <v>27</v>
      </c>
      <c r="C3106">
        <v>2014</v>
      </c>
      <c r="D3106">
        <v>1</v>
      </c>
      <c r="E3106" s="4">
        <v>0</v>
      </c>
      <c r="F3106" s="9">
        <v>0</v>
      </c>
      <c r="G3106" s="6">
        <v>5822</v>
      </c>
      <c r="H3106" s="9">
        <f t="shared" si="48"/>
        <v>0</v>
      </c>
      <c r="I3106" s="6">
        <v>12500</v>
      </c>
      <c r="J3106" s="6">
        <f>VLOOKUP(Table1[[#This Row],[Province]],[1]Sheet1!$A$3:$K$37,9,FALSE)</f>
        <v>9073500</v>
      </c>
      <c r="K3106">
        <v>0</v>
      </c>
      <c r="L3106" s="4">
        <v>3.6687989999999999</v>
      </c>
      <c r="M3106" s="4">
        <v>119.974053</v>
      </c>
      <c r="N3106" s="6"/>
      <c r="P3106"/>
      <c r="Q3106" s="12"/>
      <c r="R3106" s="12"/>
    </row>
    <row r="3107" spans="1:18" x14ac:dyDescent="0.2">
      <c r="A3107">
        <v>27</v>
      </c>
      <c r="B3107" t="s">
        <v>27</v>
      </c>
      <c r="C3107">
        <v>2014</v>
      </c>
      <c r="D3107">
        <v>2</v>
      </c>
      <c r="E3107" s="4">
        <v>0</v>
      </c>
      <c r="F3107" s="9">
        <v>0</v>
      </c>
      <c r="G3107" s="6">
        <v>5194</v>
      </c>
      <c r="H3107" s="9">
        <f t="shared" si="48"/>
        <v>0</v>
      </c>
      <c r="I3107" s="6">
        <v>12130</v>
      </c>
      <c r="J3107" s="6">
        <f>VLOOKUP(Table1[[#This Row],[Province]],[1]Sheet1!$A$3:$K$37,9,FALSE)</f>
        <v>9073500</v>
      </c>
      <c r="K3107">
        <v>0</v>
      </c>
      <c r="L3107" s="4">
        <v>3.6687989999999999</v>
      </c>
      <c r="M3107" s="4">
        <v>119.974053</v>
      </c>
      <c r="N3107" s="6"/>
      <c r="P3107"/>
      <c r="Q3107" s="12"/>
      <c r="R3107" s="12"/>
    </row>
    <row r="3108" spans="1:18" x14ac:dyDescent="0.2">
      <c r="A3108">
        <v>27</v>
      </c>
      <c r="B3108" t="s">
        <v>27</v>
      </c>
      <c r="C3108">
        <v>2014</v>
      </c>
      <c r="D3108">
        <v>3</v>
      </c>
      <c r="E3108" s="4">
        <v>0</v>
      </c>
      <c r="F3108" s="9">
        <v>0</v>
      </c>
      <c r="G3108" s="6">
        <v>5832</v>
      </c>
      <c r="H3108" s="9">
        <f t="shared" si="48"/>
        <v>0</v>
      </c>
      <c r="I3108" s="6">
        <v>12131</v>
      </c>
      <c r="J3108" s="6">
        <f>VLOOKUP(Table1[[#This Row],[Province]],[1]Sheet1!$A$3:$K$37,9,FALSE)</f>
        <v>9073500</v>
      </c>
      <c r="K3108">
        <v>0</v>
      </c>
      <c r="L3108" s="4">
        <v>3.6687989999999999</v>
      </c>
      <c r="M3108" s="4">
        <v>119.974053</v>
      </c>
      <c r="N3108" s="6"/>
      <c r="P3108"/>
      <c r="Q3108" s="12"/>
      <c r="R3108" s="12"/>
    </row>
    <row r="3109" spans="1:18" x14ac:dyDescent="0.2">
      <c r="A3109">
        <v>27</v>
      </c>
      <c r="B3109" t="s">
        <v>27</v>
      </c>
      <c r="C3109">
        <v>2014</v>
      </c>
      <c r="D3109">
        <v>4</v>
      </c>
      <c r="E3109" s="4">
        <v>0</v>
      </c>
      <c r="F3109" s="9">
        <v>0</v>
      </c>
      <c r="G3109" s="6">
        <v>7512</v>
      </c>
      <c r="H3109" s="9">
        <f t="shared" si="48"/>
        <v>0</v>
      </c>
      <c r="I3109" s="6">
        <v>12105</v>
      </c>
      <c r="J3109" s="6">
        <f>VLOOKUP(Table1[[#This Row],[Province]],[1]Sheet1!$A$3:$K$37,9,FALSE)</f>
        <v>9073500</v>
      </c>
      <c r="K3109">
        <v>0</v>
      </c>
      <c r="L3109" s="4">
        <v>3.6687989999999999</v>
      </c>
      <c r="M3109" s="4">
        <v>119.974053</v>
      </c>
      <c r="N3109" s="6"/>
      <c r="P3109"/>
      <c r="Q3109" s="12"/>
      <c r="R3109" s="12"/>
    </row>
    <row r="3110" spans="1:18" x14ac:dyDescent="0.2">
      <c r="A3110">
        <v>27</v>
      </c>
      <c r="B3110" t="s">
        <v>27</v>
      </c>
      <c r="C3110">
        <v>2014</v>
      </c>
      <c r="D3110">
        <v>5</v>
      </c>
      <c r="E3110" s="4">
        <v>0</v>
      </c>
      <c r="F3110" s="9">
        <v>0</v>
      </c>
      <c r="G3110" s="6">
        <v>8413</v>
      </c>
      <c r="H3110" s="9">
        <f t="shared" si="48"/>
        <v>0</v>
      </c>
      <c r="I3110" s="6">
        <v>11683</v>
      </c>
      <c r="J3110" s="6">
        <f>VLOOKUP(Table1[[#This Row],[Province]],[1]Sheet1!$A$3:$K$37,9,FALSE)</f>
        <v>9073500</v>
      </c>
      <c r="K3110">
        <v>0</v>
      </c>
      <c r="L3110" s="4">
        <v>3.6687989999999999</v>
      </c>
      <c r="M3110" s="4">
        <v>119.974053</v>
      </c>
      <c r="N3110" s="6"/>
      <c r="P3110"/>
      <c r="Q3110" s="12"/>
      <c r="R3110" s="12"/>
    </row>
    <row r="3111" spans="1:18" x14ac:dyDescent="0.2">
      <c r="A3111">
        <v>27</v>
      </c>
      <c r="B3111" t="s">
        <v>27</v>
      </c>
      <c r="C3111">
        <v>2014</v>
      </c>
      <c r="D3111">
        <v>6</v>
      </c>
      <c r="E3111" s="4">
        <v>460</v>
      </c>
      <c r="F3111" s="9">
        <v>0</v>
      </c>
      <c r="G3111" s="6">
        <v>11974</v>
      </c>
      <c r="H3111" s="9">
        <f t="shared" si="48"/>
        <v>460</v>
      </c>
      <c r="I3111" s="6">
        <v>11954</v>
      </c>
      <c r="J3111" s="6">
        <f>VLOOKUP(Table1[[#This Row],[Province]],[1]Sheet1!$A$3:$K$37,9,FALSE)</f>
        <v>9073500</v>
      </c>
      <c r="K3111">
        <v>1</v>
      </c>
      <c r="L3111" s="4">
        <v>3.6687989999999999</v>
      </c>
      <c r="M3111" s="4">
        <v>119.974053</v>
      </c>
      <c r="N3111" s="6"/>
      <c r="P3111"/>
      <c r="Q3111" s="12"/>
      <c r="R3111" s="12"/>
    </row>
    <row r="3112" spans="1:18" x14ac:dyDescent="0.2">
      <c r="A3112">
        <v>27</v>
      </c>
      <c r="B3112" t="s">
        <v>27</v>
      </c>
      <c r="C3112">
        <v>2014</v>
      </c>
      <c r="D3112">
        <v>7</v>
      </c>
      <c r="E3112" s="4">
        <v>3027</v>
      </c>
      <c r="F3112" s="9">
        <v>0</v>
      </c>
      <c r="G3112" s="6">
        <v>7512</v>
      </c>
      <c r="H3112" s="9">
        <f t="shared" si="48"/>
        <v>3027</v>
      </c>
      <c r="I3112" s="6">
        <v>11824</v>
      </c>
      <c r="J3112" s="6">
        <f>VLOOKUP(Table1[[#This Row],[Province]],[1]Sheet1!$A$3:$K$37,9,FALSE)</f>
        <v>9073500</v>
      </c>
      <c r="K3112">
        <v>0</v>
      </c>
      <c r="L3112" s="4">
        <v>3.6687989999999999</v>
      </c>
      <c r="M3112" s="4">
        <v>119.974053</v>
      </c>
      <c r="N3112" s="6"/>
      <c r="P3112"/>
      <c r="Q3112" s="12"/>
      <c r="R3112" s="12"/>
    </row>
    <row r="3113" spans="1:18" x14ac:dyDescent="0.2">
      <c r="A3113">
        <v>27</v>
      </c>
      <c r="B3113" t="s">
        <v>27</v>
      </c>
      <c r="C3113">
        <v>2014</v>
      </c>
      <c r="D3113">
        <v>8</v>
      </c>
      <c r="E3113" s="4">
        <v>8584</v>
      </c>
      <c r="F3113" s="9">
        <v>0</v>
      </c>
      <c r="G3113" s="6">
        <v>7241</v>
      </c>
      <c r="H3113" s="9">
        <f t="shared" si="48"/>
        <v>8584</v>
      </c>
      <c r="I3113" s="6">
        <v>12000</v>
      </c>
      <c r="J3113" s="6">
        <f>VLOOKUP(Table1[[#This Row],[Province]],[1]Sheet1!$A$3:$K$37,9,FALSE)</f>
        <v>9073500</v>
      </c>
      <c r="K3113">
        <v>0</v>
      </c>
      <c r="L3113" s="4">
        <v>3.6687989999999999</v>
      </c>
      <c r="M3113" s="4">
        <v>119.974053</v>
      </c>
      <c r="N3113" s="6"/>
      <c r="P3113"/>
      <c r="Q3113" s="12"/>
      <c r="R3113" s="12"/>
    </row>
    <row r="3114" spans="1:18" x14ac:dyDescent="0.2">
      <c r="A3114">
        <v>27</v>
      </c>
      <c r="B3114" t="s">
        <v>27</v>
      </c>
      <c r="C3114">
        <v>2014</v>
      </c>
      <c r="D3114">
        <v>9</v>
      </c>
      <c r="E3114" s="4">
        <v>4294</v>
      </c>
      <c r="F3114" s="9">
        <v>0</v>
      </c>
      <c r="G3114" s="6">
        <v>7288</v>
      </c>
      <c r="H3114" s="9">
        <f t="shared" si="48"/>
        <v>4294</v>
      </c>
      <c r="I3114" s="6">
        <v>12000</v>
      </c>
      <c r="J3114" s="6">
        <f>VLOOKUP(Table1[[#This Row],[Province]],[1]Sheet1!$A$3:$K$37,9,FALSE)</f>
        <v>9073500</v>
      </c>
      <c r="K3114">
        <v>0</v>
      </c>
      <c r="L3114" s="4">
        <v>3.6687989999999999</v>
      </c>
      <c r="M3114" s="4">
        <v>119.974053</v>
      </c>
      <c r="N3114" s="6"/>
      <c r="P3114"/>
      <c r="Q3114" s="12"/>
      <c r="R3114" s="12"/>
    </row>
    <row r="3115" spans="1:18" x14ac:dyDescent="0.2">
      <c r="A3115">
        <v>27</v>
      </c>
      <c r="B3115" t="s">
        <v>27</v>
      </c>
      <c r="C3115">
        <v>2014</v>
      </c>
      <c r="D3115">
        <v>10</v>
      </c>
      <c r="E3115" s="4">
        <v>7880</v>
      </c>
      <c r="F3115" s="9">
        <v>0</v>
      </c>
      <c r="G3115" s="6">
        <v>10812</v>
      </c>
      <c r="H3115" s="9">
        <f t="shared" si="48"/>
        <v>7880</v>
      </c>
      <c r="I3115" s="6">
        <v>12000</v>
      </c>
      <c r="J3115" s="6">
        <f>VLOOKUP(Table1[[#This Row],[Province]],[1]Sheet1!$A$3:$K$37,9,FALSE)</f>
        <v>9073500</v>
      </c>
      <c r="K3115">
        <v>0</v>
      </c>
      <c r="L3115" s="4">
        <v>3.6687989999999999</v>
      </c>
      <c r="M3115" s="4">
        <v>119.974053</v>
      </c>
      <c r="N3115" s="6"/>
      <c r="P3115"/>
      <c r="Q3115" s="12"/>
      <c r="R3115" s="12"/>
    </row>
    <row r="3116" spans="1:18" x14ac:dyDescent="0.2">
      <c r="A3116">
        <v>27</v>
      </c>
      <c r="B3116" t="s">
        <v>27</v>
      </c>
      <c r="C3116">
        <v>2014</v>
      </c>
      <c r="D3116">
        <v>11</v>
      </c>
      <c r="E3116" s="4">
        <v>3067</v>
      </c>
      <c r="F3116" s="9">
        <v>0</v>
      </c>
      <c r="G3116" s="6">
        <v>8627</v>
      </c>
      <c r="H3116" s="9">
        <f t="shared" si="48"/>
        <v>3067</v>
      </c>
      <c r="I3116" s="6">
        <v>11930</v>
      </c>
      <c r="J3116" s="6">
        <f>VLOOKUP(Table1[[#This Row],[Province]],[1]Sheet1!$A$3:$K$37,9,FALSE)</f>
        <v>9073500</v>
      </c>
      <c r="K3116">
        <v>0</v>
      </c>
      <c r="L3116" s="4">
        <v>3.6687989999999999</v>
      </c>
      <c r="M3116" s="4">
        <v>119.974053</v>
      </c>
      <c r="N3116" s="6"/>
      <c r="P3116"/>
      <c r="Q3116" s="12"/>
      <c r="R3116" s="12"/>
    </row>
    <row r="3117" spans="1:18" x14ac:dyDescent="0.2">
      <c r="A3117">
        <v>27</v>
      </c>
      <c r="B3117" t="s">
        <v>27</v>
      </c>
      <c r="C3117">
        <v>2014</v>
      </c>
      <c r="D3117">
        <v>12</v>
      </c>
      <c r="E3117" s="4">
        <v>0</v>
      </c>
      <c r="F3117" s="9">
        <v>0</v>
      </c>
      <c r="G3117" s="6">
        <v>10060</v>
      </c>
      <c r="H3117" s="9">
        <f t="shared" si="48"/>
        <v>0</v>
      </c>
      <c r="I3117" s="6">
        <v>11800</v>
      </c>
      <c r="J3117" s="6">
        <f>VLOOKUP(Table1[[#This Row],[Province]],[1]Sheet1!$A$3:$K$37,9,FALSE)</f>
        <v>9073500</v>
      </c>
      <c r="K3117">
        <v>1</v>
      </c>
      <c r="L3117" s="4">
        <v>3.6687989999999999</v>
      </c>
      <c r="M3117" s="4">
        <v>119.974053</v>
      </c>
      <c r="N3117" s="6"/>
      <c r="P3117"/>
      <c r="Q3117" s="12"/>
      <c r="R3117" s="12"/>
    </row>
    <row r="3118" spans="1:18" x14ac:dyDescent="0.2">
      <c r="A3118">
        <v>27</v>
      </c>
      <c r="B3118" t="s">
        <v>27</v>
      </c>
      <c r="C3118">
        <v>2015</v>
      </c>
      <c r="D3118">
        <v>1</v>
      </c>
      <c r="E3118" s="4">
        <v>0</v>
      </c>
      <c r="F3118" s="9">
        <v>0</v>
      </c>
      <c r="G3118" s="6">
        <v>4945</v>
      </c>
      <c r="H3118" s="9">
        <f t="shared" si="48"/>
        <v>0</v>
      </c>
      <c r="I3118" s="6">
        <v>11686</v>
      </c>
      <c r="J3118" s="6">
        <f>VLOOKUP(Table1[[#This Row],[Province]],[1]Sheet1!$A$3:$K$37,9,FALSE)</f>
        <v>9073500</v>
      </c>
      <c r="K3118">
        <v>0</v>
      </c>
      <c r="L3118" s="4">
        <v>3.6687989999999999</v>
      </c>
      <c r="M3118" s="4">
        <v>119.974053</v>
      </c>
      <c r="N3118" s="6"/>
      <c r="P3118"/>
      <c r="Q3118" s="12"/>
      <c r="R3118" s="12"/>
    </row>
    <row r="3119" spans="1:18" x14ac:dyDescent="0.2">
      <c r="A3119">
        <v>27</v>
      </c>
      <c r="B3119" t="s">
        <v>27</v>
      </c>
      <c r="C3119">
        <v>2015</v>
      </c>
      <c r="D3119">
        <v>2</v>
      </c>
      <c r="E3119" s="4">
        <v>0</v>
      </c>
      <c r="F3119" s="9">
        <v>0</v>
      </c>
      <c r="G3119" s="6">
        <v>12471</v>
      </c>
      <c r="H3119" s="9">
        <f t="shared" si="48"/>
        <v>0</v>
      </c>
      <c r="I3119" s="6">
        <v>11676</v>
      </c>
      <c r="J3119" s="6">
        <f>VLOOKUP(Table1[[#This Row],[Province]],[1]Sheet1!$A$3:$K$37,9,FALSE)</f>
        <v>9073500</v>
      </c>
      <c r="K3119">
        <v>0</v>
      </c>
      <c r="L3119" s="4">
        <v>3.6687989999999999</v>
      </c>
      <c r="M3119" s="4">
        <v>119.974053</v>
      </c>
      <c r="N3119" s="6"/>
      <c r="P3119"/>
      <c r="Q3119" s="12"/>
      <c r="R3119" s="12"/>
    </row>
    <row r="3120" spans="1:18" x14ac:dyDescent="0.2">
      <c r="A3120">
        <v>27</v>
      </c>
      <c r="B3120" t="s">
        <v>27</v>
      </c>
      <c r="C3120">
        <v>2015</v>
      </c>
      <c r="D3120">
        <v>3</v>
      </c>
      <c r="E3120" s="4">
        <v>0</v>
      </c>
      <c r="F3120" s="9">
        <v>0</v>
      </c>
      <c r="G3120" s="6">
        <v>5659</v>
      </c>
      <c r="H3120" s="9">
        <f t="shared" si="48"/>
        <v>0</v>
      </c>
      <c r="I3120" s="6">
        <v>11942</v>
      </c>
      <c r="J3120" s="6">
        <f>VLOOKUP(Table1[[#This Row],[Province]],[1]Sheet1!$A$3:$K$37,9,FALSE)</f>
        <v>9073500</v>
      </c>
      <c r="K3120">
        <v>0</v>
      </c>
      <c r="L3120" s="4">
        <v>3.6687989999999999</v>
      </c>
      <c r="M3120" s="4">
        <v>119.974053</v>
      </c>
      <c r="N3120" s="6"/>
      <c r="P3120"/>
      <c r="Q3120" s="12"/>
      <c r="R3120" s="12"/>
    </row>
    <row r="3121" spans="1:18" x14ac:dyDescent="0.2">
      <c r="A3121">
        <v>27</v>
      </c>
      <c r="B3121" t="s">
        <v>27</v>
      </c>
      <c r="C3121">
        <v>2015</v>
      </c>
      <c r="D3121">
        <v>4</v>
      </c>
      <c r="E3121" s="4">
        <v>0</v>
      </c>
      <c r="F3121" s="9">
        <v>0</v>
      </c>
      <c r="G3121" s="6">
        <v>9374</v>
      </c>
      <c r="H3121" s="9">
        <f t="shared" si="48"/>
        <v>0</v>
      </c>
      <c r="I3121" s="6">
        <v>12044</v>
      </c>
      <c r="J3121" s="6">
        <f>VLOOKUP(Table1[[#This Row],[Province]],[1]Sheet1!$A$3:$K$37,9,FALSE)</f>
        <v>9073500</v>
      </c>
      <c r="K3121">
        <v>0</v>
      </c>
      <c r="L3121" s="4">
        <v>3.6687989999999999</v>
      </c>
      <c r="M3121" s="4">
        <v>119.974053</v>
      </c>
      <c r="N3121" s="6"/>
      <c r="P3121"/>
      <c r="Q3121" s="12"/>
      <c r="R3121" s="12"/>
    </row>
    <row r="3122" spans="1:18" x14ac:dyDescent="0.2">
      <c r="A3122">
        <v>27</v>
      </c>
      <c r="B3122" t="s">
        <v>27</v>
      </c>
      <c r="C3122">
        <v>2015</v>
      </c>
      <c r="D3122">
        <v>5</v>
      </c>
      <c r="E3122" s="4">
        <v>37</v>
      </c>
      <c r="F3122" s="9">
        <v>0</v>
      </c>
      <c r="G3122" s="6">
        <v>8983</v>
      </c>
      <c r="H3122" s="9">
        <f t="shared" si="48"/>
        <v>37</v>
      </c>
      <c r="I3122" s="6">
        <v>12747</v>
      </c>
      <c r="J3122" s="6">
        <f>VLOOKUP(Table1[[#This Row],[Province]],[1]Sheet1!$A$3:$K$37,9,FALSE)</f>
        <v>9073500</v>
      </c>
      <c r="K3122">
        <v>0</v>
      </c>
      <c r="L3122" s="4">
        <v>3.6687989999999999</v>
      </c>
      <c r="M3122" s="4">
        <v>119.974053</v>
      </c>
      <c r="N3122" s="6"/>
      <c r="P3122"/>
      <c r="Q3122" s="12"/>
      <c r="R3122" s="12"/>
    </row>
    <row r="3123" spans="1:18" x14ac:dyDescent="0.2">
      <c r="A3123">
        <v>27</v>
      </c>
      <c r="B3123" t="s">
        <v>27</v>
      </c>
      <c r="C3123">
        <v>2015</v>
      </c>
      <c r="D3123">
        <v>6</v>
      </c>
      <c r="E3123" s="4">
        <v>199</v>
      </c>
      <c r="F3123" s="9">
        <v>0</v>
      </c>
      <c r="G3123" s="6">
        <v>10208</v>
      </c>
      <c r="H3123" s="9">
        <f t="shared" si="48"/>
        <v>199</v>
      </c>
      <c r="I3123" s="6">
        <v>12997</v>
      </c>
      <c r="J3123" s="6">
        <f>VLOOKUP(Table1[[#This Row],[Province]],[1]Sheet1!$A$3:$K$37,9,FALSE)</f>
        <v>9073500</v>
      </c>
      <c r="K3123">
        <v>1</v>
      </c>
      <c r="L3123" s="4">
        <v>3.6687989999999999</v>
      </c>
      <c r="M3123" s="4">
        <v>119.974053</v>
      </c>
      <c r="N3123" s="6"/>
      <c r="P3123"/>
      <c r="Q3123" s="12"/>
      <c r="R3123" s="12"/>
    </row>
    <row r="3124" spans="1:18" x14ac:dyDescent="0.2">
      <c r="A3124">
        <v>27</v>
      </c>
      <c r="B3124" t="s">
        <v>27</v>
      </c>
      <c r="C3124">
        <v>2015</v>
      </c>
      <c r="D3124">
        <v>7</v>
      </c>
      <c r="E3124" s="4">
        <v>1770</v>
      </c>
      <c r="F3124" s="9">
        <v>0</v>
      </c>
      <c r="G3124" s="6">
        <v>6968</v>
      </c>
      <c r="H3124" s="9">
        <f t="shared" si="48"/>
        <v>1770</v>
      </c>
      <c r="I3124" s="6">
        <v>13491</v>
      </c>
      <c r="J3124" s="6">
        <f>VLOOKUP(Table1[[#This Row],[Province]],[1]Sheet1!$A$3:$K$37,9,FALSE)</f>
        <v>9073500</v>
      </c>
      <c r="K3124">
        <v>0</v>
      </c>
      <c r="L3124" s="4">
        <v>3.6687989999999999</v>
      </c>
      <c r="M3124" s="4">
        <v>119.974053</v>
      </c>
      <c r="N3124" s="6"/>
      <c r="P3124"/>
      <c r="Q3124" s="12"/>
      <c r="R3124" s="12"/>
    </row>
    <row r="3125" spans="1:18" x14ac:dyDescent="0.2">
      <c r="A3125">
        <v>27</v>
      </c>
      <c r="B3125" t="s">
        <v>27</v>
      </c>
      <c r="C3125">
        <v>2015</v>
      </c>
      <c r="D3125">
        <v>8</v>
      </c>
      <c r="E3125" s="4">
        <v>11345</v>
      </c>
      <c r="F3125" s="9">
        <v>0</v>
      </c>
      <c r="G3125" s="6">
        <v>6896</v>
      </c>
      <c r="H3125" s="9">
        <f t="shared" si="48"/>
        <v>11345</v>
      </c>
      <c r="I3125" s="6">
        <v>13670</v>
      </c>
      <c r="J3125" s="6">
        <f>VLOOKUP(Table1[[#This Row],[Province]],[1]Sheet1!$A$3:$K$37,9,FALSE)</f>
        <v>9073500</v>
      </c>
      <c r="K3125">
        <v>0</v>
      </c>
      <c r="L3125" s="4">
        <v>3.6687989999999999</v>
      </c>
      <c r="M3125" s="4">
        <v>119.974053</v>
      </c>
      <c r="N3125" s="6"/>
      <c r="P3125"/>
      <c r="Q3125" s="12"/>
      <c r="R3125" s="12"/>
    </row>
    <row r="3126" spans="1:18" x14ac:dyDescent="0.2">
      <c r="A3126">
        <v>27</v>
      </c>
      <c r="B3126" t="s">
        <v>27</v>
      </c>
      <c r="C3126">
        <v>2015</v>
      </c>
      <c r="D3126">
        <v>9</v>
      </c>
      <c r="E3126" s="4">
        <v>5725</v>
      </c>
      <c r="F3126" s="9">
        <v>0</v>
      </c>
      <c r="G3126" s="6">
        <v>9255</v>
      </c>
      <c r="H3126" s="9">
        <f t="shared" si="48"/>
        <v>5725</v>
      </c>
      <c r="I3126" s="6">
        <v>13781</v>
      </c>
      <c r="J3126" s="6">
        <f>VLOOKUP(Table1[[#This Row],[Province]],[1]Sheet1!$A$3:$K$37,9,FALSE)</f>
        <v>9073500</v>
      </c>
      <c r="K3126">
        <v>0</v>
      </c>
      <c r="L3126" s="4">
        <v>3.6687989999999999</v>
      </c>
      <c r="M3126" s="4">
        <v>119.974053</v>
      </c>
      <c r="N3126" s="6"/>
      <c r="P3126"/>
      <c r="Q3126" s="12"/>
      <c r="R3126" s="12"/>
    </row>
    <row r="3127" spans="1:18" x14ac:dyDescent="0.2">
      <c r="A3127">
        <v>27</v>
      </c>
      <c r="B3127" t="s">
        <v>27</v>
      </c>
      <c r="C3127">
        <v>2015</v>
      </c>
      <c r="D3127">
        <v>10</v>
      </c>
      <c r="E3127" s="4">
        <v>11243</v>
      </c>
      <c r="F3127" s="9">
        <v>0</v>
      </c>
      <c r="G3127" s="6">
        <v>6169</v>
      </c>
      <c r="H3127" s="9">
        <f t="shared" si="48"/>
        <v>11243</v>
      </c>
      <c r="I3127" s="6">
        <v>13597</v>
      </c>
      <c r="J3127" s="6">
        <f>VLOOKUP(Table1[[#This Row],[Province]],[1]Sheet1!$A$3:$K$37,9,FALSE)</f>
        <v>9073500</v>
      </c>
      <c r="K3127">
        <v>0</v>
      </c>
      <c r="L3127" s="4">
        <v>3.6687989999999999</v>
      </c>
      <c r="M3127" s="4">
        <v>119.974053</v>
      </c>
      <c r="N3127" s="6"/>
      <c r="P3127"/>
      <c r="Q3127" s="12"/>
      <c r="R3127" s="12"/>
    </row>
    <row r="3128" spans="1:18" x14ac:dyDescent="0.2">
      <c r="A3128">
        <v>27</v>
      </c>
      <c r="B3128" t="s">
        <v>27</v>
      </c>
      <c r="C3128">
        <v>2015</v>
      </c>
      <c r="D3128">
        <v>11</v>
      </c>
      <c r="E3128" s="4">
        <v>4589</v>
      </c>
      <c r="F3128" s="9">
        <v>0</v>
      </c>
      <c r="G3128" s="6">
        <v>8135</v>
      </c>
      <c r="H3128" s="9">
        <f t="shared" si="48"/>
        <v>4589</v>
      </c>
      <c r="I3128" s="6">
        <v>13557</v>
      </c>
      <c r="J3128" s="6">
        <f>VLOOKUP(Table1[[#This Row],[Province]],[1]Sheet1!$A$3:$K$37,9,FALSE)</f>
        <v>9073500</v>
      </c>
      <c r="K3128">
        <v>0</v>
      </c>
      <c r="L3128" s="4">
        <v>3.6687989999999999</v>
      </c>
      <c r="M3128" s="4">
        <v>119.974053</v>
      </c>
      <c r="N3128" s="6"/>
      <c r="P3128"/>
      <c r="Q3128" s="12"/>
      <c r="R3128" s="12"/>
    </row>
    <row r="3129" spans="1:18" x14ac:dyDescent="0.2">
      <c r="A3129">
        <v>27</v>
      </c>
      <c r="B3129" t="s">
        <v>27</v>
      </c>
      <c r="C3129">
        <v>2015</v>
      </c>
      <c r="D3129">
        <v>12</v>
      </c>
      <c r="E3129" s="4">
        <v>0</v>
      </c>
      <c r="F3129" s="9">
        <v>0</v>
      </c>
      <c r="G3129" s="6">
        <v>8719</v>
      </c>
      <c r="H3129" s="9">
        <f t="shared" si="48"/>
        <v>0</v>
      </c>
      <c r="I3129" s="6">
        <v>13300</v>
      </c>
      <c r="J3129" s="6">
        <f>VLOOKUP(Table1[[#This Row],[Province]],[1]Sheet1!$A$3:$K$37,9,FALSE)</f>
        <v>9073500</v>
      </c>
      <c r="K3129">
        <v>1</v>
      </c>
      <c r="L3129" s="4">
        <v>3.6687989999999999</v>
      </c>
      <c r="M3129" s="4">
        <v>119.974053</v>
      </c>
      <c r="N3129" s="6"/>
      <c r="P3129"/>
      <c r="Q3129" s="12"/>
      <c r="R3129" s="12"/>
    </row>
    <row r="3130" spans="1:18" x14ac:dyDescent="0.2">
      <c r="A3130">
        <v>27</v>
      </c>
      <c r="B3130" t="s">
        <v>27</v>
      </c>
      <c r="C3130">
        <v>2016</v>
      </c>
      <c r="D3130">
        <v>1</v>
      </c>
      <c r="E3130" s="4">
        <v>0</v>
      </c>
      <c r="F3130" s="9">
        <v>0</v>
      </c>
      <c r="G3130" s="6">
        <v>5471</v>
      </c>
      <c r="H3130" s="9">
        <f t="shared" si="48"/>
        <v>0</v>
      </c>
      <c r="I3130" s="6">
        <v>13330</v>
      </c>
      <c r="J3130" s="6">
        <f>VLOOKUP(Table1[[#This Row],[Province]],[1]Sheet1!$A$3:$K$37,9,FALSE)</f>
        <v>9073500</v>
      </c>
      <c r="K3130">
        <v>0</v>
      </c>
      <c r="L3130" s="4">
        <v>3.6687989999999999</v>
      </c>
      <c r="M3130" s="4">
        <v>119.974053</v>
      </c>
      <c r="N3130" s="13">
        <v>7.42</v>
      </c>
      <c r="P3130"/>
      <c r="Q3130" s="12"/>
      <c r="R3130" s="12"/>
    </row>
    <row r="3131" spans="1:18" x14ac:dyDescent="0.2">
      <c r="A3131">
        <v>27</v>
      </c>
      <c r="B3131" t="s">
        <v>27</v>
      </c>
      <c r="C3131">
        <v>2016</v>
      </c>
      <c r="D3131">
        <v>2</v>
      </c>
      <c r="E3131" s="4">
        <v>0</v>
      </c>
      <c r="F3131" s="9">
        <v>0</v>
      </c>
      <c r="G3131" s="6">
        <v>5119</v>
      </c>
      <c r="H3131" s="9">
        <f t="shared" si="48"/>
        <v>0</v>
      </c>
      <c r="I3131" s="6">
        <v>13393</v>
      </c>
      <c r="J3131" s="6">
        <f>VLOOKUP(Table1[[#This Row],[Province]],[1]Sheet1!$A$3:$K$37,9,FALSE)</f>
        <v>9073500</v>
      </c>
      <c r="K3131">
        <v>0</v>
      </c>
      <c r="L3131" s="4">
        <v>3.6687989999999999</v>
      </c>
      <c r="M3131" s="4">
        <v>119.974053</v>
      </c>
      <c r="N3131" s="13">
        <v>7.42</v>
      </c>
      <c r="P3131"/>
      <c r="Q3131" s="12"/>
      <c r="R3131" s="12"/>
    </row>
    <row r="3132" spans="1:18" x14ac:dyDescent="0.2">
      <c r="A3132">
        <v>27</v>
      </c>
      <c r="B3132" t="s">
        <v>27</v>
      </c>
      <c r="C3132">
        <v>2016</v>
      </c>
      <c r="D3132">
        <v>3</v>
      </c>
      <c r="E3132" s="4">
        <v>0</v>
      </c>
      <c r="F3132" s="9">
        <v>0</v>
      </c>
      <c r="G3132" s="6">
        <v>8352</v>
      </c>
      <c r="H3132" s="9">
        <f t="shared" si="48"/>
        <v>0</v>
      </c>
      <c r="I3132" s="6">
        <v>13524</v>
      </c>
      <c r="J3132" s="6">
        <f>VLOOKUP(Table1[[#This Row],[Province]],[1]Sheet1!$A$3:$K$37,9,FALSE)</f>
        <v>9073500</v>
      </c>
      <c r="K3132">
        <v>0</v>
      </c>
      <c r="L3132" s="4">
        <v>3.6687989999999999</v>
      </c>
      <c r="M3132" s="4">
        <v>119.974053</v>
      </c>
      <c r="N3132" s="13">
        <v>7.42</v>
      </c>
      <c r="P3132"/>
      <c r="Q3132" s="12"/>
      <c r="R3132" s="12"/>
    </row>
    <row r="3133" spans="1:18" x14ac:dyDescent="0.2">
      <c r="A3133">
        <v>27</v>
      </c>
      <c r="B3133" t="s">
        <v>27</v>
      </c>
      <c r="C3133">
        <v>2016</v>
      </c>
      <c r="D3133">
        <v>4</v>
      </c>
      <c r="E3133" s="4">
        <v>0</v>
      </c>
      <c r="F3133" s="9">
        <v>0</v>
      </c>
      <c r="G3133" s="6">
        <v>10007</v>
      </c>
      <c r="H3133" s="9">
        <f t="shared" si="48"/>
        <v>0</v>
      </c>
      <c r="I3133" s="6">
        <v>13600</v>
      </c>
      <c r="J3133" s="6">
        <f>VLOOKUP(Table1[[#This Row],[Province]],[1]Sheet1!$A$3:$K$37,9,FALSE)</f>
        <v>9073500</v>
      </c>
      <c r="K3133">
        <v>0</v>
      </c>
      <c r="L3133" s="4">
        <v>3.6687989999999999</v>
      </c>
      <c r="M3133" s="4">
        <v>119.974053</v>
      </c>
      <c r="N3133" s="13">
        <v>7.42</v>
      </c>
      <c r="P3133"/>
      <c r="Q3133" s="12"/>
      <c r="R3133" s="12"/>
    </row>
    <row r="3134" spans="1:18" x14ac:dyDescent="0.2">
      <c r="A3134">
        <v>27</v>
      </c>
      <c r="B3134" t="s">
        <v>27</v>
      </c>
      <c r="C3134">
        <v>2016</v>
      </c>
      <c r="D3134">
        <v>5</v>
      </c>
      <c r="E3134" s="4">
        <v>0</v>
      </c>
      <c r="F3134" s="9">
        <v>0</v>
      </c>
      <c r="G3134" s="6">
        <v>5544</v>
      </c>
      <c r="H3134" s="9">
        <f t="shared" si="48"/>
        <v>0</v>
      </c>
      <c r="I3134" s="6">
        <v>14790</v>
      </c>
      <c r="J3134" s="6">
        <f>VLOOKUP(Table1[[#This Row],[Province]],[1]Sheet1!$A$3:$K$37,9,FALSE)</f>
        <v>9073500</v>
      </c>
      <c r="K3134">
        <v>0</v>
      </c>
      <c r="L3134" s="4">
        <v>3.6687989999999999</v>
      </c>
      <c r="M3134" s="4">
        <v>119.974053</v>
      </c>
      <c r="N3134" s="13">
        <v>7.42</v>
      </c>
      <c r="P3134"/>
      <c r="Q3134" s="12"/>
      <c r="R3134" s="12"/>
    </row>
    <row r="3135" spans="1:18" x14ac:dyDescent="0.2">
      <c r="A3135">
        <v>27</v>
      </c>
      <c r="B3135" t="s">
        <v>27</v>
      </c>
      <c r="C3135">
        <v>2016</v>
      </c>
      <c r="D3135">
        <v>6</v>
      </c>
      <c r="E3135" s="4">
        <v>4258</v>
      </c>
      <c r="F3135" s="9">
        <v>0</v>
      </c>
      <c r="G3135" s="6">
        <v>8853</v>
      </c>
      <c r="H3135" s="9">
        <f t="shared" si="48"/>
        <v>4258</v>
      </c>
      <c r="I3135" s="6">
        <v>15945</v>
      </c>
      <c r="J3135" s="6">
        <f>VLOOKUP(Table1[[#This Row],[Province]],[1]Sheet1!$A$3:$K$37,9,FALSE)</f>
        <v>9073500</v>
      </c>
      <c r="K3135">
        <v>1</v>
      </c>
      <c r="L3135" s="4">
        <v>3.6687989999999999</v>
      </c>
      <c r="M3135" s="4">
        <v>119.974053</v>
      </c>
      <c r="N3135" s="13">
        <v>7.42</v>
      </c>
      <c r="P3135"/>
      <c r="Q3135" s="12"/>
      <c r="R3135" s="12"/>
    </row>
    <row r="3136" spans="1:18" x14ac:dyDescent="0.2">
      <c r="A3136">
        <v>27</v>
      </c>
      <c r="B3136" t="s">
        <v>27</v>
      </c>
      <c r="C3136">
        <v>2016</v>
      </c>
      <c r="D3136">
        <v>7</v>
      </c>
      <c r="E3136" s="4">
        <v>3379</v>
      </c>
      <c r="F3136" s="9">
        <v>0</v>
      </c>
      <c r="G3136" s="6">
        <v>8447</v>
      </c>
      <c r="H3136" s="9">
        <f t="shared" si="48"/>
        <v>3379</v>
      </c>
      <c r="I3136" s="6">
        <v>16413</v>
      </c>
      <c r="J3136" s="6">
        <f>VLOOKUP(Table1[[#This Row],[Province]],[1]Sheet1!$A$3:$K$37,9,FALSE)</f>
        <v>9073500</v>
      </c>
      <c r="K3136">
        <v>0</v>
      </c>
      <c r="L3136" s="4">
        <v>3.6687989999999999</v>
      </c>
      <c r="M3136" s="4">
        <v>119.974053</v>
      </c>
      <c r="N3136" s="13">
        <v>7.42</v>
      </c>
      <c r="P3136"/>
      <c r="Q3136" s="12"/>
      <c r="R3136" s="12"/>
    </row>
    <row r="3137" spans="1:18" x14ac:dyDescent="0.2">
      <c r="A3137">
        <v>27</v>
      </c>
      <c r="B3137" t="s">
        <v>27</v>
      </c>
      <c r="C3137">
        <v>2016</v>
      </c>
      <c r="D3137">
        <v>8</v>
      </c>
      <c r="E3137" s="4">
        <v>6331</v>
      </c>
      <c r="F3137" s="9">
        <v>0</v>
      </c>
      <c r="G3137" s="6">
        <v>8347</v>
      </c>
      <c r="H3137" s="9">
        <f t="shared" si="48"/>
        <v>6331</v>
      </c>
      <c r="I3137" s="6">
        <v>16573</v>
      </c>
      <c r="J3137" s="6">
        <f>VLOOKUP(Table1[[#This Row],[Province]],[1]Sheet1!$A$3:$K$37,9,FALSE)</f>
        <v>9073500</v>
      </c>
      <c r="K3137">
        <v>0</v>
      </c>
      <c r="L3137" s="4">
        <v>3.6687989999999999</v>
      </c>
      <c r="M3137" s="4">
        <v>119.974053</v>
      </c>
      <c r="N3137" s="13">
        <v>7.42</v>
      </c>
      <c r="P3137"/>
      <c r="Q3137" s="12"/>
      <c r="R3137" s="12"/>
    </row>
    <row r="3138" spans="1:18" x14ac:dyDescent="0.2">
      <c r="A3138">
        <v>27</v>
      </c>
      <c r="B3138" t="s">
        <v>27</v>
      </c>
      <c r="C3138">
        <v>2016</v>
      </c>
      <c r="D3138">
        <v>9</v>
      </c>
      <c r="E3138" s="4">
        <v>9647</v>
      </c>
      <c r="F3138" s="9">
        <v>0</v>
      </c>
      <c r="G3138" s="6">
        <v>3226</v>
      </c>
      <c r="H3138" s="9">
        <f t="shared" ref="H3138:H3201" si="49">F3138+E3138</f>
        <v>9647</v>
      </c>
      <c r="I3138" s="6">
        <v>15886</v>
      </c>
      <c r="J3138" s="6">
        <f>VLOOKUP(Table1[[#This Row],[Province]],[1]Sheet1!$A$3:$K$37,9,FALSE)</f>
        <v>9073500</v>
      </c>
      <c r="K3138">
        <v>0</v>
      </c>
      <c r="L3138" s="4">
        <v>3.6687989999999999</v>
      </c>
      <c r="M3138" s="4">
        <v>119.974053</v>
      </c>
      <c r="N3138" s="13">
        <v>7.42</v>
      </c>
      <c r="P3138"/>
      <c r="Q3138" s="12"/>
      <c r="R3138" s="12"/>
    </row>
    <row r="3139" spans="1:18" x14ac:dyDescent="0.2">
      <c r="A3139">
        <v>27</v>
      </c>
      <c r="B3139" t="s">
        <v>27</v>
      </c>
      <c r="C3139">
        <v>2016</v>
      </c>
      <c r="D3139">
        <v>10</v>
      </c>
      <c r="E3139" s="4">
        <v>7307</v>
      </c>
      <c r="F3139" s="9">
        <v>0</v>
      </c>
      <c r="G3139" s="6">
        <v>14093</v>
      </c>
      <c r="H3139" s="9">
        <f t="shared" si="49"/>
        <v>7307</v>
      </c>
      <c r="I3139" s="6">
        <v>15038</v>
      </c>
      <c r="J3139" s="6">
        <f>VLOOKUP(Table1[[#This Row],[Province]],[1]Sheet1!$A$3:$K$37,9,FALSE)</f>
        <v>9073500</v>
      </c>
      <c r="K3139">
        <v>0</v>
      </c>
      <c r="L3139" s="4">
        <v>3.6687989999999999</v>
      </c>
      <c r="M3139" s="4">
        <v>119.974053</v>
      </c>
      <c r="N3139" s="13">
        <v>7.42</v>
      </c>
      <c r="P3139"/>
      <c r="Q3139" s="12"/>
      <c r="R3139" s="12"/>
    </row>
    <row r="3140" spans="1:18" x14ac:dyDescent="0.2">
      <c r="A3140">
        <v>27</v>
      </c>
      <c r="B3140" t="s">
        <v>27</v>
      </c>
      <c r="C3140">
        <v>2016</v>
      </c>
      <c r="D3140">
        <v>11</v>
      </c>
      <c r="E3140" s="4">
        <v>7034</v>
      </c>
      <c r="F3140" s="9">
        <v>0</v>
      </c>
      <c r="G3140" s="6">
        <v>3990</v>
      </c>
      <c r="H3140" s="9">
        <f t="shared" si="49"/>
        <v>7034</v>
      </c>
      <c r="I3140" s="6">
        <v>15282</v>
      </c>
      <c r="J3140" s="6">
        <f>VLOOKUP(Table1[[#This Row],[Province]],[1]Sheet1!$A$3:$K$37,9,FALSE)</f>
        <v>9073500</v>
      </c>
      <c r="K3140">
        <v>0</v>
      </c>
      <c r="L3140" s="4">
        <v>3.6687989999999999</v>
      </c>
      <c r="M3140" s="4">
        <v>119.974053</v>
      </c>
      <c r="N3140" s="13">
        <v>7.42</v>
      </c>
      <c r="P3140"/>
      <c r="Q3140" s="12"/>
      <c r="R3140" s="12"/>
    </row>
    <row r="3141" spans="1:18" x14ac:dyDescent="0.2">
      <c r="A3141">
        <v>27</v>
      </c>
      <c r="B3141" t="s">
        <v>27</v>
      </c>
      <c r="C3141">
        <v>2016</v>
      </c>
      <c r="D3141">
        <v>12</v>
      </c>
      <c r="E3141" s="4">
        <v>5410</v>
      </c>
      <c r="F3141" s="9">
        <v>0</v>
      </c>
      <c r="G3141" s="6">
        <v>3993</v>
      </c>
      <c r="H3141" s="9">
        <f t="shared" si="49"/>
        <v>5410</v>
      </c>
      <c r="I3141" s="6">
        <v>15074</v>
      </c>
      <c r="J3141" s="6">
        <f>VLOOKUP(Table1[[#This Row],[Province]],[1]Sheet1!$A$3:$K$37,9,FALSE)</f>
        <v>9073500</v>
      </c>
      <c r="K3141">
        <v>1</v>
      </c>
      <c r="L3141" s="4">
        <v>3.6687989999999999</v>
      </c>
      <c r="M3141" s="4">
        <v>119.974053</v>
      </c>
      <c r="N3141" s="13">
        <v>7.42</v>
      </c>
      <c r="P3141"/>
      <c r="Q3141" s="12"/>
      <c r="R3141" s="12"/>
    </row>
    <row r="3142" spans="1:18" x14ac:dyDescent="0.2">
      <c r="A3142">
        <v>27</v>
      </c>
      <c r="B3142" t="s">
        <v>27</v>
      </c>
      <c r="C3142">
        <v>2017</v>
      </c>
      <c r="D3142">
        <v>1</v>
      </c>
      <c r="E3142" s="4">
        <v>0</v>
      </c>
      <c r="F3142" s="9">
        <v>0</v>
      </c>
      <c r="G3142" s="6">
        <v>7890</v>
      </c>
      <c r="H3142" s="9">
        <f t="shared" si="49"/>
        <v>0</v>
      </c>
      <c r="I3142" s="6">
        <v>14667</v>
      </c>
      <c r="J3142" s="6">
        <f>VLOOKUP(Table1[[#This Row],[Province]],[1]Sheet1!$A$3:$K$37,9,FALSE)</f>
        <v>9073500</v>
      </c>
      <c r="K3142">
        <v>0</v>
      </c>
      <c r="L3142" s="4">
        <v>3.6687989999999999</v>
      </c>
      <c r="M3142" s="4">
        <v>119.974053</v>
      </c>
      <c r="N3142" s="13">
        <v>7.21</v>
      </c>
      <c r="P3142"/>
      <c r="Q3142" s="12"/>
      <c r="R3142" s="12"/>
    </row>
    <row r="3143" spans="1:18" x14ac:dyDescent="0.2">
      <c r="A3143">
        <v>27</v>
      </c>
      <c r="B3143" t="s">
        <v>27</v>
      </c>
      <c r="C3143">
        <v>2017</v>
      </c>
      <c r="D3143">
        <v>2</v>
      </c>
      <c r="E3143" s="4">
        <v>0</v>
      </c>
      <c r="F3143" s="9">
        <v>0</v>
      </c>
      <c r="G3143" s="6">
        <v>4533</v>
      </c>
      <c r="H3143" s="9">
        <f t="shared" si="49"/>
        <v>0</v>
      </c>
      <c r="I3143" s="6">
        <v>14479</v>
      </c>
      <c r="J3143" s="6">
        <f>VLOOKUP(Table1[[#This Row],[Province]],[1]Sheet1!$A$3:$K$37,9,FALSE)</f>
        <v>9073500</v>
      </c>
      <c r="K3143">
        <v>0</v>
      </c>
      <c r="L3143" s="4">
        <v>3.6687989999999999</v>
      </c>
      <c r="M3143" s="4">
        <v>119.974053</v>
      </c>
      <c r="N3143" s="13">
        <v>7.21</v>
      </c>
      <c r="P3143"/>
      <c r="Q3143" s="12"/>
      <c r="R3143" s="12"/>
    </row>
    <row r="3144" spans="1:18" x14ac:dyDescent="0.2">
      <c r="A3144">
        <v>27</v>
      </c>
      <c r="B3144" t="s">
        <v>27</v>
      </c>
      <c r="C3144">
        <v>2017</v>
      </c>
      <c r="D3144">
        <v>3</v>
      </c>
      <c r="E3144" s="4">
        <v>0</v>
      </c>
      <c r="F3144" s="9">
        <v>0</v>
      </c>
      <c r="G3144" s="6">
        <v>3542</v>
      </c>
      <c r="H3144" s="9">
        <f t="shared" si="49"/>
        <v>0</v>
      </c>
      <c r="I3144" s="6">
        <v>14627</v>
      </c>
      <c r="J3144" s="6">
        <f>VLOOKUP(Table1[[#This Row],[Province]],[1]Sheet1!$A$3:$K$37,9,FALSE)</f>
        <v>9073500</v>
      </c>
      <c r="K3144">
        <v>0</v>
      </c>
      <c r="L3144" s="4">
        <v>3.6687989999999999</v>
      </c>
      <c r="M3144" s="4">
        <v>119.974053</v>
      </c>
      <c r="N3144" s="13">
        <v>7.21</v>
      </c>
      <c r="P3144"/>
      <c r="Q3144" s="12"/>
      <c r="R3144" s="12"/>
    </row>
    <row r="3145" spans="1:18" x14ac:dyDescent="0.2">
      <c r="A3145">
        <v>27</v>
      </c>
      <c r="B3145" t="s">
        <v>27</v>
      </c>
      <c r="C3145">
        <v>2017</v>
      </c>
      <c r="D3145">
        <v>4</v>
      </c>
      <c r="E3145" s="4">
        <v>0</v>
      </c>
      <c r="F3145" s="9">
        <v>0</v>
      </c>
      <c r="G3145" s="6">
        <v>2530</v>
      </c>
      <c r="H3145" s="9">
        <f t="shared" si="49"/>
        <v>0</v>
      </c>
      <c r="I3145" s="6">
        <v>14547</v>
      </c>
      <c r="J3145" s="6">
        <f>VLOOKUP(Table1[[#This Row],[Province]],[1]Sheet1!$A$3:$K$37,9,FALSE)</f>
        <v>9073500</v>
      </c>
      <c r="K3145">
        <v>0</v>
      </c>
      <c r="L3145" s="4">
        <v>3.6687989999999999</v>
      </c>
      <c r="M3145" s="4">
        <v>119.974053</v>
      </c>
      <c r="N3145" s="13">
        <v>7.21</v>
      </c>
      <c r="P3145"/>
      <c r="Q3145" s="12"/>
      <c r="R3145" s="12"/>
    </row>
    <row r="3146" spans="1:18" x14ac:dyDescent="0.2">
      <c r="A3146">
        <v>27</v>
      </c>
      <c r="B3146" t="s">
        <v>27</v>
      </c>
      <c r="C3146">
        <v>2017</v>
      </c>
      <c r="D3146">
        <v>5</v>
      </c>
      <c r="E3146" s="4">
        <v>0</v>
      </c>
      <c r="F3146" s="9">
        <v>0</v>
      </c>
      <c r="G3146" s="6">
        <v>2437</v>
      </c>
      <c r="H3146" s="9">
        <f t="shared" si="49"/>
        <v>0</v>
      </c>
      <c r="I3146" s="6">
        <v>14400</v>
      </c>
      <c r="J3146" s="6">
        <f>VLOOKUP(Table1[[#This Row],[Province]],[1]Sheet1!$A$3:$K$37,9,FALSE)</f>
        <v>9073500</v>
      </c>
      <c r="K3146">
        <v>1</v>
      </c>
      <c r="L3146" s="4">
        <v>3.6687989999999999</v>
      </c>
      <c r="M3146" s="4">
        <v>119.974053</v>
      </c>
      <c r="N3146" s="13">
        <v>7.21</v>
      </c>
      <c r="P3146"/>
      <c r="Q3146" s="12"/>
      <c r="R3146" s="12"/>
    </row>
    <row r="3147" spans="1:18" x14ac:dyDescent="0.2">
      <c r="A3147">
        <v>27</v>
      </c>
      <c r="B3147" t="s">
        <v>27</v>
      </c>
      <c r="C3147">
        <v>2017</v>
      </c>
      <c r="D3147">
        <v>6</v>
      </c>
      <c r="E3147" s="4">
        <v>332</v>
      </c>
      <c r="F3147" s="9">
        <v>0</v>
      </c>
      <c r="G3147" s="6">
        <v>4508</v>
      </c>
      <c r="H3147" s="9">
        <f t="shared" si="49"/>
        <v>332</v>
      </c>
      <c r="I3147" s="6">
        <v>14573</v>
      </c>
      <c r="J3147" s="6">
        <f>VLOOKUP(Table1[[#This Row],[Province]],[1]Sheet1!$A$3:$K$37,9,FALSE)</f>
        <v>9073500</v>
      </c>
      <c r="K3147">
        <v>0</v>
      </c>
      <c r="L3147" s="4">
        <v>3.6687989999999999</v>
      </c>
      <c r="M3147" s="4">
        <v>119.974053</v>
      </c>
      <c r="N3147" s="13">
        <v>7.21</v>
      </c>
      <c r="P3147"/>
      <c r="Q3147" s="12"/>
      <c r="R3147" s="12"/>
    </row>
    <row r="3148" spans="1:18" x14ac:dyDescent="0.2">
      <c r="A3148">
        <v>27</v>
      </c>
      <c r="B3148" t="s">
        <v>27</v>
      </c>
      <c r="C3148">
        <v>2017</v>
      </c>
      <c r="D3148">
        <v>7</v>
      </c>
      <c r="E3148" s="4">
        <v>2863</v>
      </c>
      <c r="F3148" s="9">
        <v>0</v>
      </c>
      <c r="G3148" s="6">
        <v>5019</v>
      </c>
      <c r="H3148" s="9">
        <f t="shared" si="49"/>
        <v>2863</v>
      </c>
      <c r="I3148" s="6">
        <v>14353</v>
      </c>
      <c r="J3148" s="6">
        <f>VLOOKUP(Table1[[#This Row],[Province]],[1]Sheet1!$A$3:$K$37,9,FALSE)</f>
        <v>9073500</v>
      </c>
      <c r="K3148">
        <v>0</v>
      </c>
      <c r="L3148" s="4">
        <v>3.6687989999999999</v>
      </c>
      <c r="M3148" s="4">
        <v>119.974053</v>
      </c>
      <c r="N3148" s="13">
        <v>7.21</v>
      </c>
      <c r="P3148"/>
      <c r="Q3148" s="12"/>
      <c r="R3148" s="12"/>
    </row>
    <row r="3149" spans="1:18" x14ac:dyDescent="0.2">
      <c r="A3149">
        <v>27</v>
      </c>
      <c r="B3149" t="s">
        <v>27</v>
      </c>
      <c r="C3149">
        <v>2017</v>
      </c>
      <c r="D3149">
        <v>8</v>
      </c>
      <c r="E3149" s="4">
        <v>7929</v>
      </c>
      <c r="F3149" s="9">
        <v>0</v>
      </c>
      <c r="G3149" s="6">
        <v>9620</v>
      </c>
      <c r="H3149" s="9">
        <f t="shared" si="49"/>
        <v>7929</v>
      </c>
      <c r="I3149" s="6">
        <v>14400</v>
      </c>
      <c r="J3149" s="6">
        <f>VLOOKUP(Table1[[#This Row],[Province]],[1]Sheet1!$A$3:$K$37,9,FALSE)</f>
        <v>9073500</v>
      </c>
      <c r="K3149">
        <v>0</v>
      </c>
      <c r="L3149" s="4">
        <v>3.6687989999999999</v>
      </c>
      <c r="M3149" s="4">
        <v>119.974053</v>
      </c>
      <c r="N3149" s="13">
        <v>7.21</v>
      </c>
      <c r="P3149"/>
      <c r="Q3149" s="12"/>
      <c r="R3149" s="12"/>
    </row>
    <row r="3150" spans="1:18" x14ac:dyDescent="0.2">
      <c r="A3150">
        <v>27</v>
      </c>
      <c r="B3150" t="s">
        <v>27</v>
      </c>
      <c r="C3150">
        <v>2017</v>
      </c>
      <c r="D3150">
        <v>9</v>
      </c>
      <c r="E3150" s="4">
        <v>9397</v>
      </c>
      <c r="F3150" s="9">
        <v>0</v>
      </c>
      <c r="G3150" s="6">
        <v>9322</v>
      </c>
      <c r="H3150" s="9">
        <f t="shared" si="49"/>
        <v>9397</v>
      </c>
      <c r="I3150" s="6">
        <v>14088</v>
      </c>
      <c r="J3150" s="6">
        <f>VLOOKUP(Table1[[#This Row],[Province]],[1]Sheet1!$A$3:$K$37,9,FALSE)</f>
        <v>9073500</v>
      </c>
      <c r="K3150">
        <v>0</v>
      </c>
      <c r="L3150" s="4">
        <v>3.6687989999999999</v>
      </c>
      <c r="M3150" s="4">
        <v>119.974053</v>
      </c>
      <c r="N3150" s="13">
        <v>7.21</v>
      </c>
      <c r="P3150"/>
      <c r="Q3150" s="12"/>
      <c r="R3150" s="12"/>
    </row>
    <row r="3151" spans="1:18" x14ac:dyDescent="0.2">
      <c r="A3151">
        <v>27</v>
      </c>
      <c r="B3151" t="s">
        <v>27</v>
      </c>
      <c r="C3151">
        <v>2017</v>
      </c>
      <c r="D3151">
        <v>10</v>
      </c>
      <c r="E3151" s="4">
        <v>9682</v>
      </c>
      <c r="F3151" s="9">
        <v>0</v>
      </c>
      <c r="G3151" s="6">
        <v>12100</v>
      </c>
      <c r="H3151" s="9">
        <f t="shared" si="49"/>
        <v>9682</v>
      </c>
      <c r="I3151" s="6">
        <v>13545</v>
      </c>
      <c r="J3151" s="6">
        <f>VLOOKUP(Table1[[#This Row],[Province]],[1]Sheet1!$A$3:$K$37,9,FALSE)</f>
        <v>9073500</v>
      </c>
      <c r="K3151">
        <v>0</v>
      </c>
      <c r="L3151" s="4">
        <v>3.6687989999999999</v>
      </c>
      <c r="M3151" s="4">
        <v>119.974053</v>
      </c>
      <c r="N3151" s="13">
        <v>7.21</v>
      </c>
      <c r="P3151"/>
      <c r="Q3151" s="12"/>
      <c r="R3151" s="12"/>
    </row>
    <row r="3152" spans="1:18" x14ac:dyDescent="0.2">
      <c r="A3152">
        <v>27</v>
      </c>
      <c r="B3152" t="s">
        <v>27</v>
      </c>
      <c r="C3152">
        <v>2017</v>
      </c>
      <c r="D3152">
        <v>11</v>
      </c>
      <c r="E3152" s="4">
        <v>6722</v>
      </c>
      <c r="F3152" s="9">
        <v>0</v>
      </c>
      <c r="G3152" s="6">
        <v>3162</v>
      </c>
      <c r="H3152" s="9">
        <f t="shared" si="49"/>
        <v>6722</v>
      </c>
      <c r="I3152" s="6">
        <v>13801</v>
      </c>
      <c r="J3152" s="6">
        <f>VLOOKUP(Table1[[#This Row],[Province]],[1]Sheet1!$A$3:$K$37,9,FALSE)</f>
        <v>9073500</v>
      </c>
      <c r="K3152">
        <v>0</v>
      </c>
      <c r="L3152" s="4">
        <v>3.6687989999999999</v>
      </c>
      <c r="M3152" s="4">
        <v>119.974053</v>
      </c>
      <c r="N3152" s="13">
        <v>7.21</v>
      </c>
      <c r="P3152"/>
      <c r="Q3152" s="12"/>
      <c r="R3152" s="12"/>
    </row>
    <row r="3153" spans="1:18" x14ac:dyDescent="0.2">
      <c r="A3153">
        <v>27</v>
      </c>
      <c r="B3153" t="s">
        <v>27</v>
      </c>
      <c r="C3153">
        <v>2017</v>
      </c>
      <c r="D3153">
        <v>12</v>
      </c>
      <c r="E3153" s="4">
        <v>4467</v>
      </c>
      <c r="F3153" s="9">
        <v>0</v>
      </c>
      <c r="G3153" s="6">
        <v>5891</v>
      </c>
      <c r="H3153" s="9">
        <f t="shared" si="49"/>
        <v>4467</v>
      </c>
      <c r="I3153" s="6">
        <v>13804</v>
      </c>
      <c r="J3153" s="6">
        <f>VLOOKUP(Table1[[#This Row],[Province]],[1]Sheet1!$A$3:$K$37,9,FALSE)</f>
        <v>9073500</v>
      </c>
      <c r="K3153">
        <v>1</v>
      </c>
      <c r="L3153" s="4">
        <v>3.6687989999999999</v>
      </c>
      <c r="M3153" s="4">
        <v>119.974053</v>
      </c>
      <c r="N3153" s="13">
        <v>7.21</v>
      </c>
      <c r="P3153"/>
      <c r="Q3153" s="12"/>
      <c r="R3153" s="12"/>
    </row>
    <row r="3154" spans="1:18" x14ac:dyDescent="0.2">
      <c r="A3154">
        <v>27</v>
      </c>
      <c r="B3154" t="s">
        <v>27</v>
      </c>
      <c r="C3154">
        <v>2018</v>
      </c>
      <c r="D3154">
        <v>1</v>
      </c>
      <c r="E3154" s="4">
        <v>0</v>
      </c>
      <c r="F3154" s="9">
        <v>0</v>
      </c>
      <c r="G3154" s="6">
        <v>6152</v>
      </c>
      <c r="H3154" s="9">
        <f t="shared" si="49"/>
        <v>0</v>
      </c>
      <c r="I3154" s="6">
        <v>12750</v>
      </c>
      <c r="J3154" s="6">
        <f>VLOOKUP(Table1[[#This Row],[Province]],[1]Sheet1!$A$3:$K$37,9,FALSE)</f>
        <v>9073500</v>
      </c>
      <c r="K3154">
        <v>0</v>
      </c>
      <c r="L3154" s="4">
        <v>3.6687989999999999</v>
      </c>
      <c r="M3154" s="4">
        <v>119.974053</v>
      </c>
      <c r="N3154" s="13">
        <v>7.04</v>
      </c>
      <c r="P3154"/>
      <c r="Q3154" s="12"/>
      <c r="R3154" s="12"/>
    </row>
    <row r="3155" spans="1:18" x14ac:dyDescent="0.2">
      <c r="A3155">
        <v>27</v>
      </c>
      <c r="B3155" t="s">
        <v>27</v>
      </c>
      <c r="C3155">
        <v>2018</v>
      </c>
      <c r="D3155">
        <v>2</v>
      </c>
      <c r="E3155" s="4">
        <v>0</v>
      </c>
      <c r="F3155" s="9">
        <v>0</v>
      </c>
      <c r="G3155" s="6">
        <v>4538</v>
      </c>
      <c r="H3155" s="9">
        <f t="shared" si="49"/>
        <v>0</v>
      </c>
      <c r="I3155" s="6">
        <v>12526</v>
      </c>
      <c r="J3155" s="6">
        <f>VLOOKUP(Table1[[#This Row],[Province]],[1]Sheet1!$A$3:$K$37,9,FALSE)</f>
        <v>9073500</v>
      </c>
      <c r="K3155">
        <v>0</v>
      </c>
      <c r="L3155" s="4">
        <v>3.6687989999999999</v>
      </c>
      <c r="M3155" s="4">
        <v>119.974053</v>
      </c>
      <c r="N3155" s="13">
        <v>7.04</v>
      </c>
      <c r="P3155"/>
      <c r="Q3155" s="12"/>
      <c r="R3155" s="12"/>
    </row>
    <row r="3156" spans="1:18" x14ac:dyDescent="0.2">
      <c r="A3156">
        <v>27</v>
      </c>
      <c r="B3156" t="s">
        <v>27</v>
      </c>
      <c r="C3156">
        <v>2018</v>
      </c>
      <c r="D3156">
        <v>3</v>
      </c>
      <c r="E3156" s="4">
        <v>0</v>
      </c>
      <c r="F3156" s="9">
        <v>0</v>
      </c>
      <c r="G3156" s="6">
        <v>5456</v>
      </c>
      <c r="H3156" s="9">
        <f t="shared" si="49"/>
        <v>0</v>
      </c>
      <c r="I3156" s="6">
        <v>12206</v>
      </c>
      <c r="J3156" s="6">
        <f>VLOOKUP(Table1[[#This Row],[Province]],[1]Sheet1!$A$3:$K$37,9,FALSE)</f>
        <v>9073500</v>
      </c>
      <c r="K3156">
        <v>0</v>
      </c>
      <c r="L3156" s="4">
        <v>3.6687989999999999</v>
      </c>
      <c r="M3156" s="4">
        <v>119.974053</v>
      </c>
      <c r="N3156" s="13">
        <v>7.04</v>
      </c>
      <c r="P3156"/>
      <c r="Q3156" s="12"/>
      <c r="R3156" s="12"/>
    </row>
    <row r="3157" spans="1:18" x14ac:dyDescent="0.2">
      <c r="A3157">
        <v>27</v>
      </c>
      <c r="B3157" t="s">
        <v>27</v>
      </c>
      <c r="C3157">
        <v>2018</v>
      </c>
      <c r="D3157">
        <v>4</v>
      </c>
      <c r="E3157" s="4">
        <v>0</v>
      </c>
      <c r="F3157" s="9">
        <v>0</v>
      </c>
      <c r="G3157" s="6">
        <v>4229</v>
      </c>
      <c r="H3157" s="9">
        <f t="shared" si="49"/>
        <v>0</v>
      </c>
      <c r="I3157" s="6">
        <v>12017</v>
      </c>
      <c r="J3157" s="6">
        <f>VLOOKUP(Table1[[#This Row],[Province]],[1]Sheet1!$A$3:$K$37,9,FALSE)</f>
        <v>9073500</v>
      </c>
      <c r="K3157">
        <v>0</v>
      </c>
      <c r="L3157" s="4">
        <v>3.6687989999999999</v>
      </c>
      <c r="M3157" s="4">
        <v>119.974053</v>
      </c>
      <c r="N3157" s="13">
        <v>7.04</v>
      </c>
      <c r="P3157"/>
      <c r="Q3157" s="12"/>
      <c r="R3157" s="12"/>
    </row>
    <row r="3158" spans="1:18" x14ac:dyDescent="0.2">
      <c r="A3158">
        <v>27</v>
      </c>
      <c r="B3158" t="s">
        <v>27</v>
      </c>
      <c r="C3158">
        <v>2018</v>
      </c>
      <c r="D3158">
        <v>5</v>
      </c>
      <c r="E3158" s="4">
        <v>0</v>
      </c>
      <c r="F3158" s="9">
        <v>0</v>
      </c>
      <c r="G3158" s="6">
        <v>806</v>
      </c>
      <c r="H3158" s="9">
        <f t="shared" si="49"/>
        <v>0</v>
      </c>
      <c r="I3158" s="6">
        <v>12532</v>
      </c>
      <c r="J3158" s="6">
        <f>VLOOKUP(Table1[[#This Row],[Province]],[1]Sheet1!$A$3:$K$37,9,FALSE)</f>
        <v>9073500</v>
      </c>
      <c r="K3158">
        <v>1</v>
      </c>
      <c r="L3158" s="4">
        <v>3.6687989999999999</v>
      </c>
      <c r="M3158" s="4">
        <v>119.974053</v>
      </c>
      <c r="N3158" s="13">
        <v>7.04</v>
      </c>
      <c r="P3158"/>
      <c r="Q3158" s="12"/>
      <c r="R3158" s="12"/>
    </row>
    <row r="3159" spans="1:18" x14ac:dyDescent="0.2">
      <c r="A3159">
        <v>27</v>
      </c>
      <c r="B3159" t="s">
        <v>27</v>
      </c>
      <c r="C3159">
        <v>2018</v>
      </c>
      <c r="D3159">
        <v>6</v>
      </c>
      <c r="E3159" s="4">
        <v>520</v>
      </c>
      <c r="F3159" s="9">
        <v>0</v>
      </c>
      <c r="G3159" s="6">
        <v>5128</v>
      </c>
      <c r="H3159" s="9">
        <f t="shared" si="49"/>
        <v>520</v>
      </c>
      <c r="I3159" s="6">
        <v>12563</v>
      </c>
      <c r="J3159" s="6">
        <f>VLOOKUP(Table1[[#This Row],[Province]],[1]Sheet1!$A$3:$K$37,9,FALSE)</f>
        <v>9073500</v>
      </c>
      <c r="K3159">
        <v>0</v>
      </c>
      <c r="L3159" s="4">
        <v>3.6687989999999999</v>
      </c>
      <c r="M3159" s="4">
        <v>119.974053</v>
      </c>
      <c r="N3159" s="13">
        <v>7.04</v>
      </c>
      <c r="P3159"/>
      <c r="Q3159" s="12"/>
      <c r="R3159" s="12"/>
    </row>
    <row r="3160" spans="1:18" x14ac:dyDescent="0.2">
      <c r="A3160">
        <v>27</v>
      </c>
      <c r="B3160" t="s">
        <v>27</v>
      </c>
      <c r="C3160">
        <v>2018</v>
      </c>
      <c r="D3160">
        <v>7</v>
      </c>
      <c r="E3160" s="4">
        <v>3514</v>
      </c>
      <c r="F3160" s="9">
        <v>0</v>
      </c>
      <c r="G3160" s="6">
        <v>7183</v>
      </c>
      <c r="H3160" s="9">
        <f t="shared" si="49"/>
        <v>3514</v>
      </c>
      <c r="I3160" s="6">
        <v>12495</v>
      </c>
      <c r="J3160" s="6">
        <f>VLOOKUP(Table1[[#This Row],[Province]],[1]Sheet1!$A$3:$K$37,9,FALSE)</f>
        <v>9073500</v>
      </c>
      <c r="K3160">
        <v>0</v>
      </c>
      <c r="L3160" s="4">
        <v>3.6687989999999999</v>
      </c>
      <c r="M3160" s="4">
        <v>119.974053</v>
      </c>
      <c r="N3160" s="13">
        <v>7.04</v>
      </c>
      <c r="P3160"/>
      <c r="Q3160" s="12"/>
      <c r="R3160" s="12"/>
    </row>
    <row r="3161" spans="1:18" x14ac:dyDescent="0.2">
      <c r="A3161">
        <v>27</v>
      </c>
      <c r="B3161" t="s">
        <v>27</v>
      </c>
      <c r="C3161">
        <v>2018</v>
      </c>
      <c r="D3161">
        <v>8</v>
      </c>
      <c r="E3161" s="4">
        <v>4241</v>
      </c>
      <c r="F3161" s="9">
        <v>0</v>
      </c>
      <c r="G3161" s="6">
        <v>10502</v>
      </c>
      <c r="H3161" s="9">
        <f t="shared" si="49"/>
        <v>4241</v>
      </c>
      <c r="I3161" s="6">
        <v>12363</v>
      </c>
      <c r="J3161" s="6">
        <f>VLOOKUP(Table1[[#This Row],[Province]],[1]Sheet1!$A$3:$K$37,9,FALSE)</f>
        <v>9073500</v>
      </c>
      <c r="K3161">
        <v>0</v>
      </c>
      <c r="L3161" s="4">
        <v>3.6687989999999999</v>
      </c>
      <c r="M3161" s="4">
        <v>119.974053</v>
      </c>
      <c r="N3161" s="13">
        <v>7.04</v>
      </c>
      <c r="P3161"/>
      <c r="Q3161" s="12"/>
      <c r="R3161" s="12"/>
    </row>
    <row r="3162" spans="1:18" x14ac:dyDescent="0.2">
      <c r="A3162">
        <v>27</v>
      </c>
      <c r="B3162" t="s">
        <v>27</v>
      </c>
      <c r="C3162">
        <v>2018</v>
      </c>
      <c r="D3162">
        <v>9</v>
      </c>
      <c r="E3162" s="4">
        <v>9678</v>
      </c>
      <c r="F3162" s="9">
        <v>0</v>
      </c>
      <c r="G3162" s="6">
        <v>6393</v>
      </c>
      <c r="H3162" s="9">
        <f t="shared" si="49"/>
        <v>9678</v>
      </c>
      <c r="I3162" s="6">
        <v>12429</v>
      </c>
      <c r="J3162" s="6">
        <f>VLOOKUP(Table1[[#This Row],[Province]],[1]Sheet1!$A$3:$K$37,9,FALSE)</f>
        <v>9073500</v>
      </c>
      <c r="K3162">
        <v>0</v>
      </c>
      <c r="L3162" s="4">
        <v>3.6687989999999999</v>
      </c>
      <c r="M3162" s="4">
        <v>119.974053</v>
      </c>
      <c r="N3162" s="13">
        <v>7.04</v>
      </c>
      <c r="P3162"/>
      <c r="Q3162" s="12"/>
      <c r="R3162" s="12"/>
    </row>
    <row r="3163" spans="1:18" x14ac:dyDescent="0.2">
      <c r="A3163">
        <v>27</v>
      </c>
      <c r="B3163" t="s">
        <v>27</v>
      </c>
      <c r="C3163">
        <v>2018</v>
      </c>
      <c r="D3163">
        <v>10</v>
      </c>
      <c r="E3163" s="4">
        <v>13155</v>
      </c>
      <c r="F3163" s="9">
        <v>0</v>
      </c>
      <c r="G3163" s="6">
        <v>6390</v>
      </c>
      <c r="H3163" s="9">
        <f t="shared" si="49"/>
        <v>13155</v>
      </c>
      <c r="I3163" s="6">
        <v>12500</v>
      </c>
      <c r="J3163" s="6">
        <f>VLOOKUP(Table1[[#This Row],[Province]],[1]Sheet1!$A$3:$K$37,9,FALSE)</f>
        <v>9073500</v>
      </c>
      <c r="K3163">
        <v>0</v>
      </c>
      <c r="L3163" s="4">
        <v>3.6687989999999999</v>
      </c>
      <c r="M3163" s="4">
        <v>119.974053</v>
      </c>
      <c r="N3163" s="13">
        <v>7.04</v>
      </c>
      <c r="P3163"/>
      <c r="Q3163" s="12"/>
      <c r="R3163" s="12"/>
    </row>
    <row r="3164" spans="1:18" x14ac:dyDescent="0.2">
      <c r="A3164">
        <v>27</v>
      </c>
      <c r="B3164" t="s">
        <v>27</v>
      </c>
      <c r="C3164">
        <v>2018</v>
      </c>
      <c r="D3164">
        <v>11</v>
      </c>
      <c r="E3164" s="4">
        <v>7740</v>
      </c>
      <c r="F3164" s="9">
        <v>0</v>
      </c>
      <c r="G3164" s="6">
        <v>4865</v>
      </c>
      <c r="H3164" s="9">
        <f t="shared" si="49"/>
        <v>7740</v>
      </c>
      <c r="I3164" s="6">
        <v>12500</v>
      </c>
      <c r="J3164" s="6">
        <f>VLOOKUP(Table1[[#This Row],[Province]],[1]Sheet1!$A$3:$K$37,9,FALSE)</f>
        <v>9073500</v>
      </c>
      <c r="K3164">
        <v>0</v>
      </c>
      <c r="L3164" s="4">
        <v>3.6687989999999999</v>
      </c>
      <c r="M3164" s="4">
        <v>119.974053</v>
      </c>
      <c r="N3164" s="13">
        <v>7.04</v>
      </c>
      <c r="P3164"/>
      <c r="Q3164" s="12"/>
      <c r="R3164" s="12"/>
    </row>
    <row r="3165" spans="1:18" x14ac:dyDescent="0.2">
      <c r="A3165">
        <v>27</v>
      </c>
      <c r="B3165" t="s">
        <v>27</v>
      </c>
      <c r="C3165">
        <v>2018</v>
      </c>
      <c r="D3165">
        <v>12</v>
      </c>
      <c r="E3165" s="4">
        <v>4169</v>
      </c>
      <c r="F3165" s="9">
        <v>0</v>
      </c>
      <c r="G3165" s="6">
        <v>7685</v>
      </c>
      <c r="H3165" s="9">
        <f t="shared" si="49"/>
        <v>4169</v>
      </c>
      <c r="I3165" s="6">
        <v>12482</v>
      </c>
      <c r="J3165" s="6">
        <f>VLOOKUP(Table1[[#This Row],[Province]],[1]Sheet1!$A$3:$K$37,9,FALSE)</f>
        <v>9073500</v>
      </c>
      <c r="K3165">
        <v>1</v>
      </c>
      <c r="L3165" s="4">
        <v>3.6687989999999999</v>
      </c>
      <c r="M3165" s="4">
        <v>119.974053</v>
      </c>
      <c r="N3165" s="13">
        <v>7.04</v>
      </c>
      <c r="P3165"/>
      <c r="Q3165" s="12"/>
      <c r="R3165" s="12"/>
    </row>
    <row r="3166" spans="1:18" x14ac:dyDescent="0.2">
      <c r="A3166">
        <v>27</v>
      </c>
      <c r="B3166" t="s">
        <v>27</v>
      </c>
      <c r="C3166">
        <v>2019</v>
      </c>
      <c r="D3166">
        <v>1</v>
      </c>
      <c r="E3166" s="4">
        <v>0</v>
      </c>
      <c r="F3166" s="9">
        <v>0</v>
      </c>
      <c r="G3166" s="6">
        <v>4337</v>
      </c>
      <c r="H3166" s="9">
        <f t="shared" si="49"/>
        <v>0</v>
      </c>
      <c r="I3166" s="6">
        <v>12145</v>
      </c>
      <c r="J3166" s="6">
        <f>VLOOKUP(Table1[[#This Row],[Province]],[1]Sheet1!$A$3:$K$37,9,FALSE)</f>
        <v>9073500</v>
      </c>
      <c r="K3166">
        <v>0</v>
      </c>
      <c r="L3166" s="4">
        <v>3.6687989999999999</v>
      </c>
      <c r="M3166" s="4">
        <v>119.974053</v>
      </c>
      <c r="N3166" s="13">
        <v>6.91</v>
      </c>
      <c r="P3166"/>
      <c r="Q3166" s="12"/>
      <c r="R3166" s="12"/>
    </row>
    <row r="3167" spans="1:18" x14ac:dyDescent="0.2">
      <c r="A3167">
        <v>27</v>
      </c>
      <c r="B3167" t="s">
        <v>27</v>
      </c>
      <c r="C3167">
        <v>2019</v>
      </c>
      <c r="D3167">
        <v>2</v>
      </c>
      <c r="E3167" s="4">
        <v>0</v>
      </c>
      <c r="F3167" s="9">
        <v>0</v>
      </c>
      <c r="G3167" s="6">
        <v>5301</v>
      </c>
      <c r="H3167" s="9">
        <f t="shared" si="49"/>
        <v>0</v>
      </c>
      <c r="I3167" s="6">
        <v>11839</v>
      </c>
      <c r="J3167" s="6">
        <f>VLOOKUP(Table1[[#This Row],[Province]],[1]Sheet1!$A$3:$K$37,9,FALSE)</f>
        <v>9073500</v>
      </c>
      <c r="K3167">
        <v>0</v>
      </c>
      <c r="L3167" s="4">
        <v>3.6687989999999999</v>
      </c>
      <c r="M3167" s="4">
        <v>119.974053</v>
      </c>
      <c r="N3167" s="13">
        <v>6.91</v>
      </c>
      <c r="P3167"/>
      <c r="Q3167" s="12"/>
      <c r="R3167" s="12"/>
    </row>
    <row r="3168" spans="1:18" x14ac:dyDescent="0.2">
      <c r="A3168">
        <v>27</v>
      </c>
      <c r="B3168" t="s">
        <v>27</v>
      </c>
      <c r="C3168">
        <v>2019</v>
      </c>
      <c r="D3168">
        <v>3</v>
      </c>
      <c r="E3168" s="4">
        <v>0</v>
      </c>
      <c r="F3168" s="9">
        <v>0</v>
      </c>
      <c r="G3168" s="6">
        <v>8661</v>
      </c>
      <c r="H3168" s="9">
        <f t="shared" si="49"/>
        <v>0</v>
      </c>
      <c r="I3168" s="6">
        <v>12223</v>
      </c>
      <c r="J3168" s="6">
        <f>VLOOKUP(Table1[[#This Row],[Province]],[1]Sheet1!$A$3:$K$37,9,FALSE)</f>
        <v>9073500</v>
      </c>
      <c r="K3168">
        <v>0</v>
      </c>
      <c r="L3168" s="4">
        <v>3.6687989999999999</v>
      </c>
      <c r="M3168" s="4">
        <v>119.974053</v>
      </c>
      <c r="N3168" s="13">
        <v>6.91</v>
      </c>
      <c r="P3168"/>
      <c r="Q3168" s="12"/>
      <c r="R3168" s="12"/>
    </row>
    <row r="3169" spans="1:18" x14ac:dyDescent="0.2">
      <c r="A3169">
        <v>27</v>
      </c>
      <c r="B3169" t="s">
        <v>27</v>
      </c>
      <c r="C3169">
        <v>2019</v>
      </c>
      <c r="D3169">
        <v>4</v>
      </c>
      <c r="E3169" s="4">
        <v>0</v>
      </c>
      <c r="F3169" s="9">
        <v>0</v>
      </c>
      <c r="G3169" s="6">
        <v>4842</v>
      </c>
      <c r="H3169" s="9">
        <f t="shared" si="49"/>
        <v>0</v>
      </c>
      <c r="I3169" s="6">
        <v>11956</v>
      </c>
      <c r="J3169" s="6">
        <f>VLOOKUP(Table1[[#This Row],[Province]],[1]Sheet1!$A$3:$K$37,9,FALSE)</f>
        <v>9073500</v>
      </c>
      <c r="K3169">
        <v>0</v>
      </c>
      <c r="L3169" s="4">
        <v>3.6687989999999999</v>
      </c>
      <c r="M3169" s="4">
        <v>119.974053</v>
      </c>
      <c r="N3169" s="13">
        <v>6.91</v>
      </c>
      <c r="P3169"/>
      <c r="Q3169" s="12"/>
      <c r="R3169" s="12"/>
    </row>
    <row r="3170" spans="1:18" x14ac:dyDescent="0.2">
      <c r="A3170">
        <v>27</v>
      </c>
      <c r="B3170" t="s">
        <v>27</v>
      </c>
      <c r="C3170">
        <v>2019</v>
      </c>
      <c r="D3170">
        <v>5</v>
      </c>
      <c r="E3170" s="4">
        <v>0</v>
      </c>
      <c r="F3170" s="9">
        <v>0</v>
      </c>
      <c r="G3170" s="6">
        <v>6062</v>
      </c>
      <c r="H3170" s="9">
        <f t="shared" si="49"/>
        <v>0</v>
      </c>
      <c r="I3170" s="6">
        <v>12252</v>
      </c>
      <c r="J3170" s="6">
        <f>VLOOKUP(Table1[[#This Row],[Province]],[1]Sheet1!$A$3:$K$37,9,FALSE)</f>
        <v>9073500</v>
      </c>
      <c r="K3170">
        <v>1</v>
      </c>
      <c r="L3170" s="4">
        <v>3.6687989999999999</v>
      </c>
      <c r="M3170" s="4">
        <v>119.974053</v>
      </c>
      <c r="N3170" s="13">
        <v>6.91</v>
      </c>
      <c r="P3170"/>
      <c r="Q3170" s="12"/>
      <c r="R3170" s="12"/>
    </row>
    <row r="3171" spans="1:18" x14ac:dyDescent="0.2">
      <c r="A3171">
        <v>27</v>
      </c>
      <c r="B3171" t="s">
        <v>27</v>
      </c>
      <c r="C3171">
        <v>2019</v>
      </c>
      <c r="D3171">
        <v>6</v>
      </c>
      <c r="E3171" s="4">
        <v>1137</v>
      </c>
      <c r="F3171" s="9">
        <v>0</v>
      </c>
      <c r="G3171" s="6">
        <v>7964</v>
      </c>
      <c r="H3171" s="9">
        <f t="shared" si="49"/>
        <v>1137</v>
      </c>
      <c r="I3171" s="6">
        <v>12009</v>
      </c>
      <c r="J3171" s="6">
        <f>VLOOKUP(Table1[[#This Row],[Province]],[1]Sheet1!$A$3:$K$37,9,FALSE)</f>
        <v>9073500</v>
      </c>
      <c r="K3171">
        <v>0</v>
      </c>
      <c r="L3171" s="4">
        <v>3.6687989999999999</v>
      </c>
      <c r="M3171" s="4">
        <v>119.974053</v>
      </c>
      <c r="N3171" s="13">
        <v>6.91</v>
      </c>
      <c r="P3171"/>
      <c r="Q3171" s="12"/>
      <c r="R3171" s="12"/>
    </row>
    <row r="3172" spans="1:18" x14ac:dyDescent="0.2">
      <c r="A3172">
        <v>27</v>
      </c>
      <c r="B3172" t="s">
        <v>27</v>
      </c>
      <c r="C3172">
        <v>2019</v>
      </c>
      <c r="D3172">
        <v>7</v>
      </c>
      <c r="E3172" s="4">
        <v>6346</v>
      </c>
      <c r="F3172" s="9">
        <v>0</v>
      </c>
      <c r="G3172" s="6">
        <v>5205</v>
      </c>
      <c r="H3172" s="9">
        <f t="shared" si="49"/>
        <v>6346</v>
      </c>
      <c r="I3172" s="6">
        <v>12107</v>
      </c>
      <c r="J3172" s="6">
        <f>VLOOKUP(Table1[[#This Row],[Province]],[1]Sheet1!$A$3:$K$37,9,FALSE)</f>
        <v>9073500</v>
      </c>
      <c r="K3172">
        <v>0</v>
      </c>
      <c r="L3172" s="4">
        <v>3.6687989999999999</v>
      </c>
      <c r="M3172" s="4">
        <v>119.974053</v>
      </c>
      <c r="N3172" s="13">
        <v>6.91</v>
      </c>
      <c r="P3172"/>
      <c r="Q3172" s="12"/>
      <c r="R3172" s="12"/>
    </row>
    <row r="3173" spans="1:18" x14ac:dyDescent="0.2">
      <c r="A3173">
        <v>27</v>
      </c>
      <c r="B3173" t="s">
        <v>27</v>
      </c>
      <c r="C3173">
        <v>2019</v>
      </c>
      <c r="D3173">
        <v>8</v>
      </c>
      <c r="E3173" s="4">
        <v>8628</v>
      </c>
      <c r="F3173" s="9">
        <v>0</v>
      </c>
      <c r="G3173" s="6">
        <v>13203</v>
      </c>
      <c r="H3173" s="9">
        <f t="shared" si="49"/>
        <v>8628</v>
      </c>
      <c r="I3173" s="6">
        <v>12297</v>
      </c>
      <c r="J3173" s="6">
        <f>VLOOKUP(Table1[[#This Row],[Province]],[1]Sheet1!$A$3:$K$37,9,FALSE)</f>
        <v>9073500</v>
      </c>
      <c r="K3173">
        <v>0</v>
      </c>
      <c r="L3173" s="4">
        <v>3.6687989999999999</v>
      </c>
      <c r="M3173" s="4">
        <v>119.974053</v>
      </c>
      <c r="N3173" s="13">
        <v>6.91</v>
      </c>
      <c r="P3173"/>
      <c r="Q3173" s="12"/>
      <c r="R3173" s="12"/>
    </row>
    <row r="3174" spans="1:18" x14ac:dyDescent="0.2">
      <c r="A3174">
        <v>27</v>
      </c>
      <c r="B3174" t="s">
        <v>27</v>
      </c>
      <c r="C3174">
        <v>2019</v>
      </c>
      <c r="D3174">
        <v>9</v>
      </c>
      <c r="E3174" s="4">
        <v>14707</v>
      </c>
      <c r="F3174" s="9">
        <v>0</v>
      </c>
      <c r="G3174" s="6">
        <v>5073</v>
      </c>
      <c r="H3174" s="9">
        <f t="shared" si="49"/>
        <v>14707</v>
      </c>
      <c r="I3174" s="6">
        <v>12082</v>
      </c>
      <c r="J3174" s="6">
        <f>VLOOKUP(Table1[[#This Row],[Province]],[1]Sheet1!$A$3:$K$37,9,FALSE)</f>
        <v>9073500</v>
      </c>
      <c r="K3174">
        <v>0</v>
      </c>
      <c r="L3174" s="4">
        <v>3.6687989999999999</v>
      </c>
      <c r="M3174" s="4">
        <v>119.974053</v>
      </c>
      <c r="N3174" s="13">
        <v>6.91</v>
      </c>
      <c r="P3174"/>
      <c r="Q3174" s="12"/>
      <c r="R3174" s="12"/>
    </row>
    <row r="3175" spans="1:18" x14ac:dyDescent="0.2">
      <c r="A3175">
        <v>27</v>
      </c>
      <c r="B3175" t="s">
        <v>27</v>
      </c>
      <c r="C3175">
        <v>2019</v>
      </c>
      <c r="D3175">
        <v>10</v>
      </c>
      <c r="E3175" s="4">
        <v>10098</v>
      </c>
      <c r="F3175" s="9">
        <v>0</v>
      </c>
      <c r="G3175" s="6">
        <v>10948</v>
      </c>
      <c r="H3175" s="9">
        <f t="shared" si="49"/>
        <v>10098</v>
      </c>
      <c r="I3175" s="6">
        <v>12193</v>
      </c>
      <c r="J3175" s="6">
        <f>VLOOKUP(Table1[[#This Row],[Province]],[1]Sheet1!$A$3:$K$37,9,FALSE)</f>
        <v>9073500</v>
      </c>
      <c r="K3175">
        <v>0</v>
      </c>
      <c r="L3175" s="4">
        <v>3.6687989999999999</v>
      </c>
      <c r="M3175" s="4">
        <v>119.974053</v>
      </c>
      <c r="N3175" s="13">
        <v>6.91</v>
      </c>
      <c r="P3175"/>
      <c r="Q3175" s="12"/>
      <c r="R3175" s="12"/>
    </row>
    <row r="3176" spans="1:18" x14ac:dyDescent="0.2">
      <c r="A3176">
        <v>27</v>
      </c>
      <c r="B3176" t="s">
        <v>27</v>
      </c>
      <c r="C3176">
        <v>2019</v>
      </c>
      <c r="D3176">
        <v>11</v>
      </c>
      <c r="E3176" s="4">
        <v>5619</v>
      </c>
      <c r="F3176" s="9">
        <v>0</v>
      </c>
      <c r="G3176" s="6">
        <v>5234</v>
      </c>
      <c r="H3176" s="9">
        <f t="shared" si="49"/>
        <v>5619</v>
      </c>
      <c r="I3176" s="6">
        <v>12465</v>
      </c>
      <c r="J3176" s="6">
        <f>VLOOKUP(Table1[[#This Row],[Province]],[1]Sheet1!$A$3:$K$37,9,FALSE)</f>
        <v>9073500</v>
      </c>
      <c r="K3176">
        <v>0</v>
      </c>
      <c r="L3176" s="4">
        <v>3.6687989999999999</v>
      </c>
      <c r="M3176" s="4">
        <v>119.974053</v>
      </c>
      <c r="N3176" s="13">
        <v>6.91</v>
      </c>
      <c r="P3176"/>
      <c r="Q3176" s="12"/>
      <c r="R3176" s="12"/>
    </row>
    <row r="3177" spans="1:18" x14ac:dyDescent="0.2">
      <c r="A3177">
        <v>27</v>
      </c>
      <c r="B3177" t="s">
        <v>27</v>
      </c>
      <c r="C3177">
        <v>2019</v>
      </c>
      <c r="D3177">
        <v>12</v>
      </c>
      <c r="E3177" s="4">
        <v>0</v>
      </c>
      <c r="F3177" s="9">
        <v>0</v>
      </c>
      <c r="G3177" s="6">
        <v>9917</v>
      </c>
      <c r="H3177" s="9">
        <f t="shared" si="49"/>
        <v>0</v>
      </c>
      <c r="I3177" s="6">
        <v>12541</v>
      </c>
      <c r="J3177" s="6">
        <f>VLOOKUP(Table1[[#This Row],[Province]],[1]Sheet1!$A$3:$K$37,9,FALSE)</f>
        <v>9073500</v>
      </c>
      <c r="K3177">
        <v>1</v>
      </c>
      <c r="L3177" s="4">
        <v>3.6687989999999999</v>
      </c>
      <c r="M3177" s="4">
        <v>119.974053</v>
      </c>
      <c r="N3177" s="13">
        <v>6.91</v>
      </c>
      <c r="P3177"/>
      <c r="Q3177" s="12"/>
      <c r="R3177" s="12"/>
    </row>
    <row r="3178" spans="1:18" x14ac:dyDescent="0.2">
      <c r="A3178">
        <v>27</v>
      </c>
      <c r="B3178" t="s">
        <v>27</v>
      </c>
      <c r="C3178">
        <v>2020</v>
      </c>
      <c r="D3178">
        <v>1</v>
      </c>
      <c r="E3178" s="4">
        <v>0</v>
      </c>
      <c r="F3178" s="9">
        <v>0</v>
      </c>
      <c r="G3178" s="6">
        <v>7287</v>
      </c>
      <c r="H3178" s="9">
        <f t="shared" si="49"/>
        <v>0</v>
      </c>
      <c r="I3178" s="6">
        <v>12819</v>
      </c>
      <c r="J3178" s="6">
        <f>VLOOKUP(Table1[[#This Row],[Province]],[1]Sheet1!$A$3:$K$37,9,FALSE)</f>
        <v>9073500</v>
      </c>
      <c r="K3178">
        <v>0</v>
      </c>
      <c r="L3178" s="4">
        <v>3.6687989999999999</v>
      </c>
      <c r="M3178" s="4">
        <v>119.974053</v>
      </c>
      <c r="N3178" s="13">
        <v>-0.71</v>
      </c>
      <c r="P3178"/>
      <c r="Q3178" s="12"/>
      <c r="R3178" s="12"/>
    </row>
    <row r="3179" spans="1:18" x14ac:dyDescent="0.2">
      <c r="A3179">
        <v>27</v>
      </c>
      <c r="B3179" t="s">
        <v>27</v>
      </c>
      <c r="C3179">
        <v>2020</v>
      </c>
      <c r="D3179">
        <v>2</v>
      </c>
      <c r="E3179" s="4">
        <v>0</v>
      </c>
      <c r="F3179" s="9">
        <v>0</v>
      </c>
      <c r="G3179" s="6">
        <v>4313</v>
      </c>
      <c r="H3179" s="9">
        <f t="shared" si="49"/>
        <v>0</v>
      </c>
      <c r="I3179" s="6">
        <v>14395</v>
      </c>
      <c r="J3179" s="6">
        <f>VLOOKUP(Table1[[#This Row],[Province]],[1]Sheet1!$A$3:$K$37,9,FALSE)</f>
        <v>9073500</v>
      </c>
      <c r="K3179">
        <v>0</v>
      </c>
      <c r="L3179" s="4">
        <v>3.6687989999999999</v>
      </c>
      <c r="M3179" s="4">
        <v>119.974053</v>
      </c>
      <c r="N3179" s="13">
        <v>-0.71</v>
      </c>
      <c r="P3179"/>
      <c r="Q3179" s="12"/>
      <c r="R3179" s="12"/>
    </row>
    <row r="3180" spans="1:18" x14ac:dyDescent="0.2">
      <c r="A3180">
        <v>27</v>
      </c>
      <c r="B3180" t="s">
        <v>27</v>
      </c>
      <c r="C3180">
        <v>2020</v>
      </c>
      <c r="D3180">
        <v>3</v>
      </c>
      <c r="E3180" s="4">
        <v>0</v>
      </c>
      <c r="F3180" s="9">
        <v>0</v>
      </c>
      <c r="G3180" s="6">
        <v>3762</v>
      </c>
      <c r="H3180" s="9">
        <f t="shared" si="49"/>
        <v>0</v>
      </c>
      <c r="I3180" s="6">
        <v>17196</v>
      </c>
      <c r="J3180" s="6">
        <f>VLOOKUP(Table1[[#This Row],[Province]],[1]Sheet1!$A$3:$K$37,9,FALSE)</f>
        <v>9073500</v>
      </c>
      <c r="K3180">
        <v>0</v>
      </c>
      <c r="L3180" s="4">
        <v>3.6687989999999999</v>
      </c>
      <c r="M3180" s="4">
        <v>119.974053</v>
      </c>
      <c r="N3180" s="13">
        <v>-0.71</v>
      </c>
      <c r="P3180"/>
      <c r="Q3180" s="12"/>
      <c r="R3180" s="12"/>
    </row>
    <row r="3181" spans="1:18" x14ac:dyDescent="0.2">
      <c r="A3181">
        <v>27</v>
      </c>
      <c r="B3181" t="s">
        <v>27</v>
      </c>
      <c r="C3181">
        <v>2020</v>
      </c>
      <c r="D3181">
        <v>4</v>
      </c>
      <c r="E3181" s="4">
        <v>0</v>
      </c>
      <c r="F3181" s="9">
        <v>0</v>
      </c>
      <c r="G3181" s="6">
        <v>2382</v>
      </c>
      <c r="H3181" s="9">
        <f t="shared" si="49"/>
        <v>0</v>
      </c>
      <c r="I3181" s="6">
        <v>18571</v>
      </c>
      <c r="J3181" s="6">
        <f>VLOOKUP(Table1[[#This Row],[Province]],[1]Sheet1!$A$3:$K$37,9,FALSE)</f>
        <v>9073500</v>
      </c>
      <c r="K3181">
        <v>1</v>
      </c>
      <c r="L3181" s="4">
        <v>3.6687989999999999</v>
      </c>
      <c r="M3181" s="4">
        <v>119.974053</v>
      </c>
      <c r="N3181" s="13">
        <v>-0.71</v>
      </c>
      <c r="P3181"/>
      <c r="Q3181" s="12"/>
      <c r="R3181" s="12"/>
    </row>
    <row r="3182" spans="1:18" x14ac:dyDescent="0.2">
      <c r="A3182">
        <v>27</v>
      </c>
      <c r="B3182" t="s">
        <v>27</v>
      </c>
      <c r="C3182">
        <v>2020</v>
      </c>
      <c r="D3182">
        <v>5</v>
      </c>
      <c r="E3182" s="4">
        <v>0</v>
      </c>
      <c r="F3182" s="9">
        <v>0</v>
      </c>
      <c r="G3182" s="6">
        <v>739</v>
      </c>
      <c r="H3182" s="9">
        <f t="shared" si="49"/>
        <v>0</v>
      </c>
      <c r="I3182" s="6">
        <v>17822</v>
      </c>
      <c r="J3182" s="6">
        <f>VLOOKUP(Table1[[#This Row],[Province]],[1]Sheet1!$A$3:$K$37,9,FALSE)</f>
        <v>9073500</v>
      </c>
      <c r="K3182">
        <v>0</v>
      </c>
      <c r="L3182" s="4">
        <v>3.6687989999999999</v>
      </c>
      <c r="M3182" s="4">
        <v>119.974053</v>
      </c>
      <c r="N3182" s="13">
        <v>-0.71</v>
      </c>
      <c r="P3182"/>
      <c r="Q3182" s="12"/>
      <c r="R3182" s="12"/>
    </row>
    <row r="3183" spans="1:18" x14ac:dyDescent="0.2">
      <c r="A3183">
        <v>27</v>
      </c>
      <c r="B3183" t="s">
        <v>27</v>
      </c>
      <c r="C3183">
        <v>2020</v>
      </c>
      <c r="D3183">
        <v>6</v>
      </c>
      <c r="E3183" s="4">
        <v>367</v>
      </c>
      <c r="F3183" s="9">
        <v>1E-3</v>
      </c>
      <c r="G3183" s="6">
        <v>4970</v>
      </c>
      <c r="H3183" s="9">
        <f t="shared" si="49"/>
        <v>367.00099999999998</v>
      </c>
      <c r="I3183" s="6">
        <v>16000</v>
      </c>
      <c r="J3183" s="6">
        <f>VLOOKUP(Table1[[#This Row],[Province]],[1]Sheet1!$A$3:$K$37,9,FALSE)</f>
        <v>9073500</v>
      </c>
      <c r="K3183">
        <v>0</v>
      </c>
      <c r="L3183" s="4">
        <v>3.6687989999999999</v>
      </c>
      <c r="M3183" s="4">
        <v>119.974053</v>
      </c>
      <c r="N3183" s="13">
        <v>-0.71</v>
      </c>
      <c r="P3183"/>
      <c r="Q3183" s="12"/>
      <c r="R3183" s="12"/>
    </row>
    <row r="3184" spans="1:18" x14ac:dyDescent="0.2">
      <c r="A3184">
        <v>27</v>
      </c>
      <c r="B3184" t="s">
        <v>27</v>
      </c>
      <c r="C3184">
        <v>2020</v>
      </c>
      <c r="D3184">
        <v>7</v>
      </c>
      <c r="E3184" s="4">
        <v>7017</v>
      </c>
      <c r="F3184" s="9">
        <v>0</v>
      </c>
      <c r="G3184" s="6">
        <v>1101</v>
      </c>
      <c r="H3184" s="9">
        <f t="shared" si="49"/>
        <v>7017</v>
      </c>
      <c r="I3184" s="6">
        <v>15246</v>
      </c>
      <c r="J3184" s="6">
        <f>VLOOKUP(Table1[[#This Row],[Province]],[1]Sheet1!$A$3:$K$37,9,FALSE)</f>
        <v>9073500</v>
      </c>
      <c r="K3184">
        <v>0</v>
      </c>
      <c r="L3184" s="4">
        <v>3.6687989999999999</v>
      </c>
      <c r="M3184" s="4">
        <v>119.974053</v>
      </c>
      <c r="N3184" s="13">
        <v>-0.71</v>
      </c>
      <c r="P3184"/>
      <c r="Q3184" s="12"/>
      <c r="R3184" s="12"/>
    </row>
    <row r="3185" spans="1:18" x14ac:dyDescent="0.2">
      <c r="A3185">
        <v>27</v>
      </c>
      <c r="B3185" t="s">
        <v>27</v>
      </c>
      <c r="C3185">
        <v>2020</v>
      </c>
      <c r="D3185">
        <v>8</v>
      </c>
      <c r="E3185" s="4">
        <v>10547</v>
      </c>
      <c r="F3185" s="9">
        <v>0</v>
      </c>
      <c r="G3185" s="6">
        <v>2198</v>
      </c>
      <c r="H3185" s="9">
        <f t="shared" si="49"/>
        <v>10547</v>
      </c>
      <c r="I3185" s="6">
        <v>14000</v>
      </c>
      <c r="J3185" s="6">
        <f>VLOOKUP(Table1[[#This Row],[Province]],[1]Sheet1!$A$3:$K$37,9,FALSE)</f>
        <v>9073500</v>
      </c>
      <c r="K3185">
        <v>0</v>
      </c>
      <c r="L3185" s="4">
        <v>3.6687989999999999</v>
      </c>
      <c r="M3185" s="4">
        <v>119.974053</v>
      </c>
      <c r="N3185" s="13">
        <v>-0.71</v>
      </c>
      <c r="P3185"/>
      <c r="Q3185" s="12"/>
      <c r="R3185" s="12"/>
    </row>
    <row r="3186" spans="1:18" x14ac:dyDescent="0.2">
      <c r="A3186">
        <v>27</v>
      </c>
      <c r="B3186" t="s">
        <v>27</v>
      </c>
      <c r="C3186">
        <v>2020</v>
      </c>
      <c r="D3186">
        <v>9</v>
      </c>
      <c r="E3186" s="4">
        <v>13435</v>
      </c>
      <c r="F3186" s="9">
        <v>0</v>
      </c>
      <c r="G3186" s="6">
        <v>6800</v>
      </c>
      <c r="H3186" s="9">
        <f t="shared" si="49"/>
        <v>13435</v>
      </c>
      <c r="I3186" s="6">
        <v>13975</v>
      </c>
      <c r="J3186" s="6">
        <f>VLOOKUP(Table1[[#This Row],[Province]],[1]Sheet1!$A$3:$K$37,9,FALSE)</f>
        <v>9073500</v>
      </c>
      <c r="K3186">
        <v>0</v>
      </c>
      <c r="L3186" s="4">
        <v>3.6687989999999999</v>
      </c>
      <c r="M3186" s="4">
        <v>119.974053</v>
      </c>
      <c r="N3186" s="13">
        <v>-0.71</v>
      </c>
      <c r="P3186"/>
      <c r="Q3186" s="12"/>
      <c r="R3186" s="12"/>
    </row>
    <row r="3187" spans="1:18" x14ac:dyDescent="0.2">
      <c r="A3187">
        <v>27</v>
      </c>
      <c r="B3187" t="s">
        <v>27</v>
      </c>
      <c r="C3187">
        <v>2020</v>
      </c>
      <c r="D3187">
        <v>10</v>
      </c>
      <c r="E3187" s="4">
        <v>12860</v>
      </c>
      <c r="F3187" s="9">
        <v>0</v>
      </c>
      <c r="G3187" s="6">
        <v>3570</v>
      </c>
      <c r="H3187" s="9">
        <f t="shared" si="49"/>
        <v>12860</v>
      </c>
      <c r="I3187" s="6">
        <v>13528</v>
      </c>
      <c r="J3187" s="6">
        <f>VLOOKUP(Table1[[#This Row],[Province]],[1]Sheet1!$A$3:$K$37,9,FALSE)</f>
        <v>9073500</v>
      </c>
      <c r="K3187">
        <v>0</v>
      </c>
      <c r="L3187" s="4">
        <v>3.6687989999999999</v>
      </c>
      <c r="M3187" s="4">
        <v>119.974053</v>
      </c>
      <c r="N3187" s="13">
        <v>-0.71</v>
      </c>
      <c r="P3187"/>
      <c r="Q3187" s="12"/>
      <c r="R3187" s="12"/>
    </row>
    <row r="3188" spans="1:18" x14ac:dyDescent="0.2">
      <c r="A3188">
        <v>27</v>
      </c>
      <c r="B3188" t="s">
        <v>27</v>
      </c>
      <c r="C3188">
        <v>2020</v>
      </c>
      <c r="D3188">
        <v>11</v>
      </c>
      <c r="E3188" s="4">
        <v>7653</v>
      </c>
      <c r="F3188" s="9">
        <v>0</v>
      </c>
      <c r="G3188" s="6">
        <v>11860</v>
      </c>
      <c r="H3188" s="9">
        <f t="shared" si="49"/>
        <v>7653</v>
      </c>
      <c r="I3188" s="6">
        <v>13536</v>
      </c>
      <c r="J3188" s="6">
        <f>VLOOKUP(Table1[[#This Row],[Province]],[1]Sheet1!$A$3:$K$37,9,FALSE)</f>
        <v>9073500</v>
      </c>
      <c r="K3188">
        <v>0</v>
      </c>
      <c r="L3188" s="4">
        <v>3.6687989999999999</v>
      </c>
      <c r="M3188" s="4">
        <v>119.974053</v>
      </c>
      <c r="N3188" s="13">
        <v>-0.71</v>
      </c>
      <c r="P3188"/>
      <c r="Q3188" s="12"/>
      <c r="R3188" s="12"/>
    </row>
    <row r="3189" spans="1:18" x14ac:dyDescent="0.2">
      <c r="A3189">
        <v>27</v>
      </c>
      <c r="B3189" t="s">
        <v>27</v>
      </c>
      <c r="C3189">
        <v>2020</v>
      </c>
      <c r="D3189">
        <v>12</v>
      </c>
      <c r="E3189" s="4">
        <v>3372</v>
      </c>
      <c r="F3189" s="9">
        <v>0</v>
      </c>
      <c r="G3189" s="6">
        <v>6596</v>
      </c>
      <c r="H3189" s="9">
        <f t="shared" si="49"/>
        <v>3372</v>
      </c>
      <c r="I3189" s="6">
        <v>13500</v>
      </c>
      <c r="J3189" s="6">
        <f>VLOOKUP(Table1[[#This Row],[Province]],[1]Sheet1!$A$3:$K$37,9,FALSE)</f>
        <v>9073500</v>
      </c>
      <c r="K3189">
        <v>1</v>
      </c>
      <c r="L3189" s="4">
        <v>3.6687989999999999</v>
      </c>
      <c r="M3189" s="4">
        <v>119.974053</v>
      </c>
      <c r="N3189" s="13">
        <v>-0.71</v>
      </c>
      <c r="P3189"/>
      <c r="Q3189" s="12"/>
      <c r="R3189" s="12"/>
    </row>
    <row r="3190" spans="1:18" x14ac:dyDescent="0.2">
      <c r="A3190">
        <v>27</v>
      </c>
      <c r="B3190" t="s">
        <v>27</v>
      </c>
      <c r="C3190">
        <v>2021</v>
      </c>
      <c r="D3190">
        <v>1</v>
      </c>
      <c r="E3190" s="4">
        <v>607</v>
      </c>
      <c r="F3190" s="9">
        <v>0</v>
      </c>
      <c r="G3190" s="6">
        <v>9102</v>
      </c>
      <c r="H3190" s="9">
        <f t="shared" si="49"/>
        <v>607</v>
      </c>
      <c r="I3190" s="6">
        <v>13938</v>
      </c>
      <c r="J3190" s="6">
        <f>VLOOKUP(Table1[[#This Row],[Province]],[1]Sheet1!$A$3:$K$37,9,FALSE)</f>
        <v>9073500</v>
      </c>
      <c r="K3190">
        <v>0</v>
      </c>
      <c r="L3190" s="4">
        <v>3.6687989999999999</v>
      </c>
      <c r="M3190" s="4">
        <v>119.974053</v>
      </c>
      <c r="N3190" s="13">
        <v>4.6399999999999997</v>
      </c>
      <c r="P3190"/>
      <c r="Q3190" s="12"/>
      <c r="R3190" s="12"/>
    </row>
    <row r="3191" spans="1:18" x14ac:dyDescent="0.2">
      <c r="A3191">
        <v>27</v>
      </c>
      <c r="B3191" t="s">
        <v>27</v>
      </c>
      <c r="C3191">
        <v>2021</v>
      </c>
      <c r="D3191">
        <v>2</v>
      </c>
      <c r="E3191" s="4">
        <v>0</v>
      </c>
      <c r="F3191" s="9">
        <v>0</v>
      </c>
      <c r="G3191" s="6">
        <v>11822</v>
      </c>
      <c r="H3191" s="9">
        <f t="shared" si="49"/>
        <v>0</v>
      </c>
      <c r="I3191" s="6">
        <v>14000</v>
      </c>
      <c r="J3191" s="6">
        <f>VLOOKUP(Table1[[#This Row],[Province]],[1]Sheet1!$A$3:$K$37,9,FALSE)</f>
        <v>9073500</v>
      </c>
      <c r="K3191">
        <v>0</v>
      </c>
      <c r="L3191" s="4">
        <v>3.6687989999999999</v>
      </c>
      <c r="M3191" s="4">
        <v>119.974053</v>
      </c>
      <c r="N3191" s="13">
        <v>4.6399999999999997</v>
      </c>
      <c r="P3191"/>
      <c r="Q3191" s="12"/>
      <c r="R3191" s="12"/>
    </row>
    <row r="3192" spans="1:18" x14ac:dyDescent="0.2">
      <c r="A3192">
        <v>27</v>
      </c>
      <c r="B3192" t="s">
        <v>27</v>
      </c>
      <c r="C3192">
        <v>2021</v>
      </c>
      <c r="D3192">
        <v>3</v>
      </c>
      <c r="E3192" s="4">
        <v>0</v>
      </c>
      <c r="F3192" s="9">
        <v>0</v>
      </c>
      <c r="G3192" s="6">
        <v>9704</v>
      </c>
      <c r="H3192" s="9">
        <f t="shared" si="49"/>
        <v>0</v>
      </c>
      <c r="I3192" s="6">
        <v>14000</v>
      </c>
      <c r="J3192" s="6">
        <f>VLOOKUP(Table1[[#This Row],[Province]],[1]Sheet1!$A$3:$K$37,9,FALSE)</f>
        <v>9073500</v>
      </c>
      <c r="K3192">
        <v>0</v>
      </c>
      <c r="L3192" s="4">
        <v>3.6687989999999999</v>
      </c>
      <c r="M3192" s="4">
        <v>119.974053</v>
      </c>
      <c r="N3192" s="13">
        <v>4.6399999999999997</v>
      </c>
      <c r="P3192"/>
      <c r="Q3192" s="12"/>
      <c r="R3192" s="12"/>
    </row>
    <row r="3193" spans="1:18" x14ac:dyDescent="0.2">
      <c r="A3193">
        <v>27</v>
      </c>
      <c r="B3193" t="s">
        <v>27</v>
      </c>
      <c r="C3193">
        <v>2021</v>
      </c>
      <c r="D3193">
        <v>4</v>
      </c>
      <c r="E3193" s="4">
        <v>343</v>
      </c>
      <c r="F3193" s="9">
        <v>0</v>
      </c>
      <c r="G3193" s="6">
        <v>10705</v>
      </c>
      <c r="H3193" s="9">
        <f t="shared" si="49"/>
        <v>343</v>
      </c>
      <c r="I3193" s="6">
        <v>13200</v>
      </c>
      <c r="J3193" s="6">
        <f>VLOOKUP(Table1[[#This Row],[Province]],[1]Sheet1!$A$3:$K$37,9,FALSE)</f>
        <v>9073500</v>
      </c>
      <c r="K3193">
        <v>1</v>
      </c>
      <c r="L3193" s="4">
        <v>3.6687989999999999</v>
      </c>
      <c r="M3193" s="4">
        <v>119.974053</v>
      </c>
      <c r="N3193" s="13">
        <v>4.6399999999999997</v>
      </c>
      <c r="P3193"/>
      <c r="Q3193" s="12"/>
      <c r="R3193" s="12"/>
    </row>
    <row r="3194" spans="1:18" x14ac:dyDescent="0.2">
      <c r="A3194">
        <v>27</v>
      </c>
      <c r="B3194" t="s">
        <v>27</v>
      </c>
      <c r="C3194">
        <v>2021</v>
      </c>
      <c r="D3194">
        <v>5</v>
      </c>
      <c r="E3194" s="4">
        <v>4002</v>
      </c>
      <c r="F3194" s="9">
        <v>0</v>
      </c>
      <c r="G3194" s="6">
        <v>9977</v>
      </c>
      <c r="H3194" s="9">
        <f t="shared" si="49"/>
        <v>4002</v>
      </c>
      <c r="I3194" s="6">
        <v>13180</v>
      </c>
      <c r="J3194" s="6">
        <f>VLOOKUP(Table1[[#This Row],[Province]],[1]Sheet1!$A$3:$K$37,9,FALSE)</f>
        <v>9073500</v>
      </c>
      <c r="K3194">
        <v>0</v>
      </c>
      <c r="L3194" s="4">
        <v>3.6687989999999999</v>
      </c>
      <c r="M3194" s="4">
        <v>119.974053</v>
      </c>
      <c r="N3194" s="13">
        <v>4.6399999999999997</v>
      </c>
      <c r="P3194"/>
      <c r="Q3194" s="12"/>
      <c r="R3194" s="12"/>
    </row>
    <row r="3195" spans="1:18" x14ac:dyDescent="0.2">
      <c r="A3195">
        <v>27</v>
      </c>
      <c r="B3195" t="s">
        <v>27</v>
      </c>
      <c r="C3195">
        <v>2021</v>
      </c>
      <c r="D3195">
        <v>6</v>
      </c>
      <c r="E3195" s="4">
        <v>3708</v>
      </c>
      <c r="F3195" s="9">
        <v>0</v>
      </c>
      <c r="G3195" s="6">
        <v>11038</v>
      </c>
      <c r="H3195" s="9">
        <f t="shared" si="49"/>
        <v>3708</v>
      </c>
      <c r="I3195" s="6">
        <v>13125</v>
      </c>
      <c r="J3195" s="6">
        <f>VLOOKUP(Table1[[#This Row],[Province]],[1]Sheet1!$A$3:$K$37,9,FALSE)</f>
        <v>9073500</v>
      </c>
      <c r="K3195">
        <v>0</v>
      </c>
      <c r="L3195" s="4">
        <v>3.6687989999999999</v>
      </c>
      <c r="M3195" s="4">
        <v>119.974053</v>
      </c>
      <c r="N3195" s="13">
        <v>4.6399999999999997</v>
      </c>
      <c r="P3195"/>
      <c r="Q3195" s="12"/>
      <c r="R3195" s="12"/>
    </row>
    <row r="3196" spans="1:18" x14ac:dyDescent="0.2">
      <c r="A3196">
        <v>27</v>
      </c>
      <c r="B3196" t="s">
        <v>27</v>
      </c>
      <c r="C3196">
        <v>2021</v>
      </c>
      <c r="D3196">
        <v>7</v>
      </c>
      <c r="E3196" s="4">
        <v>11497</v>
      </c>
      <c r="F3196" s="9">
        <v>0</v>
      </c>
      <c r="G3196" s="6">
        <v>7193</v>
      </c>
      <c r="H3196" s="9">
        <f t="shared" si="49"/>
        <v>11497</v>
      </c>
      <c r="I3196" s="6">
        <v>13100</v>
      </c>
      <c r="J3196" s="6">
        <f>VLOOKUP(Table1[[#This Row],[Province]],[1]Sheet1!$A$3:$K$37,9,FALSE)</f>
        <v>9073500</v>
      </c>
      <c r="K3196">
        <v>0</v>
      </c>
      <c r="L3196" s="4">
        <v>3.6687989999999999</v>
      </c>
      <c r="M3196" s="4">
        <v>119.974053</v>
      </c>
      <c r="N3196" s="13">
        <v>4.6399999999999997</v>
      </c>
      <c r="P3196"/>
      <c r="Q3196" s="12"/>
      <c r="R3196" s="12"/>
    </row>
    <row r="3197" spans="1:18" x14ac:dyDescent="0.2">
      <c r="A3197">
        <v>27</v>
      </c>
      <c r="B3197" t="s">
        <v>27</v>
      </c>
      <c r="C3197">
        <v>2021</v>
      </c>
      <c r="D3197">
        <v>8</v>
      </c>
      <c r="E3197" s="4">
        <v>9124</v>
      </c>
      <c r="F3197" s="9">
        <v>0</v>
      </c>
      <c r="G3197" s="6">
        <v>10001</v>
      </c>
      <c r="H3197" s="9">
        <f t="shared" si="49"/>
        <v>9124</v>
      </c>
      <c r="I3197" s="6">
        <v>13030</v>
      </c>
      <c r="J3197" s="6">
        <f>VLOOKUP(Table1[[#This Row],[Province]],[1]Sheet1!$A$3:$K$37,9,FALSE)</f>
        <v>9073500</v>
      </c>
      <c r="K3197">
        <v>0</v>
      </c>
      <c r="L3197" s="4">
        <v>3.6687989999999999</v>
      </c>
      <c r="M3197" s="4">
        <v>119.974053</v>
      </c>
      <c r="N3197" s="13">
        <v>4.6399999999999997</v>
      </c>
      <c r="P3197"/>
      <c r="Q3197" s="12"/>
      <c r="R3197" s="12"/>
    </row>
    <row r="3198" spans="1:18" x14ac:dyDescent="0.2">
      <c r="A3198">
        <v>27</v>
      </c>
      <c r="B3198" t="s">
        <v>27</v>
      </c>
      <c r="C3198">
        <v>2021</v>
      </c>
      <c r="D3198">
        <v>9</v>
      </c>
      <c r="E3198" s="4">
        <v>9556</v>
      </c>
      <c r="F3198" s="9">
        <v>0</v>
      </c>
      <c r="G3198" s="6">
        <v>8035</v>
      </c>
      <c r="H3198" s="9">
        <f t="shared" si="49"/>
        <v>9556</v>
      </c>
      <c r="I3198" s="6">
        <v>13020</v>
      </c>
      <c r="J3198" s="6">
        <f>VLOOKUP(Table1[[#This Row],[Province]],[1]Sheet1!$A$3:$K$37,9,FALSE)</f>
        <v>9073500</v>
      </c>
      <c r="K3198">
        <v>0</v>
      </c>
      <c r="L3198" s="4">
        <v>3.6687989999999999</v>
      </c>
      <c r="M3198" s="4">
        <v>119.974053</v>
      </c>
      <c r="N3198" s="13">
        <v>4.6399999999999997</v>
      </c>
      <c r="P3198"/>
      <c r="Q3198" s="12"/>
      <c r="R3198" s="12"/>
    </row>
    <row r="3199" spans="1:18" x14ac:dyDescent="0.2">
      <c r="A3199">
        <v>27</v>
      </c>
      <c r="B3199" t="s">
        <v>27</v>
      </c>
      <c r="C3199">
        <v>2021</v>
      </c>
      <c r="D3199">
        <v>10</v>
      </c>
      <c r="E3199" s="4">
        <v>4828</v>
      </c>
      <c r="F3199" s="9">
        <v>0</v>
      </c>
      <c r="G3199" s="6">
        <v>9432</v>
      </c>
      <c r="H3199" s="9">
        <f t="shared" si="49"/>
        <v>4828</v>
      </c>
      <c r="I3199" s="6">
        <v>13025</v>
      </c>
      <c r="J3199" s="6">
        <f>VLOOKUP(Table1[[#This Row],[Province]],[1]Sheet1!$A$3:$K$37,9,FALSE)</f>
        <v>9073500</v>
      </c>
      <c r="K3199">
        <v>0</v>
      </c>
      <c r="L3199" s="4">
        <v>3.6687989999999999</v>
      </c>
      <c r="M3199" s="4">
        <v>119.974053</v>
      </c>
      <c r="N3199" s="13">
        <v>4.6399999999999997</v>
      </c>
      <c r="P3199"/>
      <c r="Q3199" s="12"/>
      <c r="R3199" s="12"/>
    </row>
    <row r="3200" spans="1:18" x14ac:dyDescent="0.2">
      <c r="A3200">
        <v>27</v>
      </c>
      <c r="B3200" t="s">
        <v>27</v>
      </c>
      <c r="C3200">
        <v>2021</v>
      </c>
      <c r="D3200">
        <v>11</v>
      </c>
      <c r="E3200" s="4">
        <v>4047</v>
      </c>
      <c r="F3200" s="9">
        <v>0</v>
      </c>
      <c r="G3200" s="6">
        <v>7677</v>
      </c>
      <c r="H3200" s="9">
        <f t="shared" si="49"/>
        <v>4047</v>
      </c>
      <c r="I3200" s="6">
        <v>13000</v>
      </c>
      <c r="J3200" s="6">
        <f>VLOOKUP(Table1[[#This Row],[Province]],[1]Sheet1!$A$3:$K$37,9,FALSE)</f>
        <v>9073500</v>
      </c>
      <c r="K3200">
        <v>0</v>
      </c>
      <c r="L3200" s="4">
        <v>3.6687989999999999</v>
      </c>
      <c r="M3200" s="4">
        <v>119.974053</v>
      </c>
      <c r="N3200" s="13">
        <v>4.6399999999999997</v>
      </c>
      <c r="P3200"/>
      <c r="Q3200" s="12"/>
      <c r="R3200" s="12"/>
    </row>
    <row r="3201" spans="1:18" x14ac:dyDescent="0.2">
      <c r="A3201">
        <v>27</v>
      </c>
      <c r="B3201" t="s">
        <v>27</v>
      </c>
      <c r="C3201">
        <v>2021</v>
      </c>
      <c r="D3201">
        <v>12</v>
      </c>
      <c r="E3201" s="4">
        <v>0</v>
      </c>
      <c r="F3201" s="9">
        <v>0</v>
      </c>
      <c r="G3201" s="6">
        <v>7834</v>
      </c>
      <c r="H3201" s="9">
        <f t="shared" si="49"/>
        <v>0</v>
      </c>
      <c r="I3201" s="6">
        <v>12917</v>
      </c>
      <c r="J3201" s="6">
        <f>VLOOKUP(Table1[[#This Row],[Province]],[1]Sheet1!$A$3:$K$37,9,FALSE)</f>
        <v>9073500</v>
      </c>
      <c r="K3201">
        <v>1</v>
      </c>
      <c r="L3201" s="4">
        <v>3.6687989999999999</v>
      </c>
      <c r="M3201" s="4">
        <v>119.974053</v>
      </c>
      <c r="N3201" s="13">
        <v>4.6399999999999997</v>
      </c>
      <c r="P3201"/>
      <c r="Q3201" s="12"/>
      <c r="R3201" s="12"/>
    </row>
    <row r="3202" spans="1:18" x14ac:dyDescent="0.2">
      <c r="A3202">
        <v>27</v>
      </c>
      <c r="B3202" t="s">
        <v>27</v>
      </c>
      <c r="C3202">
        <v>2022</v>
      </c>
      <c r="D3202">
        <v>1</v>
      </c>
      <c r="E3202" s="6">
        <v>0</v>
      </c>
      <c r="F3202" s="9">
        <v>0</v>
      </c>
      <c r="G3202" s="6">
        <v>9065</v>
      </c>
      <c r="H3202" s="9">
        <f t="shared" ref="H3202:H3265" si="50">F3202+E3202</f>
        <v>0</v>
      </c>
      <c r="I3202" s="6">
        <v>13450</v>
      </c>
      <c r="J3202" s="6">
        <f>VLOOKUP(Table1[[#This Row],[Province]],[1]Sheet1!$A$3:$K$37,9,FALSE)</f>
        <v>9073500</v>
      </c>
      <c r="K3202">
        <v>0</v>
      </c>
      <c r="L3202" s="4">
        <v>3.6687989999999999</v>
      </c>
      <c r="M3202" s="4">
        <v>119.974053</v>
      </c>
      <c r="N3202" s="13">
        <v>5.0999999999999996</v>
      </c>
      <c r="P3202"/>
      <c r="Q3202" s="12"/>
      <c r="R3202" s="12"/>
    </row>
    <row r="3203" spans="1:18" x14ac:dyDescent="0.2">
      <c r="A3203">
        <v>27</v>
      </c>
      <c r="B3203" t="s">
        <v>27</v>
      </c>
      <c r="C3203">
        <v>2022</v>
      </c>
      <c r="D3203">
        <v>2</v>
      </c>
      <c r="E3203" s="6">
        <v>0</v>
      </c>
      <c r="F3203" s="9">
        <v>0</v>
      </c>
      <c r="G3203" s="6">
        <v>8603</v>
      </c>
      <c r="H3203" s="9">
        <f t="shared" si="50"/>
        <v>0</v>
      </c>
      <c r="I3203" s="6">
        <v>14172</v>
      </c>
      <c r="J3203" s="6">
        <f>VLOOKUP(Table1[[#This Row],[Province]],[1]Sheet1!$A$3:$K$37,9,FALSE)</f>
        <v>9073500</v>
      </c>
      <c r="K3203">
        <v>0</v>
      </c>
      <c r="L3203" s="4">
        <v>3.6687989999999999</v>
      </c>
      <c r="M3203" s="4">
        <v>119.974053</v>
      </c>
      <c r="N3203" s="13">
        <v>5.0999999999999996</v>
      </c>
      <c r="P3203"/>
      <c r="Q3203" s="12"/>
      <c r="R3203" s="12"/>
    </row>
    <row r="3204" spans="1:18" x14ac:dyDescent="0.2">
      <c r="A3204">
        <v>27</v>
      </c>
      <c r="B3204" t="s">
        <v>27</v>
      </c>
      <c r="C3204">
        <v>2022</v>
      </c>
      <c r="D3204">
        <v>3</v>
      </c>
      <c r="E3204" s="6">
        <v>0</v>
      </c>
      <c r="F3204" s="9">
        <v>0</v>
      </c>
      <c r="G3204" s="6">
        <v>13608</v>
      </c>
      <c r="H3204" s="9">
        <f t="shared" si="50"/>
        <v>0</v>
      </c>
      <c r="I3204" s="6">
        <v>14391</v>
      </c>
      <c r="J3204" s="6">
        <f>VLOOKUP(Table1[[#This Row],[Province]],[1]Sheet1!$A$3:$K$37,9,FALSE)</f>
        <v>9073500</v>
      </c>
      <c r="K3204">
        <v>0</v>
      </c>
      <c r="L3204" s="4">
        <v>3.6687989999999999</v>
      </c>
      <c r="M3204" s="4">
        <v>119.974053</v>
      </c>
      <c r="N3204" s="13">
        <v>5.0999999999999996</v>
      </c>
      <c r="P3204"/>
      <c r="Q3204" s="12"/>
      <c r="R3204" s="12"/>
    </row>
    <row r="3205" spans="1:18" x14ac:dyDescent="0.2">
      <c r="A3205">
        <v>27</v>
      </c>
      <c r="B3205" t="s">
        <v>27</v>
      </c>
      <c r="C3205">
        <v>2022</v>
      </c>
      <c r="D3205">
        <v>4</v>
      </c>
      <c r="E3205" s="6">
        <v>0</v>
      </c>
      <c r="F3205" s="9">
        <v>0</v>
      </c>
      <c r="G3205" s="6">
        <v>5504</v>
      </c>
      <c r="H3205" s="9">
        <f t="shared" si="50"/>
        <v>0</v>
      </c>
      <c r="I3205" s="6">
        <v>14721</v>
      </c>
      <c r="J3205" s="6">
        <f>VLOOKUP(Table1[[#This Row],[Province]],[1]Sheet1!$A$3:$K$37,9,FALSE)</f>
        <v>9073500</v>
      </c>
      <c r="K3205">
        <v>1</v>
      </c>
      <c r="L3205" s="4">
        <v>3.6687989999999999</v>
      </c>
      <c r="M3205" s="4">
        <v>119.974053</v>
      </c>
      <c r="N3205" s="13">
        <v>5.0999999999999996</v>
      </c>
      <c r="P3205"/>
      <c r="Q3205" s="12"/>
      <c r="R3205" s="12"/>
    </row>
    <row r="3206" spans="1:18" x14ac:dyDescent="0.2">
      <c r="A3206">
        <v>27</v>
      </c>
      <c r="B3206" t="s">
        <v>27</v>
      </c>
      <c r="C3206">
        <v>2022</v>
      </c>
      <c r="D3206">
        <v>5</v>
      </c>
      <c r="E3206" s="6">
        <v>118</v>
      </c>
      <c r="F3206" s="9">
        <v>0</v>
      </c>
      <c r="G3206" s="6">
        <v>8241</v>
      </c>
      <c r="H3206" s="9">
        <f t="shared" si="50"/>
        <v>118</v>
      </c>
      <c r="I3206" s="6">
        <v>14727</v>
      </c>
      <c r="J3206" s="6">
        <f>VLOOKUP(Table1[[#This Row],[Province]],[1]Sheet1!$A$3:$K$37,9,FALSE)</f>
        <v>9073500</v>
      </c>
      <c r="K3206">
        <v>0</v>
      </c>
      <c r="L3206" s="4">
        <v>3.6687989999999999</v>
      </c>
      <c r="M3206" s="4">
        <v>119.974053</v>
      </c>
      <c r="N3206" s="13">
        <v>5.0999999999999996</v>
      </c>
      <c r="P3206"/>
      <c r="Q3206" s="12"/>
      <c r="R3206" s="12"/>
    </row>
    <row r="3207" spans="1:18" x14ac:dyDescent="0.2">
      <c r="A3207">
        <v>27</v>
      </c>
      <c r="B3207" t="s">
        <v>27</v>
      </c>
      <c r="C3207">
        <v>2022</v>
      </c>
      <c r="D3207">
        <v>6</v>
      </c>
      <c r="E3207" s="6">
        <v>3677</v>
      </c>
      <c r="F3207" s="9">
        <v>0</v>
      </c>
      <c r="G3207" s="6">
        <v>9598</v>
      </c>
      <c r="H3207" s="9">
        <f t="shared" si="50"/>
        <v>3677</v>
      </c>
      <c r="I3207" s="6">
        <v>14657</v>
      </c>
      <c r="J3207" s="6">
        <f>VLOOKUP(Table1[[#This Row],[Province]],[1]Sheet1!$A$3:$K$37,9,FALSE)</f>
        <v>9073500</v>
      </c>
      <c r="K3207">
        <v>0</v>
      </c>
      <c r="L3207" s="4">
        <v>3.6687989999999999</v>
      </c>
      <c r="M3207" s="4">
        <v>119.974053</v>
      </c>
      <c r="N3207" s="13">
        <v>5.0999999999999996</v>
      </c>
      <c r="P3207"/>
      <c r="Q3207" s="12"/>
      <c r="R3207" s="12"/>
    </row>
    <row r="3208" spans="1:18" x14ac:dyDescent="0.2">
      <c r="A3208">
        <v>27</v>
      </c>
      <c r="B3208" t="s">
        <v>27</v>
      </c>
      <c r="C3208">
        <v>2022</v>
      </c>
      <c r="D3208">
        <v>7</v>
      </c>
      <c r="E3208" s="6">
        <v>3585</v>
      </c>
      <c r="F3208" s="9">
        <v>0</v>
      </c>
      <c r="G3208" s="6">
        <v>8402</v>
      </c>
      <c r="H3208" s="9">
        <f t="shared" si="50"/>
        <v>3585</v>
      </c>
      <c r="I3208" s="6">
        <v>14748</v>
      </c>
      <c r="J3208" s="6">
        <f>VLOOKUP(Table1[[#This Row],[Province]],[1]Sheet1!$A$3:$K$37,9,FALSE)</f>
        <v>9073500</v>
      </c>
      <c r="K3208">
        <v>0</v>
      </c>
      <c r="L3208" s="4">
        <v>3.6687989999999999</v>
      </c>
      <c r="M3208" s="4">
        <v>119.974053</v>
      </c>
      <c r="N3208" s="13">
        <v>5.0999999999999996</v>
      </c>
      <c r="P3208"/>
      <c r="Q3208" s="12"/>
      <c r="R3208" s="12"/>
    </row>
    <row r="3209" spans="1:18" x14ac:dyDescent="0.2">
      <c r="A3209">
        <v>27</v>
      </c>
      <c r="B3209" t="s">
        <v>27</v>
      </c>
      <c r="C3209">
        <v>2022</v>
      </c>
      <c r="D3209">
        <v>8</v>
      </c>
      <c r="E3209" s="6">
        <v>6755</v>
      </c>
      <c r="F3209" s="9">
        <v>0</v>
      </c>
      <c r="G3209" s="6">
        <v>10914</v>
      </c>
      <c r="H3209" s="9">
        <f t="shared" si="50"/>
        <v>6755</v>
      </c>
      <c r="I3209" s="6">
        <v>14650</v>
      </c>
      <c r="J3209" s="6">
        <f>VLOOKUP(Table1[[#This Row],[Province]],[1]Sheet1!$A$3:$K$37,9,FALSE)</f>
        <v>9073500</v>
      </c>
      <c r="K3209">
        <v>0</v>
      </c>
      <c r="L3209" s="4">
        <v>3.6687989999999999</v>
      </c>
      <c r="M3209" s="4">
        <v>119.974053</v>
      </c>
      <c r="N3209" s="13">
        <v>5.0999999999999996</v>
      </c>
      <c r="P3209"/>
      <c r="Q3209" s="12"/>
      <c r="R3209" s="12"/>
    </row>
    <row r="3210" spans="1:18" x14ac:dyDescent="0.2">
      <c r="A3210">
        <v>27</v>
      </c>
      <c r="B3210" t="s">
        <v>27</v>
      </c>
      <c r="C3210">
        <v>2022</v>
      </c>
      <c r="D3210">
        <v>9</v>
      </c>
      <c r="E3210" s="6">
        <v>5530</v>
      </c>
      <c r="F3210" s="9">
        <v>0</v>
      </c>
      <c r="G3210" s="6">
        <v>11521</v>
      </c>
      <c r="H3210" s="9">
        <f t="shared" si="50"/>
        <v>5530</v>
      </c>
      <c r="I3210" s="6">
        <v>13922</v>
      </c>
      <c r="J3210" s="6">
        <f>VLOOKUP(Table1[[#This Row],[Province]],[1]Sheet1!$A$3:$K$37,9,FALSE)</f>
        <v>9073500</v>
      </c>
      <c r="K3210">
        <v>0</v>
      </c>
      <c r="L3210" s="4">
        <v>3.6687989999999999</v>
      </c>
      <c r="M3210" s="4">
        <v>119.974053</v>
      </c>
      <c r="N3210" s="13">
        <v>5.0999999999999996</v>
      </c>
      <c r="P3210"/>
      <c r="Q3210" s="12"/>
      <c r="R3210" s="12"/>
    </row>
    <row r="3211" spans="1:18" x14ac:dyDescent="0.2">
      <c r="A3211">
        <v>27</v>
      </c>
      <c r="B3211" t="s">
        <v>27</v>
      </c>
      <c r="C3211">
        <v>2022</v>
      </c>
      <c r="D3211">
        <v>10</v>
      </c>
      <c r="E3211" s="6">
        <v>4709</v>
      </c>
      <c r="F3211" s="9">
        <v>0</v>
      </c>
      <c r="G3211" s="6">
        <v>5578</v>
      </c>
      <c r="H3211" s="9">
        <f t="shared" si="50"/>
        <v>4709</v>
      </c>
      <c r="I3211" s="6">
        <v>13714</v>
      </c>
      <c r="J3211" s="6">
        <f>VLOOKUP(Table1[[#This Row],[Province]],[1]Sheet1!$A$3:$K$37,9,FALSE)</f>
        <v>9073500</v>
      </c>
      <c r="K3211">
        <v>0</v>
      </c>
      <c r="L3211" s="4">
        <v>3.6687989999999999</v>
      </c>
      <c r="M3211" s="4">
        <v>119.974053</v>
      </c>
      <c r="N3211" s="13">
        <v>5.0999999999999996</v>
      </c>
      <c r="P3211"/>
      <c r="Q3211" s="12"/>
      <c r="R3211" s="12"/>
    </row>
    <row r="3212" spans="1:18" x14ac:dyDescent="0.2">
      <c r="A3212">
        <v>27</v>
      </c>
      <c r="B3212" t="s">
        <v>27</v>
      </c>
      <c r="C3212">
        <v>2022</v>
      </c>
      <c r="D3212">
        <v>11</v>
      </c>
      <c r="E3212" s="6">
        <v>1052</v>
      </c>
      <c r="F3212" s="9">
        <v>0</v>
      </c>
      <c r="G3212" s="6">
        <v>6559</v>
      </c>
      <c r="H3212" s="9">
        <f t="shared" si="50"/>
        <v>1052</v>
      </c>
      <c r="I3212" s="6">
        <v>14205</v>
      </c>
      <c r="J3212" s="6">
        <f>VLOOKUP(Table1[[#This Row],[Province]],[1]Sheet1!$A$3:$K$37,9,FALSE)</f>
        <v>9073500</v>
      </c>
      <c r="K3212">
        <v>0</v>
      </c>
      <c r="L3212" s="4">
        <v>3.6687989999999999</v>
      </c>
      <c r="M3212" s="4">
        <v>119.974053</v>
      </c>
      <c r="N3212" s="13">
        <v>5.0999999999999996</v>
      </c>
      <c r="P3212"/>
      <c r="Q3212" s="12"/>
      <c r="R3212" s="12"/>
    </row>
    <row r="3213" spans="1:18" x14ac:dyDescent="0.2">
      <c r="A3213">
        <v>27</v>
      </c>
      <c r="B3213" t="s">
        <v>27</v>
      </c>
      <c r="C3213">
        <v>2022</v>
      </c>
      <c r="D3213">
        <v>12</v>
      </c>
      <c r="E3213" s="6">
        <v>0</v>
      </c>
      <c r="F3213" s="9">
        <v>0</v>
      </c>
      <c r="G3213" s="6">
        <v>9172</v>
      </c>
      <c r="H3213" s="9">
        <f t="shared" si="50"/>
        <v>0</v>
      </c>
      <c r="I3213" s="6">
        <v>14250</v>
      </c>
      <c r="J3213" s="6">
        <f>VLOOKUP(Table1[[#This Row],[Province]],[1]Sheet1!$A$3:$K$37,9,FALSE)</f>
        <v>9073500</v>
      </c>
      <c r="K3213">
        <v>1</v>
      </c>
      <c r="L3213" s="4">
        <v>3.6687989999999999</v>
      </c>
      <c r="M3213" s="4">
        <v>119.974053</v>
      </c>
      <c r="N3213" s="13">
        <v>5.0999999999999996</v>
      </c>
      <c r="P3213"/>
      <c r="Q3213" s="12"/>
      <c r="R3213" s="12"/>
    </row>
    <row r="3214" spans="1:18" x14ac:dyDescent="0.2">
      <c r="A3214">
        <v>28</v>
      </c>
      <c r="B3214" t="s">
        <v>29</v>
      </c>
      <c r="C3214">
        <v>2013</v>
      </c>
      <c r="D3214">
        <v>1</v>
      </c>
      <c r="E3214" s="4">
        <v>0</v>
      </c>
      <c r="F3214" s="9">
        <v>0</v>
      </c>
      <c r="G3214" s="6">
        <v>1622</v>
      </c>
      <c r="H3214" s="9">
        <f t="shared" si="50"/>
        <v>0</v>
      </c>
      <c r="I3214" s="6">
        <v>12000</v>
      </c>
      <c r="J3214" s="6">
        <f>VLOOKUP(Table1[[#This Row],[Province]],[1]Sheet1!$A$3:$K$37,9,FALSE)</f>
        <v>2624900</v>
      </c>
      <c r="K3214">
        <v>0</v>
      </c>
      <c r="L3214" s="4">
        <v>4.1449100000000003</v>
      </c>
      <c r="M3214" s="4">
        <v>122.174605</v>
      </c>
      <c r="N3214" s="6"/>
      <c r="P3214"/>
      <c r="Q3214" s="12"/>
      <c r="R3214" s="12"/>
    </row>
    <row r="3215" spans="1:18" x14ac:dyDescent="0.2">
      <c r="A3215">
        <v>28</v>
      </c>
      <c r="B3215" t="s">
        <v>29</v>
      </c>
      <c r="C3215">
        <v>2013</v>
      </c>
      <c r="D3215">
        <v>2</v>
      </c>
      <c r="E3215" s="4">
        <v>0</v>
      </c>
      <c r="F3215" s="9">
        <v>0</v>
      </c>
      <c r="G3215" s="6">
        <v>1555</v>
      </c>
      <c r="H3215" s="9">
        <f t="shared" si="50"/>
        <v>0</v>
      </c>
      <c r="I3215" s="6">
        <v>12000</v>
      </c>
      <c r="J3215" s="6">
        <f>VLOOKUP(Table1[[#This Row],[Province]],[1]Sheet1!$A$3:$K$37,9,FALSE)</f>
        <v>2624900</v>
      </c>
      <c r="K3215">
        <v>0</v>
      </c>
      <c r="L3215" s="4">
        <v>4.1449100000000003</v>
      </c>
      <c r="M3215" s="4">
        <v>122.174605</v>
      </c>
      <c r="N3215" s="6"/>
      <c r="P3215"/>
      <c r="Q3215" s="12"/>
      <c r="R3215" s="12"/>
    </row>
    <row r="3216" spans="1:18" x14ac:dyDescent="0.2">
      <c r="A3216">
        <v>28</v>
      </c>
      <c r="B3216" t="s">
        <v>29</v>
      </c>
      <c r="C3216">
        <v>2013</v>
      </c>
      <c r="D3216">
        <v>3</v>
      </c>
      <c r="E3216" s="4">
        <v>0</v>
      </c>
      <c r="F3216" s="9">
        <v>0</v>
      </c>
      <c r="G3216" s="6">
        <v>1603</v>
      </c>
      <c r="H3216" s="9">
        <f t="shared" si="50"/>
        <v>0</v>
      </c>
      <c r="I3216" s="6">
        <v>12000</v>
      </c>
      <c r="J3216" s="6">
        <f>VLOOKUP(Table1[[#This Row],[Province]],[1]Sheet1!$A$3:$K$37,9,FALSE)</f>
        <v>2624900</v>
      </c>
      <c r="K3216">
        <v>0</v>
      </c>
      <c r="L3216" s="4">
        <v>4.1449100000000003</v>
      </c>
      <c r="M3216" s="4">
        <v>122.174605</v>
      </c>
      <c r="N3216" s="6"/>
      <c r="P3216"/>
      <c r="Q3216" s="12"/>
      <c r="R3216" s="12"/>
    </row>
    <row r="3217" spans="1:18" x14ac:dyDescent="0.2">
      <c r="A3217">
        <v>28</v>
      </c>
      <c r="B3217" t="s">
        <v>29</v>
      </c>
      <c r="C3217">
        <v>2013</v>
      </c>
      <c r="D3217">
        <v>4</v>
      </c>
      <c r="E3217" s="4">
        <v>0</v>
      </c>
      <c r="F3217" s="9">
        <v>0</v>
      </c>
      <c r="G3217" s="6">
        <v>2083</v>
      </c>
      <c r="H3217" s="9">
        <f t="shared" si="50"/>
        <v>0</v>
      </c>
      <c r="I3217" s="6">
        <v>12000</v>
      </c>
      <c r="J3217" s="6">
        <f>VLOOKUP(Table1[[#This Row],[Province]],[1]Sheet1!$A$3:$K$37,9,FALSE)</f>
        <v>2624900</v>
      </c>
      <c r="K3217">
        <v>0</v>
      </c>
      <c r="L3217" s="4">
        <v>4.1449100000000003</v>
      </c>
      <c r="M3217" s="4">
        <v>122.174605</v>
      </c>
      <c r="N3217" s="6"/>
      <c r="P3217"/>
      <c r="Q3217" s="12"/>
      <c r="R3217" s="12"/>
    </row>
    <row r="3218" spans="1:18" x14ac:dyDescent="0.2">
      <c r="A3218">
        <v>28</v>
      </c>
      <c r="B3218" t="s">
        <v>29</v>
      </c>
      <c r="C3218">
        <v>2013</v>
      </c>
      <c r="D3218">
        <v>5</v>
      </c>
      <c r="E3218" s="4">
        <v>0</v>
      </c>
      <c r="F3218" s="9">
        <v>0</v>
      </c>
      <c r="G3218" s="6">
        <v>2525</v>
      </c>
      <c r="H3218" s="9">
        <f t="shared" si="50"/>
        <v>0</v>
      </c>
      <c r="I3218" s="6">
        <v>12000</v>
      </c>
      <c r="J3218" s="6">
        <f>VLOOKUP(Table1[[#This Row],[Province]],[1]Sheet1!$A$3:$K$37,9,FALSE)</f>
        <v>2624900</v>
      </c>
      <c r="K3218">
        <v>0</v>
      </c>
      <c r="L3218" s="4">
        <v>4.1449100000000003</v>
      </c>
      <c r="M3218" s="4">
        <v>122.174605</v>
      </c>
      <c r="N3218" s="6"/>
      <c r="P3218"/>
      <c r="Q3218" s="12"/>
      <c r="R3218" s="12"/>
    </row>
    <row r="3219" spans="1:18" x14ac:dyDescent="0.2">
      <c r="A3219">
        <v>28</v>
      </c>
      <c r="B3219" t="s">
        <v>29</v>
      </c>
      <c r="C3219">
        <v>2013</v>
      </c>
      <c r="D3219">
        <v>6</v>
      </c>
      <c r="E3219" s="4">
        <v>0</v>
      </c>
      <c r="F3219" s="9">
        <v>0</v>
      </c>
      <c r="G3219" s="6">
        <v>2102</v>
      </c>
      <c r="H3219" s="9">
        <f t="shared" si="50"/>
        <v>0</v>
      </c>
      <c r="I3219" s="6">
        <v>12000</v>
      </c>
      <c r="J3219" s="6">
        <f>VLOOKUP(Table1[[#This Row],[Province]],[1]Sheet1!$A$3:$K$37,9,FALSE)</f>
        <v>2624900</v>
      </c>
      <c r="K3219">
        <v>0</v>
      </c>
      <c r="L3219" s="4">
        <v>4.1449100000000003</v>
      </c>
      <c r="M3219" s="4">
        <v>122.174605</v>
      </c>
      <c r="N3219" s="6"/>
      <c r="P3219"/>
      <c r="Q3219" s="12"/>
      <c r="R3219" s="12"/>
    </row>
    <row r="3220" spans="1:18" x14ac:dyDescent="0.2">
      <c r="A3220">
        <v>28</v>
      </c>
      <c r="B3220" t="s">
        <v>29</v>
      </c>
      <c r="C3220">
        <v>2013</v>
      </c>
      <c r="D3220">
        <v>7</v>
      </c>
      <c r="E3220" s="4">
        <v>0</v>
      </c>
      <c r="F3220" s="9">
        <v>0</v>
      </c>
      <c r="G3220" s="6">
        <v>3648</v>
      </c>
      <c r="H3220" s="9">
        <f t="shared" si="50"/>
        <v>0</v>
      </c>
      <c r="I3220" s="6">
        <v>13091</v>
      </c>
      <c r="J3220" s="6">
        <f>VLOOKUP(Table1[[#This Row],[Province]],[1]Sheet1!$A$3:$K$37,9,FALSE)</f>
        <v>2624900</v>
      </c>
      <c r="K3220">
        <v>1</v>
      </c>
      <c r="L3220" s="4">
        <v>4.1449100000000003</v>
      </c>
      <c r="M3220" s="4">
        <v>122.174605</v>
      </c>
      <c r="N3220" s="6"/>
      <c r="P3220"/>
      <c r="Q3220" s="12"/>
      <c r="R3220" s="12"/>
    </row>
    <row r="3221" spans="1:18" x14ac:dyDescent="0.2">
      <c r="A3221">
        <v>28</v>
      </c>
      <c r="B3221" t="s">
        <v>29</v>
      </c>
      <c r="C3221">
        <v>2013</v>
      </c>
      <c r="D3221">
        <v>8</v>
      </c>
      <c r="E3221" s="4">
        <v>0</v>
      </c>
      <c r="F3221" s="9">
        <v>0</v>
      </c>
      <c r="G3221" s="6">
        <v>1334</v>
      </c>
      <c r="H3221" s="9">
        <f t="shared" si="50"/>
        <v>0</v>
      </c>
      <c r="I3221" s="6">
        <v>12000</v>
      </c>
      <c r="J3221" s="6">
        <f>VLOOKUP(Table1[[#This Row],[Province]],[1]Sheet1!$A$3:$K$37,9,FALSE)</f>
        <v>2624900</v>
      </c>
      <c r="K3221">
        <v>0</v>
      </c>
      <c r="L3221" s="4">
        <v>4.1449100000000003</v>
      </c>
      <c r="M3221" s="4">
        <v>122.174605</v>
      </c>
      <c r="N3221" s="6"/>
      <c r="P3221"/>
      <c r="Q3221" s="12"/>
      <c r="R3221" s="12"/>
    </row>
    <row r="3222" spans="1:18" x14ac:dyDescent="0.2">
      <c r="A3222">
        <v>28</v>
      </c>
      <c r="B3222" t="s">
        <v>29</v>
      </c>
      <c r="C3222">
        <v>2013</v>
      </c>
      <c r="D3222">
        <v>9</v>
      </c>
      <c r="E3222" s="4">
        <v>0</v>
      </c>
      <c r="F3222" s="9">
        <v>0</v>
      </c>
      <c r="G3222" s="6">
        <v>2851</v>
      </c>
      <c r="H3222" s="9">
        <f t="shared" si="50"/>
        <v>0</v>
      </c>
      <c r="I3222" s="6">
        <v>12000</v>
      </c>
      <c r="J3222" s="6">
        <f>VLOOKUP(Table1[[#This Row],[Province]],[1]Sheet1!$A$3:$K$37,9,FALSE)</f>
        <v>2624900</v>
      </c>
      <c r="K3222">
        <v>0</v>
      </c>
      <c r="L3222" s="4">
        <v>4.1449100000000003</v>
      </c>
      <c r="M3222" s="4">
        <v>122.174605</v>
      </c>
      <c r="N3222" s="6"/>
      <c r="P3222"/>
      <c r="Q3222" s="12"/>
      <c r="R3222" s="12"/>
    </row>
    <row r="3223" spans="1:18" x14ac:dyDescent="0.2">
      <c r="A3223">
        <v>28</v>
      </c>
      <c r="B3223" t="s">
        <v>29</v>
      </c>
      <c r="C3223">
        <v>2013</v>
      </c>
      <c r="D3223">
        <v>10</v>
      </c>
      <c r="E3223" s="4">
        <v>0</v>
      </c>
      <c r="F3223" s="9">
        <v>0</v>
      </c>
      <c r="G3223" s="6">
        <v>2333</v>
      </c>
      <c r="H3223" s="9">
        <f t="shared" si="50"/>
        <v>0</v>
      </c>
      <c r="I3223" s="6">
        <v>12000</v>
      </c>
      <c r="J3223" s="6">
        <f>VLOOKUP(Table1[[#This Row],[Province]],[1]Sheet1!$A$3:$K$37,9,FALSE)</f>
        <v>2624900</v>
      </c>
      <c r="K3223">
        <v>0</v>
      </c>
      <c r="L3223" s="4">
        <v>4.1449100000000003</v>
      </c>
      <c r="M3223" s="4">
        <v>122.174605</v>
      </c>
      <c r="N3223" s="6"/>
      <c r="P3223"/>
      <c r="Q3223" s="12"/>
      <c r="R3223" s="12"/>
    </row>
    <row r="3224" spans="1:18" x14ac:dyDescent="0.2">
      <c r="A3224">
        <v>28</v>
      </c>
      <c r="B3224" t="s">
        <v>29</v>
      </c>
      <c r="C3224">
        <v>2013</v>
      </c>
      <c r="D3224">
        <v>11</v>
      </c>
      <c r="E3224" s="4">
        <v>0</v>
      </c>
      <c r="F3224" s="9">
        <v>0</v>
      </c>
      <c r="G3224" s="6">
        <v>1718</v>
      </c>
      <c r="H3224" s="9">
        <f t="shared" si="50"/>
        <v>0</v>
      </c>
      <c r="I3224" s="6">
        <v>12000</v>
      </c>
      <c r="J3224" s="6">
        <f>VLOOKUP(Table1[[#This Row],[Province]],[1]Sheet1!$A$3:$K$37,9,FALSE)</f>
        <v>2624900</v>
      </c>
      <c r="K3224">
        <v>0</v>
      </c>
      <c r="L3224" s="4">
        <v>4.1449100000000003</v>
      </c>
      <c r="M3224" s="4">
        <v>122.174605</v>
      </c>
      <c r="N3224" s="6"/>
      <c r="P3224"/>
      <c r="Q3224" s="12"/>
      <c r="R3224" s="12"/>
    </row>
    <row r="3225" spans="1:18" x14ac:dyDescent="0.2">
      <c r="A3225">
        <v>28</v>
      </c>
      <c r="B3225" t="s">
        <v>29</v>
      </c>
      <c r="C3225">
        <v>2013</v>
      </c>
      <c r="D3225">
        <v>12</v>
      </c>
      <c r="E3225" s="4">
        <v>0</v>
      </c>
      <c r="F3225" s="9">
        <v>0</v>
      </c>
      <c r="G3225" s="6">
        <v>2390</v>
      </c>
      <c r="H3225" s="9">
        <f t="shared" si="50"/>
        <v>0</v>
      </c>
      <c r="I3225" s="6">
        <v>12000</v>
      </c>
      <c r="J3225" s="6">
        <f>VLOOKUP(Table1[[#This Row],[Province]],[1]Sheet1!$A$3:$K$37,9,FALSE)</f>
        <v>2624900</v>
      </c>
      <c r="K3225">
        <v>1</v>
      </c>
      <c r="L3225" s="4">
        <v>4.1449100000000003</v>
      </c>
      <c r="M3225" s="4">
        <v>122.174605</v>
      </c>
      <c r="N3225" s="6"/>
      <c r="P3225"/>
      <c r="Q3225" s="12"/>
      <c r="R3225" s="12"/>
    </row>
    <row r="3226" spans="1:18" x14ac:dyDescent="0.2">
      <c r="A3226">
        <v>28</v>
      </c>
      <c r="B3226" t="s">
        <v>29</v>
      </c>
      <c r="C3226">
        <v>2014</v>
      </c>
      <c r="D3226">
        <v>1</v>
      </c>
      <c r="E3226" s="4">
        <v>0</v>
      </c>
      <c r="F3226" s="9">
        <v>0</v>
      </c>
      <c r="G3226" s="6">
        <v>1691</v>
      </c>
      <c r="H3226" s="9">
        <f t="shared" si="50"/>
        <v>0</v>
      </c>
      <c r="I3226" s="6">
        <v>12000</v>
      </c>
      <c r="J3226" s="6">
        <f>VLOOKUP(Table1[[#This Row],[Province]],[1]Sheet1!$A$3:$K$37,9,FALSE)</f>
        <v>2624900</v>
      </c>
      <c r="K3226">
        <v>0</v>
      </c>
      <c r="L3226" s="4">
        <v>4.1449100000000003</v>
      </c>
      <c r="M3226" s="4">
        <v>122.174605</v>
      </c>
      <c r="N3226" s="6"/>
      <c r="P3226"/>
      <c r="Q3226" s="12"/>
      <c r="R3226" s="12"/>
    </row>
    <row r="3227" spans="1:18" x14ac:dyDescent="0.2">
      <c r="A3227">
        <v>28</v>
      </c>
      <c r="B3227" t="s">
        <v>29</v>
      </c>
      <c r="C3227">
        <v>2014</v>
      </c>
      <c r="D3227">
        <v>2</v>
      </c>
      <c r="E3227" s="4">
        <v>0</v>
      </c>
      <c r="F3227" s="9">
        <v>0</v>
      </c>
      <c r="G3227" s="6">
        <v>1508</v>
      </c>
      <c r="H3227" s="9">
        <f t="shared" si="50"/>
        <v>0</v>
      </c>
      <c r="I3227" s="6">
        <v>11925</v>
      </c>
      <c r="J3227" s="6">
        <f>VLOOKUP(Table1[[#This Row],[Province]],[1]Sheet1!$A$3:$K$37,9,FALSE)</f>
        <v>2624900</v>
      </c>
      <c r="K3227">
        <v>0</v>
      </c>
      <c r="L3227" s="4">
        <v>4.1449100000000003</v>
      </c>
      <c r="M3227" s="4">
        <v>122.174605</v>
      </c>
      <c r="N3227" s="6"/>
      <c r="P3227"/>
      <c r="Q3227" s="12"/>
      <c r="R3227" s="12"/>
    </row>
    <row r="3228" spans="1:18" x14ac:dyDescent="0.2">
      <c r="A3228">
        <v>28</v>
      </c>
      <c r="B3228" t="s">
        <v>29</v>
      </c>
      <c r="C3228">
        <v>2014</v>
      </c>
      <c r="D3228">
        <v>3</v>
      </c>
      <c r="E3228" s="4">
        <v>0</v>
      </c>
      <c r="F3228" s="9">
        <v>0</v>
      </c>
      <c r="G3228" s="6">
        <v>1694</v>
      </c>
      <c r="H3228" s="9">
        <f t="shared" si="50"/>
        <v>0</v>
      </c>
      <c r="I3228" s="6">
        <v>11438</v>
      </c>
      <c r="J3228" s="6">
        <f>VLOOKUP(Table1[[#This Row],[Province]],[1]Sheet1!$A$3:$K$37,9,FALSE)</f>
        <v>2624900</v>
      </c>
      <c r="K3228">
        <v>0</v>
      </c>
      <c r="L3228" s="4">
        <v>4.1449100000000003</v>
      </c>
      <c r="M3228" s="4">
        <v>122.174605</v>
      </c>
      <c r="N3228" s="6"/>
      <c r="P3228"/>
      <c r="Q3228" s="12"/>
      <c r="R3228" s="12"/>
    </row>
    <row r="3229" spans="1:18" x14ac:dyDescent="0.2">
      <c r="A3229">
        <v>28</v>
      </c>
      <c r="B3229" t="s">
        <v>29</v>
      </c>
      <c r="C3229">
        <v>2014</v>
      </c>
      <c r="D3229">
        <v>4</v>
      </c>
      <c r="E3229" s="4">
        <v>0</v>
      </c>
      <c r="F3229" s="9">
        <v>0</v>
      </c>
      <c r="G3229" s="6">
        <v>2182</v>
      </c>
      <c r="H3229" s="9">
        <f t="shared" si="50"/>
        <v>0</v>
      </c>
      <c r="I3229" s="6">
        <v>11675</v>
      </c>
      <c r="J3229" s="6">
        <f>VLOOKUP(Table1[[#This Row],[Province]],[1]Sheet1!$A$3:$K$37,9,FALSE)</f>
        <v>2624900</v>
      </c>
      <c r="K3229">
        <v>0</v>
      </c>
      <c r="L3229" s="4">
        <v>4.1449100000000003</v>
      </c>
      <c r="M3229" s="4">
        <v>122.174605</v>
      </c>
      <c r="N3229" s="6"/>
      <c r="P3229"/>
      <c r="Q3229" s="12"/>
      <c r="R3229" s="12"/>
    </row>
    <row r="3230" spans="1:18" x14ac:dyDescent="0.2">
      <c r="A3230">
        <v>28</v>
      </c>
      <c r="B3230" t="s">
        <v>29</v>
      </c>
      <c r="C3230">
        <v>2014</v>
      </c>
      <c r="D3230">
        <v>5</v>
      </c>
      <c r="E3230" s="4">
        <v>0</v>
      </c>
      <c r="F3230" s="9">
        <v>0</v>
      </c>
      <c r="G3230" s="6">
        <v>2443</v>
      </c>
      <c r="H3230" s="9">
        <f t="shared" si="50"/>
        <v>0</v>
      </c>
      <c r="I3230" s="6">
        <v>11264</v>
      </c>
      <c r="J3230" s="6">
        <f>VLOOKUP(Table1[[#This Row],[Province]],[1]Sheet1!$A$3:$K$37,9,FALSE)</f>
        <v>2624900</v>
      </c>
      <c r="K3230">
        <v>0</v>
      </c>
      <c r="L3230" s="4">
        <v>4.1449100000000003</v>
      </c>
      <c r="M3230" s="4">
        <v>122.174605</v>
      </c>
      <c r="N3230" s="6"/>
      <c r="P3230"/>
      <c r="Q3230" s="12"/>
      <c r="R3230" s="12"/>
    </row>
    <row r="3231" spans="1:18" x14ac:dyDescent="0.2">
      <c r="A3231">
        <v>28</v>
      </c>
      <c r="B3231" t="s">
        <v>29</v>
      </c>
      <c r="C3231">
        <v>2014</v>
      </c>
      <c r="D3231">
        <v>6</v>
      </c>
      <c r="E3231" s="4">
        <v>0</v>
      </c>
      <c r="F3231" s="9">
        <v>0</v>
      </c>
      <c r="G3231" s="6">
        <v>3477</v>
      </c>
      <c r="H3231" s="9">
        <f t="shared" si="50"/>
        <v>0</v>
      </c>
      <c r="I3231" s="6">
        <v>11738</v>
      </c>
      <c r="J3231" s="6">
        <f>VLOOKUP(Table1[[#This Row],[Province]],[1]Sheet1!$A$3:$K$37,9,FALSE)</f>
        <v>2624900</v>
      </c>
      <c r="K3231">
        <v>1</v>
      </c>
      <c r="L3231" s="4">
        <v>4.1449100000000003</v>
      </c>
      <c r="M3231" s="4">
        <v>122.174605</v>
      </c>
      <c r="N3231" s="6"/>
      <c r="P3231"/>
      <c r="Q3231" s="12"/>
      <c r="R3231" s="12"/>
    </row>
    <row r="3232" spans="1:18" x14ac:dyDescent="0.2">
      <c r="A3232">
        <v>28</v>
      </c>
      <c r="B3232" t="s">
        <v>29</v>
      </c>
      <c r="C3232">
        <v>2014</v>
      </c>
      <c r="D3232">
        <v>7</v>
      </c>
      <c r="E3232" s="4">
        <v>0</v>
      </c>
      <c r="F3232" s="9">
        <v>0</v>
      </c>
      <c r="G3232" s="6">
        <v>2182</v>
      </c>
      <c r="H3232" s="9">
        <f t="shared" si="50"/>
        <v>0</v>
      </c>
      <c r="I3232" s="6">
        <v>11806</v>
      </c>
      <c r="J3232" s="6">
        <f>VLOOKUP(Table1[[#This Row],[Province]],[1]Sheet1!$A$3:$K$37,9,FALSE)</f>
        <v>2624900</v>
      </c>
      <c r="K3232">
        <v>0</v>
      </c>
      <c r="L3232" s="4">
        <v>4.1449100000000003</v>
      </c>
      <c r="M3232" s="4">
        <v>122.174605</v>
      </c>
      <c r="N3232" s="6"/>
      <c r="P3232"/>
      <c r="Q3232" s="12"/>
      <c r="R3232" s="12"/>
    </row>
    <row r="3233" spans="1:18" x14ac:dyDescent="0.2">
      <c r="A3233">
        <v>28</v>
      </c>
      <c r="B3233" t="s">
        <v>29</v>
      </c>
      <c r="C3233">
        <v>2014</v>
      </c>
      <c r="D3233">
        <v>8</v>
      </c>
      <c r="E3233" s="4">
        <v>0</v>
      </c>
      <c r="F3233" s="9">
        <v>0</v>
      </c>
      <c r="G3233" s="6">
        <v>2103</v>
      </c>
      <c r="H3233" s="9">
        <f t="shared" si="50"/>
        <v>0</v>
      </c>
      <c r="I3233" s="6">
        <v>11650</v>
      </c>
      <c r="J3233" s="6">
        <f>VLOOKUP(Table1[[#This Row],[Province]],[1]Sheet1!$A$3:$K$37,9,FALSE)</f>
        <v>2624900</v>
      </c>
      <c r="K3233">
        <v>0</v>
      </c>
      <c r="L3233" s="4">
        <v>4.1449100000000003</v>
      </c>
      <c r="M3233" s="4">
        <v>122.174605</v>
      </c>
      <c r="N3233" s="6"/>
      <c r="P3233"/>
      <c r="Q3233" s="12"/>
      <c r="R3233" s="12"/>
    </row>
    <row r="3234" spans="1:18" x14ac:dyDescent="0.2">
      <c r="A3234">
        <v>28</v>
      </c>
      <c r="B3234" t="s">
        <v>29</v>
      </c>
      <c r="C3234">
        <v>2014</v>
      </c>
      <c r="D3234">
        <v>9</v>
      </c>
      <c r="E3234" s="4">
        <v>0</v>
      </c>
      <c r="F3234" s="9">
        <v>0</v>
      </c>
      <c r="G3234" s="6">
        <v>2117</v>
      </c>
      <c r="H3234" s="9">
        <f t="shared" si="50"/>
        <v>0</v>
      </c>
      <c r="I3234" s="6">
        <v>11205</v>
      </c>
      <c r="J3234" s="6">
        <f>VLOOKUP(Table1[[#This Row],[Province]],[1]Sheet1!$A$3:$K$37,9,FALSE)</f>
        <v>2624900</v>
      </c>
      <c r="K3234">
        <v>0</v>
      </c>
      <c r="L3234" s="4">
        <v>4.1449100000000003</v>
      </c>
      <c r="M3234" s="4">
        <v>122.174605</v>
      </c>
      <c r="N3234" s="6"/>
      <c r="P3234"/>
      <c r="Q3234" s="12"/>
      <c r="R3234" s="12"/>
    </row>
    <row r="3235" spans="1:18" x14ac:dyDescent="0.2">
      <c r="A3235">
        <v>28</v>
      </c>
      <c r="B3235" t="s">
        <v>29</v>
      </c>
      <c r="C3235">
        <v>2014</v>
      </c>
      <c r="D3235">
        <v>10</v>
      </c>
      <c r="E3235" s="4">
        <v>0</v>
      </c>
      <c r="F3235" s="9">
        <v>0</v>
      </c>
      <c r="G3235" s="6">
        <v>3140</v>
      </c>
      <c r="H3235" s="9">
        <f t="shared" si="50"/>
        <v>0</v>
      </c>
      <c r="I3235" s="6">
        <v>11022</v>
      </c>
      <c r="J3235" s="6">
        <f>VLOOKUP(Table1[[#This Row],[Province]],[1]Sheet1!$A$3:$K$37,9,FALSE)</f>
        <v>2624900</v>
      </c>
      <c r="K3235">
        <v>0</v>
      </c>
      <c r="L3235" s="4">
        <v>4.1449100000000003</v>
      </c>
      <c r="M3235" s="4">
        <v>122.174605</v>
      </c>
      <c r="N3235" s="6"/>
      <c r="P3235"/>
      <c r="Q3235" s="12"/>
      <c r="R3235" s="12"/>
    </row>
    <row r="3236" spans="1:18" x14ac:dyDescent="0.2">
      <c r="A3236">
        <v>28</v>
      </c>
      <c r="B3236" t="s">
        <v>29</v>
      </c>
      <c r="C3236">
        <v>2014</v>
      </c>
      <c r="D3236">
        <v>11</v>
      </c>
      <c r="E3236" s="4">
        <v>0</v>
      </c>
      <c r="F3236" s="9">
        <v>0</v>
      </c>
      <c r="G3236" s="6">
        <v>2506</v>
      </c>
      <c r="H3236" s="9">
        <f t="shared" si="50"/>
        <v>0</v>
      </c>
      <c r="I3236" s="6">
        <v>10763</v>
      </c>
      <c r="J3236" s="6">
        <f>VLOOKUP(Table1[[#This Row],[Province]],[1]Sheet1!$A$3:$K$37,9,FALSE)</f>
        <v>2624900</v>
      </c>
      <c r="K3236">
        <v>0</v>
      </c>
      <c r="L3236" s="4">
        <v>4.1449100000000003</v>
      </c>
      <c r="M3236" s="4">
        <v>122.174605</v>
      </c>
      <c r="N3236" s="6"/>
      <c r="P3236"/>
      <c r="Q3236" s="12"/>
      <c r="R3236" s="12"/>
    </row>
    <row r="3237" spans="1:18" x14ac:dyDescent="0.2">
      <c r="A3237">
        <v>28</v>
      </c>
      <c r="B3237" t="s">
        <v>29</v>
      </c>
      <c r="C3237">
        <v>2014</v>
      </c>
      <c r="D3237">
        <v>12</v>
      </c>
      <c r="E3237" s="4">
        <v>0</v>
      </c>
      <c r="F3237" s="9">
        <v>0</v>
      </c>
      <c r="G3237" s="6">
        <v>2922</v>
      </c>
      <c r="H3237" s="9">
        <f t="shared" si="50"/>
        <v>0</v>
      </c>
      <c r="I3237" s="6">
        <v>10631</v>
      </c>
      <c r="J3237" s="6">
        <f>VLOOKUP(Table1[[#This Row],[Province]],[1]Sheet1!$A$3:$K$37,9,FALSE)</f>
        <v>2624900</v>
      </c>
      <c r="K3237">
        <v>1</v>
      </c>
      <c r="L3237" s="4">
        <v>4.1449100000000003</v>
      </c>
      <c r="M3237" s="4">
        <v>122.174605</v>
      </c>
      <c r="N3237" s="6"/>
      <c r="P3237"/>
      <c r="Q3237" s="12"/>
      <c r="R3237" s="12"/>
    </row>
    <row r="3238" spans="1:18" x14ac:dyDescent="0.2">
      <c r="A3238">
        <v>28</v>
      </c>
      <c r="B3238" t="s">
        <v>29</v>
      </c>
      <c r="C3238">
        <v>2015</v>
      </c>
      <c r="D3238">
        <v>1</v>
      </c>
      <c r="E3238" s="4">
        <v>0</v>
      </c>
      <c r="F3238" s="9">
        <v>0</v>
      </c>
      <c r="G3238" s="6">
        <v>1451</v>
      </c>
      <c r="H3238" s="9">
        <f t="shared" si="50"/>
        <v>0</v>
      </c>
      <c r="I3238" s="6">
        <v>10536</v>
      </c>
      <c r="J3238" s="6">
        <f>VLOOKUP(Table1[[#This Row],[Province]],[1]Sheet1!$A$3:$K$37,10,FALSE)</f>
        <v>2659200</v>
      </c>
      <c r="K3238">
        <v>0</v>
      </c>
      <c r="L3238" s="4">
        <v>4.1449100000000003</v>
      </c>
      <c r="M3238" s="4">
        <v>122.174605</v>
      </c>
      <c r="N3238" s="6"/>
      <c r="P3238"/>
      <c r="Q3238" s="12"/>
      <c r="R3238" s="12"/>
    </row>
    <row r="3239" spans="1:18" x14ac:dyDescent="0.2">
      <c r="A3239">
        <v>28</v>
      </c>
      <c r="B3239" t="s">
        <v>29</v>
      </c>
      <c r="C3239">
        <v>2015</v>
      </c>
      <c r="D3239">
        <v>2</v>
      </c>
      <c r="E3239" s="4">
        <v>0</v>
      </c>
      <c r="F3239" s="9">
        <v>0</v>
      </c>
      <c r="G3239" s="6">
        <v>3659</v>
      </c>
      <c r="H3239" s="9">
        <f t="shared" si="50"/>
        <v>0</v>
      </c>
      <c r="I3239" s="6">
        <v>10868</v>
      </c>
      <c r="J3239" s="6">
        <f>VLOOKUP(Table1[[#This Row],[Province]],[1]Sheet1!$A$3:$K$37,10,FALSE)</f>
        <v>2659200</v>
      </c>
      <c r="K3239">
        <v>0</v>
      </c>
      <c r="L3239" s="4">
        <v>4.1449100000000003</v>
      </c>
      <c r="M3239" s="4">
        <v>122.174605</v>
      </c>
      <c r="N3239" s="6"/>
      <c r="P3239"/>
      <c r="Q3239" s="12"/>
      <c r="R3239" s="12"/>
    </row>
    <row r="3240" spans="1:18" x14ac:dyDescent="0.2">
      <c r="A3240">
        <v>28</v>
      </c>
      <c r="B3240" t="s">
        <v>29</v>
      </c>
      <c r="C3240">
        <v>2015</v>
      </c>
      <c r="D3240">
        <v>3</v>
      </c>
      <c r="E3240" s="4">
        <v>0</v>
      </c>
      <c r="F3240" s="9">
        <v>0</v>
      </c>
      <c r="G3240" s="6">
        <v>1660</v>
      </c>
      <c r="H3240" s="9">
        <f t="shared" si="50"/>
        <v>0</v>
      </c>
      <c r="I3240" s="6">
        <v>11000</v>
      </c>
      <c r="J3240" s="6">
        <f>VLOOKUP(Table1[[#This Row],[Province]],[1]Sheet1!$A$3:$K$37,10,FALSE)</f>
        <v>2659200</v>
      </c>
      <c r="K3240">
        <v>0</v>
      </c>
      <c r="L3240" s="4">
        <v>4.1449100000000003</v>
      </c>
      <c r="M3240" s="4">
        <v>122.174605</v>
      </c>
      <c r="N3240" s="6"/>
      <c r="P3240"/>
      <c r="Q3240" s="12"/>
      <c r="R3240" s="12"/>
    </row>
    <row r="3241" spans="1:18" x14ac:dyDescent="0.2">
      <c r="A3241">
        <v>28</v>
      </c>
      <c r="B3241" t="s">
        <v>29</v>
      </c>
      <c r="C3241">
        <v>2015</v>
      </c>
      <c r="D3241">
        <v>4</v>
      </c>
      <c r="E3241" s="4">
        <v>0</v>
      </c>
      <c r="F3241" s="9">
        <v>0</v>
      </c>
      <c r="G3241" s="6">
        <v>2751</v>
      </c>
      <c r="H3241" s="9">
        <f t="shared" si="50"/>
        <v>0</v>
      </c>
      <c r="I3241" s="6">
        <v>11476</v>
      </c>
      <c r="J3241" s="6">
        <f>VLOOKUP(Table1[[#This Row],[Province]],[1]Sheet1!$A$3:$K$37,10,FALSE)</f>
        <v>2659200</v>
      </c>
      <c r="K3241">
        <v>0</v>
      </c>
      <c r="L3241" s="4">
        <v>4.1449100000000003</v>
      </c>
      <c r="M3241" s="4">
        <v>122.174605</v>
      </c>
      <c r="N3241" s="6"/>
      <c r="P3241"/>
      <c r="Q3241" s="12"/>
      <c r="R3241" s="12"/>
    </row>
    <row r="3242" spans="1:18" x14ac:dyDescent="0.2">
      <c r="A3242">
        <v>28</v>
      </c>
      <c r="B3242" t="s">
        <v>29</v>
      </c>
      <c r="C3242">
        <v>2015</v>
      </c>
      <c r="D3242">
        <v>5</v>
      </c>
      <c r="E3242" s="4">
        <v>0</v>
      </c>
      <c r="F3242" s="9">
        <v>0</v>
      </c>
      <c r="G3242" s="6">
        <v>2636</v>
      </c>
      <c r="H3242" s="9">
        <f t="shared" si="50"/>
        <v>0</v>
      </c>
      <c r="I3242" s="6">
        <v>12184</v>
      </c>
      <c r="J3242" s="6">
        <f>VLOOKUP(Table1[[#This Row],[Province]],[1]Sheet1!$A$3:$K$37,10,FALSE)</f>
        <v>2659200</v>
      </c>
      <c r="K3242">
        <v>0</v>
      </c>
      <c r="L3242" s="4">
        <v>4.1449100000000003</v>
      </c>
      <c r="M3242" s="4">
        <v>122.174605</v>
      </c>
      <c r="N3242" s="6"/>
      <c r="P3242"/>
      <c r="Q3242" s="12"/>
      <c r="R3242" s="12"/>
    </row>
    <row r="3243" spans="1:18" x14ac:dyDescent="0.2">
      <c r="A3243">
        <v>28</v>
      </c>
      <c r="B3243" t="s">
        <v>29</v>
      </c>
      <c r="C3243">
        <v>2015</v>
      </c>
      <c r="D3243">
        <v>6</v>
      </c>
      <c r="E3243" s="4">
        <v>0</v>
      </c>
      <c r="F3243" s="9">
        <v>0</v>
      </c>
      <c r="G3243" s="6">
        <v>2995</v>
      </c>
      <c r="H3243" s="9">
        <f t="shared" si="50"/>
        <v>0</v>
      </c>
      <c r="I3243" s="6">
        <v>13024</v>
      </c>
      <c r="J3243" s="6">
        <f>VLOOKUP(Table1[[#This Row],[Province]],[1]Sheet1!$A$3:$K$37,10,FALSE)</f>
        <v>2659200</v>
      </c>
      <c r="K3243">
        <v>1</v>
      </c>
      <c r="L3243" s="4">
        <v>4.1449100000000003</v>
      </c>
      <c r="M3243" s="4">
        <v>122.174605</v>
      </c>
      <c r="N3243" s="6"/>
      <c r="P3243"/>
      <c r="Q3243" s="12"/>
      <c r="R3243" s="12"/>
    </row>
    <row r="3244" spans="1:18" x14ac:dyDescent="0.2">
      <c r="A3244">
        <v>28</v>
      </c>
      <c r="B3244" t="s">
        <v>29</v>
      </c>
      <c r="C3244">
        <v>2015</v>
      </c>
      <c r="D3244">
        <v>7</v>
      </c>
      <c r="E3244" s="4">
        <v>0</v>
      </c>
      <c r="F3244" s="9">
        <v>0</v>
      </c>
      <c r="G3244" s="6">
        <v>2045</v>
      </c>
      <c r="H3244" s="9">
        <f t="shared" si="50"/>
        <v>0</v>
      </c>
      <c r="I3244" s="6">
        <v>13013</v>
      </c>
      <c r="J3244" s="6">
        <f>VLOOKUP(Table1[[#This Row],[Province]],[1]Sheet1!$A$3:$K$37,10,FALSE)</f>
        <v>2659200</v>
      </c>
      <c r="K3244">
        <v>0</v>
      </c>
      <c r="L3244" s="4">
        <v>4.1449100000000003</v>
      </c>
      <c r="M3244" s="4">
        <v>122.174605</v>
      </c>
      <c r="N3244" s="6"/>
      <c r="P3244"/>
      <c r="Q3244" s="12"/>
      <c r="R3244" s="12"/>
    </row>
    <row r="3245" spans="1:18" x14ac:dyDescent="0.2">
      <c r="A3245">
        <v>28</v>
      </c>
      <c r="B3245" t="s">
        <v>29</v>
      </c>
      <c r="C3245">
        <v>2015</v>
      </c>
      <c r="D3245">
        <v>8</v>
      </c>
      <c r="E3245" s="4">
        <v>0</v>
      </c>
      <c r="F3245" s="9">
        <v>0</v>
      </c>
      <c r="G3245" s="6">
        <v>2024</v>
      </c>
      <c r="H3245" s="9">
        <f t="shared" si="50"/>
        <v>0</v>
      </c>
      <c r="I3245" s="6">
        <v>13000</v>
      </c>
      <c r="J3245" s="6">
        <f>VLOOKUP(Table1[[#This Row],[Province]],[1]Sheet1!$A$3:$K$37,10,FALSE)</f>
        <v>2659200</v>
      </c>
      <c r="K3245">
        <v>0</v>
      </c>
      <c r="L3245" s="4">
        <v>4.1449100000000003</v>
      </c>
      <c r="M3245" s="4">
        <v>122.174605</v>
      </c>
      <c r="N3245" s="6"/>
      <c r="P3245"/>
      <c r="Q3245" s="12"/>
      <c r="R3245" s="12"/>
    </row>
    <row r="3246" spans="1:18" x14ac:dyDescent="0.2">
      <c r="A3246">
        <v>28</v>
      </c>
      <c r="B3246" t="s">
        <v>29</v>
      </c>
      <c r="C3246">
        <v>2015</v>
      </c>
      <c r="D3246">
        <v>9</v>
      </c>
      <c r="E3246" s="4">
        <v>0</v>
      </c>
      <c r="F3246" s="9">
        <v>0</v>
      </c>
      <c r="G3246" s="6">
        <v>2716</v>
      </c>
      <c r="H3246" s="9">
        <f t="shared" si="50"/>
        <v>0</v>
      </c>
      <c r="I3246" s="6">
        <v>12655</v>
      </c>
      <c r="J3246" s="6">
        <f>VLOOKUP(Table1[[#This Row],[Province]],[1]Sheet1!$A$3:$K$37,10,FALSE)</f>
        <v>2659200</v>
      </c>
      <c r="K3246">
        <v>0</v>
      </c>
      <c r="L3246" s="4">
        <v>4.1449100000000003</v>
      </c>
      <c r="M3246" s="4">
        <v>122.174605</v>
      </c>
      <c r="N3246" s="6"/>
      <c r="P3246"/>
      <c r="Q3246" s="12"/>
      <c r="R3246" s="12"/>
    </row>
    <row r="3247" spans="1:18" x14ac:dyDescent="0.2">
      <c r="A3247">
        <v>28</v>
      </c>
      <c r="B3247" t="s">
        <v>29</v>
      </c>
      <c r="C3247">
        <v>2015</v>
      </c>
      <c r="D3247">
        <v>10</v>
      </c>
      <c r="E3247" s="4">
        <v>0</v>
      </c>
      <c r="F3247" s="9">
        <v>0</v>
      </c>
      <c r="G3247" s="6">
        <v>1810</v>
      </c>
      <c r="H3247" s="9">
        <f t="shared" si="50"/>
        <v>0</v>
      </c>
      <c r="I3247" s="6">
        <v>12571</v>
      </c>
      <c r="J3247" s="6">
        <f>VLOOKUP(Table1[[#This Row],[Province]],[1]Sheet1!$A$3:$K$37,10,FALSE)</f>
        <v>2659200</v>
      </c>
      <c r="K3247">
        <v>0</v>
      </c>
      <c r="L3247" s="4">
        <v>4.1449100000000003</v>
      </c>
      <c r="M3247" s="4">
        <v>122.174605</v>
      </c>
      <c r="N3247" s="6"/>
      <c r="P3247"/>
      <c r="Q3247" s="12"/>
      <c r="R3247" s="12"/>
    </row>
    <row r="3248" spans="1:18" x14ac:dyDescent="0.2">
      <c r="A3248">
        <v>28</v>
      </c>
      <c r="B3248" t="s">
        <v>29</v>
      </c>
      <c r="C3248">
        <v>2015</v>
      </c>
      <c r="D3248">
        <v>11</v>
      </c>
      <c r="E3248" s="4">
        <v>0</v>
      </c>
      <c r="F3248" s="9">
        <v>0</v>
      </c>
      <c r="G3248" s="6">
        <v>2387</v>
      </c>
      <c r="H3248" s="9">
        <f t="shared" si="50"/>
        <v>0</v>
      </c>
      <c r="I3248" s="6">
        <v>12988</v>
      </c>
      <c r="J3248" s="6">
        <f>VLOOKUP(Table1[[#This Row],[Province]],[1]Sheet1!$A$3:$K$37,10,FALSE)</f>
        <v>2659200</v>
      </c>
      <c r="K3248">
        <v>0</v>
      </c>
      <c r="L3248" s="4">
        <v>4.1449100000000003</v>
      </c>
      <c r="M3248" s="4">
        <v>122.174605</v>
      </c>
      <c r="N3248" s="6"/>
      <c r="P3248"/>
      <c r="Q3248" s="12"/>
      <c r="R3248" s="12"/>
    </row>
    <row r="3249" spans="1:18" x14ac:dyDescent="0.2">
      <c r="A3249">
        <v>28</v>
      </c>
      <c r="B3249" t="s">
        <v>29</v>
      </c>
      <c r="C3249">
        <v>2015</v>
      </c>
      <c r="D3249">
        <v>12</v>
      </c>
      <c r="E3249" s="4">
        <v>0</v>
      </c>
      <c r="F3249" s="9">
        <v>0</v>
      </c>
      <c r="G3249" s="6">
        <v>2558</v>
      </c>
      <c r="H3249" s="9">
        <f t="shared" si="50"/>
        <v>0</v>
      </c>
      <c r="I3249" s="6">
        <v>13000</v>
      </c>
      <c r="J3249" s="6">
        <f>VLOOKUP(Table1[[#This Row],[Province]],[1]Sheet1!$A$3:$K$37,10,FALSE)</f>
        <v>2659200</v>
      </c>
      <c r="K3249">
        <v>1</v>
      </c>
      <c r="L3249" s="4">
        <v>4.1449100000000003</v>
      </c>
      <c r="M3249" s="4">
        <v>122.174605</v>
      </c>
      <c r="N3249" s="6"/>
      <c r="P3249"/>
      <c r="Q3249" s="12"/>
      <c r="R3249" s="12"/>
    </row>
    <row r="3250" spans="1:18" x14ac:dyDescent="0.2">
      <c r="A3250">
        <v>28</v>
      </c>
      <c r="B3250" t="s">
        <v>29</v>
      </c>
      <c r="C3250">
        <v>2016</v>
      </c>
      <c r="D3250">
        <v>1</v>
      </c>
      <c r="E3250" s="4">
        <v>0</v>
      </c>
      <c r="F3250" s="9">
        <v>0</v>
      </c>
      <c r="G3250" s="6">
        <v>2435</v>
      </c>
      <c r="H3250" s="9">
        <f t="shared" si="50"/>
        <v>0</v>
      </c>
      <c r="I3250" s="6">
        <v>13000</v>
      </c>
      <c r="J3250" s="6">
        <f>VLOOKUP(Table1[[#This Row],[Province]],[1]Sheet1!$A$3:$K$37,10,FALSE)</f>
        <v>2659200</v>
      </c>
      <c r="K3250">
        <v>0</v>
      </c>
      <c r="L3250" s="4">
        <v>4.1449100000000003</v>
      </c>
      <c r="M3250" s="4">
        <v>122.174605</v>
      </c>
      <c r="N3250" s="13">
        <v>6.51</v>
      </c>
      <c r="P3250"/>
      <c r="Q3250" s="12"/>
      <c r="R3250" s="12"/>
    </row>
    <row r="3251" spans="1:18" x14ac:dyDescent="0.2">
      <c r="A3251">
        <v>28</v>
      </c>
      <c r="B3251" t="s">
        <v>29</v>
      </c>
      <c r="C3251">
        <v>2016</v>
      </c>
      <c r="D3251">
        <v>2</v>
      </c>
      <c r="E3251" s="4">
        <v>0</v>
      </c>
      <c r="F3251" s="9">
        <v>0</v>
      </c>
      <c r="G3251" s="6">
        <v>3285</v>
      </c>
      <c r="H3251" s="9">
        <f t="shared" si="50"/>
        <v>0</v>
      </c>
      <c r="I3251" s="6">
        <v>13000</v>
      </c>
      <c r="J3251" s="6">
        <f>VLOOKUP(Table1[[#This Row],[Province]],[1]Sheet1!$A$3:$K$37,10,FALSE)</f>
        <v>2659200</v>
      </c>
      <c r="K3251">
        <v>0</v>
      </c>
      <c r="L3251" s="4">
        <v>4.1449100000000003</v>
      </c>
      <c r="M3251" s="4">
        <v>122.174605</v>
      </c>
      <c r="N3251" s="13">
        <v>6.51</v>
      </c>
      <c r="P3251"/>
      <c r="Q3251" s="12"/>
      <c r="R3251" s="12"/>
    </row>
    <row r="3252" spans="1:18" x14ac:dyDescent="0.2">
      <c r="A3252">
        <v>28</v>
      </c>
      <c r="B3252" t="s">
        <v>29</v>
      </c>
      <c r="C3252">
        <v>2016</v>
      </c>
      <c r="D3252">
        <v>3</v>
      </c>
      <c r="E3252" s="4">
        <v>0</v>
      </c>
      <c r="F3252" s="9">
        <v>0</v>
      </c>
      <c r="G3252" s="6">
        <v>3225</v>
      </c>
      <c r="H3252" s="9">
        <f t="shared" si="50"/>
        <v>0</v>
      </c>
      <c r="I3252" s="6">
        <v>13000</v>
      </c>
      <c r="J3252" s="6">
        <f>VLOOKUP(Table1[[#This Row],[Province]],[1]Sheet1!$A$3:$K$37,10,FALSE)</f>
        <v>2659200</v>
      </c>
      <c r="K3252">
        <v>0</v>
      </c>
      <c r="L3252" s="4">
        <v>4.1449100000000003</v>
      </c>
      <c r="M3252" s="4">
        <v>122.174605</v>
      </c>
      <c r="N3252" s="13">
        <v>6.51</v>
      </c>
      <c r="P3252"/>
      <c r="Q3252" s="12"/>
      <c r="R3252" s="12"/>
    </row>
    <row r="3253" spans="1:18" x14ac:dyDescent="0.2">
      <c r="A3253">
        <v>28</v>
      </c>
      <c r="B3253" t="s">
        <v>29</v>
      </c>
      <c r="C3253">
        <v>2016</v>
      </c>
      <c r="D3253">
        <v>4</v>
      </c>
      <c r="E3253" s="4">
        <v>0</v>
      </c>
      <c r="F3253" s="9">
        <v>0</v>
      </c>
      <c r="G3253" s="6">
        <v>2147</v>
      </c>
      <c r="H3253" s="9">
        <f t="shared" si="50"/>
        <v>0</v>
      </c>
      <c r="I3253" s="6">
        <v>13083</v>
      </c>
      <c r="J3253" s="6">
        <f>VLOOKUP(Table1[[#This Row],[Province]],[1]Sheet1!$A$3:$K$37,10,FALSE)</f>
        <v>2659200</v>
      </c>
      <c r="K3253">
        <v>0</v>
      </c>
      <c r="L3253" s="4">
        <v>4.1449100000000003</v>
      </c>
      <c r="M3253" s="4">
        <v>122.174605</v>
      </c>
      <c r="N3253" s="13">
        <v>6.51</v>
      </c>
      <c r="P3253"/>
      <c r="Q3253" s="12"/>
      <c r="R3253" s="12"/>
    </row>
    <row r="3254" spans="1:18" x14ac:dyDescent="0.2">
      <c r="A3254">
        <v>28</v>
      </c>
      <c r="B3254" t="s">
        <v>29</v>
      </c>
      <c r="C3254">
        <v>2016</v>
      </c>
      <c r="D3254">
        <v>5</v>
      </c>
      <c r="E3254" s="4">
        <v>0</v>
      </c>
      <c r="F3254" s="9">
        <v>0</v>
      </c>
      <c r="G3254" s="6">
        <v>1938</v>
      </c>
      <c r="H3254" s="9">
        <f t="shared" si="50"/>
        <v>0</v>
      </c>
      <c r="I3254" s="6">
        <v>14425</v>
      </c>
      <c r="J3254" s="6">
        <f>VLOOKUP(Table1[[#This Row],[Province]],[1]Sheet1!$A$3:$K$37,10,FALSE)</f>
        <v>2659200</v>
      </c>
      <c r="K3254">
        <v>0</v>
      </c>
      <c r="L3254" s="4">
        <v>4.1449100000000003</v>
      </c>
      <c r="M3254" s="4">
        <v>122.174605</v>
      </c>
      <c r="N3254" s="13">
        <v>6.51</v>
      </c>
      <c r="P3254"/>
      <c r="Q3254" s="12"/>
      <c r="R3254" s="12"/>
    </row>
    <row r="3255" spans="1:18" x14ac:dyDescent="0.2">
      <c r="A3255">
        <v>28</v>
      </c>
      <c r="B3255" t="s">
        <v>29</v>
      </c>
      <c r="C3255">
        <v>2016</v>
      </c>
      <c r="D3255">
        <v>6</v>
      </c>
      <c r="E3255" s="4">
        <v>0</v>
      </c>
      <c r="F3255" s="9">
        <v>0</v>
      </c>
      <c r="G3255" s="6">
        <v>2632</v>
      </c>
      <c r="H3255" s="9">
        <f t="shared" si="50"/>
        <v>0</v>
      </c>
      <c r="I3255" s="6">
        <v>15773</v>
      </c>
      <c r="J3255" s="6">
        <f>VLOOKUP(Table1[[#This Row],[Province]],[1]Sheet1!$A$3:$K$37,10,FALSE)</f>
        <v>2659200</v>
      </c>
      <c r="K3255">
        <v>1</v>
      </c>
      <c r="L3255" s="4">
        <v>4.1449100000000003</v>
      </c>
      <c r="M3255" s="4">
        <v>122.174605</v>
      </c>
      <c r="N3255" s="13">
        <v>6.51</v>
      </c>
      <c r="P3255"/>
      <c r="Q3255" s="12"/>
      <c r="R3255" s="12"/>
    </row>
    <row r="3256" spans="1:18" x14ac:dyDescent="0.2">
      <c r="A3256">
        <v>28</v>
      </c>
      <c r="B3256" t="s">
        <v>29</v>
      </c>
      <c r="C3256">
        <v>2016</v>
      </c>
      <c r="D3256">
        <v>7</v>
      </c>
      <c r="E3256" s="4">
        <v>0</v>
      </c>
      <c r="F3256" s="9">
        <v>0</v>
      </c>
      <c r="G3256" s="6">
        <v>2511</v>
      </c>
      <c r="H3256" s="9">
        <f t="shared" si="50"/>
        <v>0</v>
      </c>
      <c r="I3256" s="6">
        <v>15969</v>
      </c>
      <c r="J3256" s="6">
        <f>VLOOKUP(Table1[[#This Row],[Province]],[1]Sheet1!$A$3:$K$37,10,FALSE)</f>
        <v>2659200</v>
      </c>
      <c r="K3256">
        <v>0</v>
      </c>
      <c r="L3256" s="4">
        <v>4.1449100000000003</v>
      </c>
      <c r="M3256" s="4">
        <v>122.174605</v>
      </c>
      <c r="N3256" s="13">
        <v>6.51</v>
      </c>
      <c r="P3256"/>
      <c r="Q3256" s="12"/>
      <c r="R3256" s="12"/>
    </row>
    <row r="3257" spans="1:18" x14ac:dyDescent="0.2">
      <c r="A3257">
        <v>28</v>
      </c>
      <c r="B3257" t="s">
        <v>29</v>
      </c>
      <c r="C3257">
        <v>2016</v>
      </c>
      <c r="D3257">
        <v>8</v>
      </c>
      <c r="E3257" s="4">
        <v>0</v>
      </c>
      <c r="F3257" s="9">
        <v>0</v>
      </c>
      <c r="G3257" s="6">
        <v>2481</v>
      </c>
      <c r="H3257" s="9">
        <f t="shared" si="50"/>
        <v>0</v>
      </c>
      <c r="I3257" s="6">
        <v>16045</v>
      </c>
      <c r="J3257" s="6">
        <f>VLOOKUP(Table1[[#This Row],[Province]],[1]Sheet1!$A$3:$K$37,10,FALSE)</f>
        <v>2659200</v>
      </c>
      <c r="K3257">
        <v>0</v>
      </c>
      <c r="L3257" s="4">
        <v>4.1449100000000003</v>
      </c>
      <c r="M3257" s="4">
        <v>122.174605</v>
      </c>
      <c r="N3257" s="13">
        <v>6.51</v>
      </c>
      <c r="P3257"/>
      <c r="Q3257" s="12"/>
      <c r="R3257" s="12"/>
    </row>
    <row r="3258" spans="1:18" x14ac:dyDescent="0.2">
      <c r="A3258">
        <v>28</v>
      </c>
      <c r="B3258" t="s">
        <v>29</v>
      </c>
      <c r="C3258">
        <v>2016</v>
      </c>
      <c r="D3258">
        <v>9</v>
      </c>
      <c r="E3258" s="4">
        <v>0</v>
      </c>
      <c r="F3258" s="9">
        <v>0</v>
      </c>
      <c r="G3258" s="6">
        <v>959</v>
      </c>
      <c r="H3258" s="9">
        <f t="shared" si="50"/>
        <v>0</v>
      </c>
      <c r="I3258" s="6">
        <v>15726</v>
      </c>
      <c r="J3258" s="6">
        <f>VLOOKUP(Table1[[#This Row],[Province]],[1]Sheet1!$A$3:$K$37,10,FALSE)</f>
        <v>2659200</v>
      </c>
      <c r="K3258">
        <v>0</v>
      </c>
      <c r="L3258" s="4">
        <v>4.1449100000000003</v>
      </c>
      <c r="M3258" s="4">
        <v>122.174605</v>
      </c>
      <c r="N3258" s="13">
        <v>6.51</v>
      </c>
      <c r="P3258"/>
      <c r="Q3258" s="12"/>
      <c r="R3258" s="12"/>
    </row>
    <row r="3259" spans="1:18" x14ac:dyDescent="0.2">
      <c r="A3259">
        <v>28</v>
      </c>
      <c r="B3259" t="s">
        <v>29</v>
      </c>
      <c r="C3259">
        <v>2016</v>
      </c>
      <c r="D3259">
        <v>10</v>
      </c>
      <c r="E3259" s="4">
        <v>0</v>
      </c>
      <c r="F3259" s="9">
        <v>0</v>
      </c>
      <c r="G3259" s="6">
        <v>4190</v>
      </c>
      <c r="H3259" s="9">
        <f t="shared" si="50"/>
        <v>0</v>
      </c>
      <c r="I3259" s="6">
        <v>15000</v>
      </c>
      <c r="J3259" s="6">
        <f>VLOOKUP(Table1[[#This Row],[Province]],[1]Sheet1!$A$3:$K$37,10,FALSE)</f>
        <v>2659200</v>
      </c>
      <c r="K3259">
        <v>0</v>
      </c>
      <c r="L3259" s="4">
        <v>4.1449100000000003</v>
      </c>
      <c r="M3259" s="4">
        <v>122.174605</v>
      </c>
      <c r="N3259" s="13">
        <v>6.51</v>
      </c>
      <c r="P3259"/>
      <c r="Q3259" s="12"/>
      <c r="R3259" s="12"/>
    </row>
    <row r="3260" spans="1:18" x14ac:dyDescent="0.2">
      <c r="A3260">
        <v>28</v>
      </c>
      <c r="B3260" t="s">
        <v>29</v>
      </c>
      <c r="C3260">
        <v>2016</v>
      </c>
      <c r="D3260">
        <v>11</v>
      </c>
      <c r="E3260" s="4">
        <v>0</v>
      </c>
      <c r="F3260" s="9">
        <v>0</v>
      </c>
      <c r="G3260" s="6">
        <v>1186</v>
      </c>
      <c r="H3260" s="9">
        <f t="shared" si="50"/>
        <v>0</v>
      </c>
      <c r="I3260" s="6">
        <v>14864</v>
      </c>
      <c r="J3260" s="6">
        <f>VLOOKUP(Table1[[#This Row],[Province]],[1]Sheet1!$A$3:$K$37,10,FALSE)</f>
        <v>2659200</v>
      </c>
      <c r="K3260">
        <v>0</v>
      </c>
      <c r="L3260" s="4">
        <v>4.1449100000000003</v>
      </c>
      <c r="M3260" s="4">
        <v>122.174605</v>
      </c>
      <c r="N3260" s="13">
        <v>6.51</v>
      </c>
      <c r="P3260"/>
      <c r="Q3260" s="12"/>
      <c r="R3260" s="12"/>
    </row>
    <row r="3261" spans="1:18" x14ac:dyDescent="0.2">
      <c r="A3261">
        <v>28</v>
      </c>
      <c r="B3261" t="s">
        <v>29</v>
      </c>
      <c r="C3261">
        <v>2016</v>
      </c>
      <c r="D3261">
        <v>12</v>
      </c>
      <c r="E3261" s="4">
        <v>0</v>
      </c>
      <c r="F3261" s="9">
        <v>0</v>
      </c>
      <c r="G3261" s="6">
        <v>1187</v>
      </c>
      <c r="H3261" s="9">
        <f t="shared" si="50"/>
        <v>0</v>
      </c>
      <c r="I3261" s="6">
        <v>14425</v>
      </c>
      <c r="J3261" s="6">
        <f>VLOOKUP(Table1[[#This Row],[Province]],[1]Sheet1!$A$3:$K$37,10,FALSE)</f>
        <v>2659200</v>
      </c>
      <c r="K3261">
        <v>1</v>
      </c>
      <c r="L3261" s="4">
        <v>4.1449100000000003</v>
      </c>
      <c r="M3261" s="4">
        <v>122.174605</v>
      </c>
      <c r="N3261" s="13">
        <v>6.51</v>
      </c>
      <c r="P3261"/>
      <c r="Q3261" s="12"/>
      <c r="R3261" s="12"/>
    </row>
    <row r="3262" spans="1:18" x14ac:dyDescent="0.2">
      <c r="A3262">
        <v>28</v>
      </c>
      <c r="B3262" t="s">
        <v>29</v>
      </c>
      <c r="C3262">
        <v>2017</v>
      </c>
      <c r="D3262">
        <v>1</v>
      </c>
      <c r="E3262" s="4">
        <v>0</v>
      </c>
      <c r="F3262" s="9">
        <v>0</v>
      </c>
      <c r="G3262" s="6">
        <v>2353</v>
      </c>
      <c r="H3262" s="9">
        <f t="shared" si="50"/>
        <v>0</v>
      </c>
      <c r="I3262" s="6">
        <v>13690</v>
      </c>
      <c r="J3262" s="6">
        <f>VLOOKUP(Table1[[#This Row],[Province]],[1]Sheet1!$A$3:$K$37,10,FALSE)</f>
        <v>2659200</v>
      </c>
      <c r="K3262">
        <v>0</v>
      </c>
      <c r="L3262" s="4">
        <v>4.1449100000000003</v>
      </c>
      <c r="M3262" s="4">
        <v>122.174605</v>
      </c>
      <c r="N3262" s="13">
        <v>6.76</v>
      </c>
      <c r="P3262"/>
      <c r="Q3262" s="12"/>
      <c r="R3262" s="12"/>
    </row>
    <row r="3263" spans="1:18" x14ac:dyDescent="0.2">
      <c r="A3263">
        <v>28</v>
      </c>
      <c r="B3263" t="s">
        <v>29</v>
      </c>
      <c r="C3263">
        <v>2017</v>
      </c>
      <c r="D3263">
        <v>2</v>
      </c>
      <c r="E3263" s="4">
        <v>0</v>
      </c>
      <c r="F3263" s="9">
        <v>0</v>
      </c>
      <c r="G3263" s="6">
        <v>1352</v>
      </c>
      <c r="H3263" s="9">
        <f t="shared" si="50"/>
        <v>0</v>
      </c>
      <c r="I3263" s="6">
        <v>13053</v>
      </c>
      <c r="J3263" s="6">
        <f>VLOOKUP(Table1[[#This Row],[Province]],[1]Sheet1!$A$3:$K$37,10,FALSE)</f>
        <v>2659200</v>
      </c>
      <c r="K3263">
        <v>0</v>
      </c>
      <c r="L3263" s="4">
        <v>4.1449100000000003</v>
      </c>
      <c r="M3263" s="4">
        <v>122.174605</v>
      </c>
      <c r="N3263" s="13">
        <v>6.76</v>
      </c>
      <c r="P3263"/>
      <c r="Q3263" s="12"/>
      <c r="R3263" s="12"/>
    </row>
    <row r="3264" spans="1:18" x14ac:dyDescent="0.2">
      <c r="A3264">
        <v>28</v>
      </c>
      <c r="B3264" t="s">
        <v>29</v>
      </c>
      <c r="C3264">
        <v>2017</v>
      </c>
      <c r="D3264">
        <v>3</v>
      </c>
      <c r="E3264" s="4">
        <v>0</v>
      </c>
      <c r="F3264" s="9">
        <v>0</v>
      </c>
      <c r="G3264" s="6">
        <v>1056</v>
      </c>
      <c r="H3264" s="9">
        <f t="shared" si="50"/>
        <v>0</v>
      </c>
      <c r="I3264" s="6">
        <v>13023</v>
      </c>
      <c r="J3264" s="6">
        <f>VLOOKUP(Table1[[#This Row],[Province]],[1]Sheet1!$A$3:$K$37,10,FALSE)</f>
        <v>2659200</v>
      </c>
      <c r="K3264">
        <v>0</v>
      </c>
      <c r="L3264" s="4">
        <v>4.1449100000000003</v>
      </c>
      <c r="M3264" s="4">
        <v>122.174605</v>
      </c>
      <c r="N3264" s="13">
        <v>6.76</v>
      </c>
      <c r="P3264"/>
      <c r="Q3264" s="12"/>
      <c r="R3264" s="12"/>
    </row>
    <row r="3265" spans="1:18" x14ac:dyDescent="0.2">
      <c r="A3265">
        <v>28</v>
      </c>
      <c r="B3265" t="s">
        <v>29</v>
      </c>
      <c r="C3265">
        <v>2017</v>
      </c>
      <c r="D3265">
        <v>4</v>
      </c>
      <c r="E3265" s="4">
        <v>0</v>
      </c>
      <c r="F3265" s="9">
        <v>0</v>
      </c>
      <c r="G3265" s="6">
        <v>754</v>
      </c>
      <c r="H3265" s="9">
        <f t="shared" si="50"/>
        <v>0</v>
      </c>
      <c r="I3265" s="6">
        <v>13000</v>
      </c>
      <c r="J3265" s="6">
        <f>VLOOKUP(Table1[[#This Row],[Province]],[1]Sheet1!$A$3:$K$37,10,FALSE)</f>
        <v>2659200</v>
      </c>
      <c r="K3265">
        <v>0</v>
      </c>
      <c r="L3265" s="4">
        <v>4.1449100000000003</v>
      </c>
      <c r="M3265" s="4">
        <v>122.174605</v>
      </c>
      <c r="N3265" s="13">
        <v>6.76</v>
      </c>
      <c r="P3265"/>
      <c r="Q3265" s="12"/>
      <c r="R3265" s="12"/>
    </row>
    <row r="3266" spans="1:18" x14ac:dyDescent="0.2">
      <c r="A3266">
        <v>28</v>
      </c>
      <c r="B3266" t="s">
        <v>29</v>
      </c>
      <c r="C3266">
        <v>2017</v>
      </c>
      <c r="D3266">
        <v>5</v>
      </c>
      <c r="E3266" s="4">
        <v>0</v>
      </c>
      <c r="F3266" s="9">
        <v>0</v>
      </c>
      <c r="G3266" s="6">
        <v>727</v>
      </c>
      <c r="H3266" s="9">
        <f t="shared" ref="H3266:H3329" si="51">F3266+E3266</f>
        <v>0</v>
      </c>
      <c r="I3266" s="6">
        <v>12863</v>
      </c>
      <c r="J3266" s="6">
        <f>VLOOKUP(Table1[[#This Row],[Province]],[1]Sheet1!$A$3:$K$37,10,FALSE)</f>
        <v>2659200</v>
      </c>
      <c r="K3266">
        <v>1</v>
      </c>
      <c r="L3266" s="4">
        <v>4.1449100000000003</v>
      </c>
      <c r="M3266" s="4">
        <v>122.174605</v>
      </c>
      <c r="N3266" s="13">
        <v>6.76</v>
      </c>
      <c r="P3266"/>
      <c r="Q3266" s="12"/>
      <c r="R3266" s="12"/>
    </row>
    <row r="3267" spans="1:18" x14ac:dyDescent="0.2">
      <c r="A3267">
        <v>28</v>
      </c>
      <c r="B3267" t="s">
        <v>29</v>
      </c>
      <c r="C3267">
        <v>2017</v>
      </c>
      <c r="D3267">
        <v>6</v>
      </c>
      <c r="E3267" s="4">
        <v>0</v>
      </c>
      <c r="F3267" s="9">
        <v>0</v>
      </c>
      <c r="G3267" s="6">
        <v>1344</v>
      </c>
      <c r="H3267" s="9">
        <f t="shared" si="51"/>
        <v>0</v>
      </c>
      <c r="I3267" s="6">
        <v>12767</v>
      </c>
      <c r="J3267" s="6">
        <f>VLOOKUP(Table1[[#This Row],[Province]],[1]Sheet1!$A$3:$K$37,10,FALSE)</f>
        <v>2659200</v>
      </c>
      <c r="K3267">
        <v>0</v>
      </c>
      <c r="L3267" s="4">
        <v>4.1449100000000003</v>
      </c>
      <c r="M3267" s="4">
        <v>122.174605</v>
      </c>
      <c r="N3267" s="13">
        <v>6.76</v>
      </c>
      <c r="P3267"/>
      <c r="Q3267" s="12"/>
      <c r="R3267" s="12"/>
    </row>
    <row r="3268" spans="1:18" x14ac:dyDescent="0.2">
      <c r="A3268">
        <v>28</v>
      </c>
      <c r="B3268" t="s">
        <v>29</v>
      </c>
      <c r="C3268">
        <v>2017</v>
      </c>
      <c r="D3268">
        <v>7</v>
      </c>
      <c r="E3268" s="4">
        <v>0</v>
      </c>
      <c r="F3268" s="9">
        <v>0</v>
      </c>
      <c r="G3268" s="6">
        <v>1497</v>
      </c>
      <c r="H3268" s="9">
        <f t="shared" si="51"/>
        <v>0</v>
      </c>
      <c r="I3268" s="6">
        <v>12548</v>
      </c>
      <c r="J3268" s="6">
        <f>VLOOKUP(Table1[[#This Row],[Province]],[1]Sheet1!$A$3:$K$37,10,FALSE)</f>
        <v>2659200</v>
      </c>
      <c r="K3268">
        <v>0</v>
      </c>
      <c r="L3268" s="4">
        <v>4.1449100000000003</v>
      </c>
      <c r="M3268" s="4">
        <v>122.174605</v>
      </c>
      <c r="N3268" s="13">
        <v>6.76</v>
      </c>
      <c r="P3268"/>
      <c r="Q3268" s="12"/>
      <c r="R3268" s="12"/>
    </row>
    <row r="3269" spans="1:18" x14ac:dyDescent="0.2">
      <c r="A3269">
        <v>28</v>
      </c>
      <c r="B3269" t="s">
        <v>29</v>
      </c>
      <c r="C3269">
        <v>2017</v>
      </c>
      <c r="D3269">
        <v>8</v>
      </c>
      <c r="E3269" s="4">
        <v>0</v>
      </c>
      <c r="F3269" s="9">
        <v>0</v>
      </c>
      <c r="G3269" s="6">
        <v>2869</v>
      </c>
      <c r="H3269" s="9">
        <f t="shared" si="51"/>
        <v>0</v>
      </c>
      <c r="I3269" s="6">
        <v>12511</v>
      </c>
      <c r="J3269" s="6">
        <f>VLOOKUP(Table1[[#This Row],[Province]],[1]Sheet1!$A$3:$K$37,10,FALSE)</f>
        <v>2659200</v>
      </c>
      <c r="K3269">
        <v>0</v>
      </c>
      <c r="L3269" s="4">
        <v>4.1449100000000003</v>
      </c>
      <c r="M3269" s="4">
        <v>122.174605</v>
      </c>
      <c r="N3269" s="13">
        <v>6.76</v>
      </c>
      <c r="P3269"/>
      <c r="Q3269" s="12"/>
      <c r="R3269" s="12"/>
    </row>
    <row r="3270" spans="1:18" x14ac:dyDescent="0.2">
      <c r="A3270">
        <v>28</v>
      </c>
      <c r="B3270" t="s">
        <v>29</v>
      </c>
      <c r="C3270">
        <v>2017</v>
      </c>
      <c r="D3270">
        <v>9</v>
      </c>
      <c r="E3270" s="4">
        <v>0</v>
      </c>
      <c r="F3270" s="9">
        <v>0</v>
      </c>
      <c r="G3270" s="6">
        <v>2780</v>
      </c>
      <c r="H3270" s="9">
        <f t="shared" si="51"/>
        <v>0</v>
      </c>
      <c r="I3270" s="6">
        <v>12500</v>
      </c>
      <c r="J3270" s="6">
        <f>VLOOKUP(Table1[[#This Row],[Province]],[1]Sheet1!$A$3:$K$37,10,FALSE)</f>
        <v>2659200</v>
      </c>
      <c r="K3270">
        <v>0</v>
      </c>
      <c r="L3270" s="4">
        <v>4.1449100000000003</v>
      </c>
      <c r="M3270" s="4">
        <v>122.174605</v>
      </c>
      <c r="N3270" s="13">
        <v>6.76</v>
      </c>
      <c r="P3270"/>
      <c r="Q3270" s="12"/>
      <c r="R3270" s="12"/>
    </row>
    <row r="3271" spans="1:18" x14ac:dyDescent="0.2">
      <c r="A3271">
        <v>28</v>
      </c>
      <c r="B3271" t="s">
        <v>29</v>
      </c>
      <c r="C3271">
        <v>2017</v>
      </c>
      <c r="D3271">
        <v>10</v>
      </c>
      <c r="E3271" s="4">
        <v>0</v>
      </c>
      <c r="F3271" s="9">
        <v>0</v>
      </c>
      <c r="G3271" s="6">
        <v>3608</v>
      </c>
      <c r="H3271" s="9">
        <f t="shared" si="51"/>
        <v>0</v>
      </c>
      <c r="I3271" s="6">
        <v>12500</v>
      </c>
      <c r="J3271" s="6">
        <f>VLOOKUP(Table1[[#This Row],[Province]],[1]Sheet1!$A$3:$K$37,10,FALSE)</f>
        <v>2659200</v>
      </c>
      <c r="K3271">
        <v>0</v>
      </c>
      <c r="L3271" s="4">
        <v>4.1449100000000003</v>
      </c>
      <c r="M3271" s="4">
        <v>122.174605</v>
      </c>
      <c r="N3271" s="13">
        <v>6.76</v>
      </c>
      <c r="P3271"/>
      <c r="Q3271" s="12"/>
      <c r="R3271" s="12"/>
    </row>
    <row r="3272" spans="1:18" x14ac:dyDescent="0.2">
      <c r="A3272">
        <v>28</v>
      </c>
      <c r="B3272" t="s">
        <v>29</v>
      </c>
      <c r="C3272">
        <v>2017</v>
      </c>
      <c r="D3272">
        <v>11</v>
      </c>
      <c r="E3272" s="4">
        <v>0</v>
      </c>
      <c r="F3272" s="9">
        <v>0</v>
      </c>
      <c r="G3272" s="6">
        <v>943</v>
      </c>
      <c r="H3272" s="9">
        <f t="shared" si="51"/>
        <v>0</v>
      </c>
      <c r="I3272" s="6">
        <v>12466</v>
      </c>
      <c r="J3272" s="6">
        <f>VLOOKUP(Table1[[#This Row],[Province]],[1]Sheet1!$A$3:$K$37,10,FALSE)</f>
        <v>2659200</v>
      </c>
      <c r="K3272">
        <v>0</v>
      </c>
      <c r="L3272" s="4">
        <v>4.1449100000000003</v>
      </c>
      <c r="M3272" s="4">
        <v>122.174605</v>
      </c>
      <c r="N3272" s="13">
        <v>6.76</v>
      </c>
      <c r="P3272"/>
      <c r="Q3272" s="12"/>
      <c r="R3272" s="12"/>
    </row>
    <row r="3273" spans="1:18" x14ac:dyDescent="0.2">
      <c r="A3273">
        <v>28</v>
      </c>
      <c r="B3273" t="s">
        <v>29</v>
      </c>
      <c r="C3273">
        <v>2017</v>
      </c>
      <c r="D3273">
        <v>12</v>
      </c>
      <c r="E3273" s="4">
        <v>0</v>
      </c>
      <c r="F3273" s="9">
        <v>0</v>
      </c>
      <c r="G3273" s="6">
        <v>1757</v>
      </c>
      <c r="H3273" s="9">
        <f t="shared" si="51"/>
        <v>0</v>
      </c>
      <c r="I3273" s="6">
        <v>12500</v>
      </c>
      <c r="J3273" s="6">
        <f>VLOOKUP(Table1[[#This Row],[Province]],[1]Sheet1!$A$3:$K$37,10,FALSE)</f>
        <v>2659200</v>
      </c>
      <c r="K3273">
        <v>1</v>
      </c>
      <c r="L3273" s="4">
        <v>4.1449100000000003</v>
      </c>
      <c r="M3273" s="4">
        <v>122.174605</v>
      </c>
      <c r="N3273" s="13">
        <v>6.76</v>
      </c>
      <c r="P3273"/>
      <c r="Q3273" s="12"/>
      <c r="R3273" s="12"/>
    </row>
    <row r="3274" spans="1:18" x14ac:dyDescent="0.2">
      <c r="A3274">
        <v>28</v>
      </c>
      <c r="B3274" t="s">
        <v>29</v>
      </c>
      <c r="C3274">
        <v>2018</v>
      </c>
      <c r="D3274">
        <v>1</v>
      </c>
      <c r="E3274" s="4">
        <v>0</v>
      </c>
      <c r="F3274" s="9">
        <v>0</v>
      </c>
      <c r="G3274" s="6">
        <v>2421</v>
      </c>
      <c r="H3274" s="9">
        <f t="shared" si="51"/>
        <v>0</v>
      </c>
      <c r="I3274" s="6">
        <v>13536</v>
      </c>
      <c r="J3274" s="6">
        <f>VLOOKUP(Table1[[#This Row],[Province]],[1]Sheet1!$A$3:$K$37,10,FALSE)</f>
        <v>2659200</v>
      </c>
      <c r="K3274">
        <v>0</v>
      </c>
      <c r="L3274" s="4">
        <v>4.1449100000000003</v>
      </c>
      <c r="M3274" s="4">
        <v>122.174605</v>
      </c>
      <c r="N3274" s="13">
        <v>6.4</v>
      </c>
      <c r="P3274"/>
      <c r="Q3274" s="12"/>
      <c r="R3274" s="12"/>
    </row>
    <row r="3275" spans="1:18" x14ac:dyDescent="0.2">
      <c r="A3275">
        <v>28</v>
      </c>
      <c r="B3275" t="s">
        <v>29</v>
      </c>
      <c r="C3275">
        <v>2018</v>
      </c>
      <c r="D3275">
        <v>2</v>
      </c>
      <c r="E3275" s="4">
        <v>0</v>
      </c>
      <c r="F3275" s="9">
        <v>0</v>
      </c>
      <c r="G3275" s="6">
        <v>1512</v>
      </c>
      <c r="H3275" s="9">
        <f t="shared" si="51"/>
        <v>0</v>
      </c>
      <c r="I3275" s="6">
        <v>13460</v>
      </c>
      <c r="J3275" s="6">
        <f>VLOOKUP(Table1[[#This Row],[Province]],[1]Sheet1!$A$3:$K$37,10,FALSE)</f>
        <v>2659200</v>
      </c>
      <c r="K3275">
        <v>0</v>
      </c>
      <c r="L3275" s="4">
        <v>4.1449100000000003</v>
      </c>
      <c r="M3275" s="4">
        <v>122.174605</v>
      </c>
      <c r="N3275" s="13">
        <v>6.4</v>
      </c>
      <c r="P3275"/>
      <c r="Q3275" s="12"/>
      <c r="R3275" s="12"/>
    </row>
    <row r="3276" spans="1:18" x14ac:dyDescent="0.2">
      <c r="A3276">
        <v>28</v>
      </c>
      <c r="B3276" t="s">
        <v>29</v>
      </c>
      <c r="C3276">
        <v>2018</v>
      </c>
      <c r="D3276">
        <v>3</v>
      </c>
      <c r="E3276" s="4">
        <v>0</v>
      </c>
      <c r="F3276" s="9">
        <v>0</v>
      </c>
      <c r="G3276" s="6">
        <v>1752</v>
      </c>
      <c r="H3276" s="9">
        <f t="shared" si="51"/>
        <v>0</v>
      </c>
      <c r="I3276" s="6">
        <v>13460</v>
      </c>
      <c r="J3276" s="6">
        <f>VLOOKUP(Table1[[#This Row],[Province]],[1]Sheet1!$A$3:$K$37,10,FALSE)</f>
        <v>2659200</v>
      </c>
      <c r="K3276">
        <v>0</v>
      </c>
      <c r="L3276" s="4">
        <v>4.1449100000000003</v>
      </c>
      <c r="M3276" s="4">
        <v>122.174605</v>
      </c>
      <c r="N3276" s="13">
        <v>6.4</v>
      </c>
      <c r="P3276"/>
      <c r="Q3276" s="12"/>
      <c r="R3276" s="12"/>
    </row>
    <row r="3277" spans="1:18" x14ac:dyDescent="0.2">
      <c r="A3277">
        <v>28</v>
      </c>
      <c r="B3277" t="s">
        <v>29</v>
      </c>
      <c r="C3277">
        <v>2018</v>
      </c>
      <c r="D3277">
        <v>4</v>
      </c>
      <c r="E3277" s="4">
        <v>0</v>
      </c>
      <c r="F3277" s="9">
        <v>0</v>
      </c>
      <c r="G3277" s="6">
        <v>1426</v>
      </c>
      <c r="H3277" s="9">
        <f t="shared" si="51"/>
        <v>0</v>
      </c>
      <c r="I3277" s="6">
        <v>13422</v>
      </c>
      <c r="J3277" s="6">
        <f>VLOOKUP(Table1[[#This Row],[Province]],[1]Sheet1!$A$3:$K$37,10,FALSE)</f>
        <v>2659200</v>
      </c>
      <c r="K3277">
        <v>0</v>
      </c>
      <c r="L3277" s="4">
        <v>4.1449100000000003</v>
      </c>
      <c r="M3277" s="4">
        <v>122.174605</v>
      </c>
      <c r="N3277" s="13">
        <v>6.4</v>
      </c>
      <c r="P3277"/>
      <c r="Q3277" s="12"/>
      <c r="R3277" s="12"/>
    </row>
    <row r="3278" spans="1:18" x14ac:dyDescent="0.2">
      <c r="A3278">
        <v>28</v>
      </c>
      <c r="B3278" t="s">
        <v>29</v>
      </c>
      <c r="C3278">
        <v>2018</v>
      </c>
      <c r="D3278">
        <v>5</v>
      </c>
      <c r="E3278" s="4">
        <v>0</v>
      </c>
      <c r="F3278" s="9">
        <v>0</v>
      </c>
      <c r="G3278" s="6">
        <v>2218</v>
      </c>
      <c r="H3278" s="9">
        <f t="shared" si="51"/>
        <v>0</v>
      </c>
      <c r="I3278" s="6">
        <v>15200</v>
      </c>
      <c r="J3278" s="6">
        <f>VLOOKUP(Table1[[#This Row],[Province]],[1]Sheet1!$A$3:$K$37,10,FALSE)</f>
        <v>2659200</v>
      </c>
      <c r="K3278">
        <v>1</v>
      </c>
      <c r="L3278" s="4">
        <v>4.1449100000000003</v>
      </c>
      <c r="M3278" s="4">
        <v>122.174605</v>
      </c>
      <c r="N3278" s="13">
        <v>6.4</v>
      </c>
      <c r="P3278"/>
      <c r="Q3278" s="12"/>
      <c r="R3278" s="12"/>
    </row>
    <row r="3279" spans="1:18" x14ac:dyDescent="0.2">
      <c r="A3279">
        <v>28</v>
      </c>
      <c r="B3279" t="s">
        <v>29</v>
      </c>
      <c r="C3279">
        <v>2018</v>
      </c>
      <c r="D3279">
        <v>6</v>
      </c>
      <c r="E3279" s="4">
        <v>0</v>
      </c>
      <c r="F3279" s="9">
        <v>0</v>
      </c>
      <c r="G3279" s="6">
        <v>1859</v>
      </c>
      <c r="H3279" s="9">
        <f t="shared" si="51"/>
        <v>0</v>
      </c>
      <c r="I3279" s="6">
        <v>12236</v>
      </c>
      <c r="J3279" s="6">
        <f>VLOOKUP(Table1[[#This Row],[Province]],[1]Sheet1!$A$3:$K$37,10,FALSE)</f>
        <v>2659200</v>
      </c>
      <c r="K3279">
        <v>0</v>
      </c>
      <c r="L3279" s="4">
        <v>4.1449100000000003</v>
      </c>
      <c r="M3279" s="4">
        <v>122.174605</v>
      </c>
      <c r="N3279" s="13">
        <v>6.4</v>
      </c>
      <c r="P3279"/>
      <c r="Q3279" s="12"/>
      <c r="R3279" s="12"/>
    </row>
    <row r="3280" spans="1:18" x14ac:dyDescent="0.2">
      <c r="A3280">
        <v>28</v>
      </c>
      <c r="B3280" t="s">
        <v>29</v>
      </c>
      <c r="C3280">
        <v>2018</v>
      </c>
      <c r="D3280">
        <v>7</v>
      </c>
      <c r="E3280" s="4">
        <v>0</v>
      </c>
      <c r="F3280" s="9">
        <v>0</v>
      </c>
      <c r="G3280" s="6">
        <v>1371</v>
      </c>
      <c r="H3280" s="9">
        <f t="shared" si="51"/>
        <v>0</v>
      </c>
      <c r="I3280" s="6">
        <v>12000</v>
      </c>
      <c r="J3280" s="6">
        <f>VLOOKUP(Table1[[#This Row],[Province]],[1]Sheet1!$A$3:$K$37,10,FALSE)</f>
        <v>2659200</v>
      </c>
      <c r="K3280">
        <v>0</v>
      </c>
      <c r="L3280" s="4">
        <v>4.1449100000000003</v>
      </c>
      <c r="M3280" s="4">
        <v>122.174605</v>
      </c>
      <c r="N3280" s="13">
        <v>6.4</v>
      </c>
      <c r="P3280"/>
      <c r="Q3280" s="12"/>
      <c r="R3280" s="12"/>
    </row>
    <row r="3281" spans="1:18" x14ac:dyDescent="0.2">
      <c r="A3281">
        <v>28</v>
      </c>
      <c r="B3281" t="s">
        <v>29</v>
      </c>
      <c r="C3281">
        <v>2018</v>
      </c>
      <c r="D3281">
        <v>8</v>
      </c>
      <c r="E3281" s="4">
        <v>0</v>
      </c>
      <c r="F3281" s="9">
        <v>0</v>
      </c>
      <c r="G3281" s="6">
        <v>1648</v>
      </c>
      <c r="H3281" s="9">
        <f t="shared" si="51"/>
        <v>0</v>
      </c>
      <c r="I3281" s="6">
        <v>12000</v>
      </c>
      <c r="J3281" s="6">
        <f>VLOOKUP(Table1[[#This Row],[Province]],[1]Sheet1!$A$3:$K$37,10,FALSE)</f>
        <v>2659200</v>
      </c>
      <c r="K3281">
        <v>0</v>
      </c>
      <c r="L3281" s="4">
        <v>4.1449100000000003</v>
      </c>
      <c r="M3281" s="4">
        <v>122.174605</v>
      </c>
      <c r="N3281" s="13">
        <v>6.4</v>
      </c>
      <c r="P3281"/>
      <c r="Q3281" s="12"/>
      <c r="R3281" s="12"/>
    </row>
    <row r="3282" spans="1:18" x14ac:dyDescent="0.2">
      <c r="A3282">
        <v>28</v>
      </c>
      <c r="B3282" t="s">
        <v>29</v>
      </c>
      <c r="C3282">
        <v>2018</v>
      </c>
      <c r="D3282">
        <v>9</v>
      </c>
      <c r="E3282" s="4">
        <v>0</v>
      </c>
      <c r="F3282" s="9">
        <v>0</v>
      </c>
      <c r="G3282" s="6">
        <v>1278</v>
      </c>
      <c r="H3282" s="9">
        <f t="shared" si="51"/>
        <v>0</v>
      </c>
      <c r="I3282" s="6">
        <v>12000</v>
      </c>
      <c r="J3282" s="6">
        <f>VLOOKUP(Table1[[#This Row],[Province]],[1]Sheet1!$A$3:$K$37,10,FALSE)</f>
        <v>2659200</v>
      </c>
      <c r="K3282">
        <v>0</v>
      </c>
      <c r="L3282" s="4">
        <v>4.1449100000000003</v>
      </c>
      <c r="M3282" s="4">
        <v>122.174605</v>
      </c>
      <c r="N3282" s="13">
        <v>6.4</v>
      </c>
      <c r="P3282"/>
      <c r="Q3282" s="12"/>
      <c r="R3282" s="12"/>
    </row>
    <row r="3283" spans="1:18" x14ac:dyDescent="0.2">
      <c r="A3283">
        <v>28</v>
      </c>
      <c r="B3283" t="s">
        <v>29</v>
      </c>
      <c r="C3283">
        <v>2018</v>
      </c>
      <c r="D3283">
        <v>10</v>
      </c>
      <c r="E3283" s="4">
        <v>0</v>
      </c>
      <c r="F3283" s="9">
        <v>0</v>
      </c>
      <c r="G3283" s="6">
        <v>244</v>
      </c>
      <c r="H3283" s="9">
        <f t="shared" si="51"/>
        <v>0</v>
      </c>
      <c r="I3283" s="6">
        <v>12778</v>
      </c>
      <c r="J3283" s="6">
        <f>VLOOKUP(Table1[[#This Row],[Province]],[1]Sheet1!$A$3:$K$37,10,FALSE)</f>
        <v>2659200</v>
      </c>
      <c r="K3283">
        <v>0</v>
      </c>
      <c r="L3283" s="4">
        <v>4.1449100000000003</v>
      </c>
      <c r="M3283" s="4">
        <v>122.174605</v>
      </c>
      <c r="N3283" s="13">
        <v>6.4</v>
      </c>
      <c r="P3283"/>
      <c r="Q3283" s="12"/>
      <c r="R3283" s="12"/>
    </row>
    <row r="3284" spans="1:18" x14ac:dyDescent="0.2">
      <c r="A3284">
        <v>28</v>
      </c>
      <c r="B3284" t="s">
        <v>29</v>
      </c>
      <c r="C3284">
        <v>2018</v>
      </c>
      <c r="D3284">
        <v>11</v>
      </c>
      <c r="E3284" s="4">
        <v>0</v>
      </c>
      <c r="F3284" s="9">
        <v>0</v>
      </c>
      <c r="G3284" s="6">
        <v>1549</v>
      </c>
      <c r="H3284" s="9">
        <f t="shared" si="51"/>
        <v>0</v>
      </c>
      <c r="I3284" s="6">
        <v>15857</v>
      </c>
      <c r="J3284" s="6">
        <f>VLOOKUP(Table1[[#This Row],[Province]],[1]Sheet1!$A$3:$K$37,10,FALSE)</f>
        <v>2659200</v>
      </c>
      <c r="K3284">
        <v>0</v>
      </c>
      <c r="L3284" s="4">
        <v>4.1449100000000003</v>
      </c>
      <c r="M3284" s="4">
        <v>122.174605</v>
      </c>
      <c r="N3284" s="13">
        <v>6.4</v>
      </c>
      <c r="P3284"/>
      <c r="Q3284" s="12"/>
      <c r="R3284" s="12"/>
    </row>
    <row r="3285" spans="1:18" x14ac:dyDescent="0.2">
      <c r="A3285">
        <v>28</v>
      </c>
      <c r="B3285" t="s">
        <v>29</v>
      </c>
      <c r="C3285">
        <v>2018</v>
      </c>
      <c r="D3285">
        <v>12</v>
      </c>
      <c r="E3285" s="4">
        <v>0</v>
      </c>
      <c r="F3285" s="9">
        <v>0</v>
      </c>
      <c r="G3285" s="6">
        <v>2170</v>
      </c>
      <c r="H3285" s="9">
        <f t="shared" si="51"/>
        <v>0</v>
      </c>
      <c r="I3285" s="6">
        <v>11465</v>
      </c>
      <c r="J3285" s="6">
        <f>VLOOKUP(Table1[[#This Row],[Province]],[1]Sheet1!$A$3:$K$37,10,FALSE)</f>
        <v>2659200</v>
      </c>
      <c r="K3285">
        <v>1</v>
      </c>
      <c r="L3285" s="4">
        <v>4.1449100000000003</v>
      </c>
      <c r="M3285" s="4">
        <v>122.174605</v>
      </c>
      <c r="N3285" s="13">
        <v>6.4</v>
      </c>
      <c r="P3285"/>
      <c r="Q3285" s="12"/>
      <c r="R3285" s="12"/>
    </row>
    <row r="3286" spans="1:18" x14ac:dyDescent="0.2">
      <c r="A3286">
        <v>28</v>
      </c>
      <c r="B3286" t="s">
        <v>29</v>
      </c>
      <c r="C3286">
        <v>2019</v>
      </c>
      <c r="D3286">
        <v>1</v>
      </c>
      <c r="E3286" s="4">
        <v>0</v>
      </c>
      <c r="F3286" s="9">
        <v>0</v>
      </c>
      <c r="G3286" s="6">
        <v>3204</v>
      </c>
      <c r="H3286" s="9">
        <f t="shared" si="51"/>
        <v>0</v>
      </c>
      <c r="I3286" s="6">
        <v>12000</v>
      </c>
      <c r="J3286" s="6">
        <f>VLOOKUP(Table1[[#This Row],[Province]],[1]Sheet1!$A$3:$K$37,10,FALSE)</f>
        <v>2659200</v>
      </c>
      <c r="K3286">
        <v>0</v>
      </c>
      <c r="L3286" s="4">
        <v>4.1449100000000003</v>
      </c>
      <c r="M3286" s="4">
        <v>122.174605</v>
      </c>
      <c r="N3286" s="13">
        <v>6.5</v>
      </c>
      <c r="P3286"/>
      <c r="Q3286" s="12"/>
      <c r="R3286" s="12"/>
    </row>
    <row r="3287" spans="1:18" x14ac:dyDescent="0.2">
      <c r="A3287">
        <v>28</v>
      </c>
      <c r="B3287" t="s">
        <v>29</v>
      </c>
      <c r="C3287">
        <v>2019</v>
      </c>
      <c r="D3287">
        <v>2</v>
      </c>
      <c r="E3287" s="4">
        <v>0</v>
      </c>
      <c r="F3287" s="9">
        <v>0</v>
      </c>
      <c r="G3287" s="6">
        <v>1951</v>
      </c>
      <c r="H3287" s="9">
        <f t="shared" si="51"/>
        <v>0</v>
      </c>
      <c r="I3287" s="6">
        <v>12048</v>
      </c>
      <c r="J3287" s="6">
        <f>VLOOKUP(Table1[[#This Row],[Province]],[1]Sheet1!$A$3:$K$37,10,FALSE)</f>
        <v>2659200</v>
      </c>
      <c r="K3287">
        <v>0</v>
      </c>
      <c r="L3287" s="4">
        <v>4.1449100000000003</v>
      </c>
      <c r="M3287" s="4">
        <v>122.174605</v>
      </c>
      <c r="N3287" s="13">
        <v>6.5</v>
      </c>
      <c r="P3287"/>
      <c r="Q3287" s="12"/>
      <c r="R3287" s="12"/>
    </row>
    <row r="3288" spans="1:18" x14ac:dyDescent="0.2">
      <c r="A3288">
        <v>28</v>
      </c>
      <c r="B3288" t="s">
        <v>29</v>
      </c>
      <c r="C3288">
        <v>2019</v>
      </c>
      <c r="D3288">
        <v>3</v>
      </c>
      <c r="E3288" s="4">
        <v>0</v>
      </c>
      <c r="F3288" s="9">
        <v>0</v>
      </c>
      <c r="G3288" s="6">
        <v>1950</v>
      </c>
      <c r="H3288" s="9">
        <f t="shared" si="51"/>
        <v>0</v>
      </c>
      <c r="I3288" s="6">
        <v>12510</v>
      </c>
      <c r="J3288" s="6">
        <f>VLOOKUP(Table1[[#This Row],[Province]],[1]Sheet1!$A$3:$K$37,10,FALSE)</f>
        <v>2659200</v>
      </c>
      <c r="K3288">
        <v>0</v>
      </c>
      <c r="L3288" s="4">
        <v>4.1449100000000003</v>
      </c>
      <c r="M3288" s="4">
        <v>122.174605</v>
      </c>
      <c r="N3288" s="13">
        <v>6.5</v>
      </c>
      <c r="P3288"/>
      <c r="Q3288" s="12"/>
      <c r="R3288" s="12"/>
    </row>
    <row r="3289" spans="1:18" x14ac:dyDescent="0.2">
      <c r="A3289">
        <v>28</v>
      </c>
      <c r="B3289" t="s">
        <v>29</v>
      </c>
      <c r="C3289">
        <v>2019</v>
      </c>
      <c r="D3289">
        <v>4</v>
      </c>
      <c r="E3289" s="4">
        <v>0</v>
      </c>
      <c r="F3289" s="9">
        <v>0</v>
      </c>
      <c r="G3289" s="6">
        <v>1485</v>
      </c>
      <c r="H3289" s="9">
        <f t="shared" si="51"/>
        <v>0</v>
      </c>
      <c r="I3289" s="6">
        <v>12564</v>
      </c>
      <c r="J3289" s="6">
        <f>VLOOKUP(Table1[[#This Row],[Province]],[1]Sheet1!$A$3:$K$37,10,FALSE)</f>
        <v>2659200</v>
      </c>
      <c r="K3289">
        <v>0</v>
      </c>
      <c r="L3289" s="4">
        <v>4.1449100000000003</v>
      </c>
      <c r="M3289" s="4">
        <v>122.174605</v>
      </c>
      <c r="N3289" s="13">
        <v>6.5</v>
      </c>
      <c r="P3289"/>
      <c r="Q3289" s="12"/>
      <c r="R3289" s="12"/>
    </row>
    <row r="3290" spans="1:18" x14ac:dyDescent="0.2">
      <c r="A3290">
        <v>28</v>
      </c>
      <c r="B3290" t="s">
        <v>29</v>
      </c>
      <c r="C3290">
        <v>2019</v>
      </c>
      <c r="D3290">
        <v>5</v>
      </c>
      <c r="E3290" s="4">
        <v>0</v>
      </c>
      <c r="F3290" s="9">
        <v>0</v>
      </c>
      <c r="G3290" s="6">
        <v>2345</v>
      </c>
      <c r="H3290" s="9">
        <f t="shared" si="51"/>
        <v>0</v>
      </c>
      <c r="I3290" s="6">
        <v>13226</v>
      </c>
      <c r="J3290" s="6">
        <f>VLOOKUP(Table1[[#This Row],[Province]],[1]Sheet1!$A$3:$K$37,10,FALSE)</f>
        <v>2659200</v>
      </c>
      <c r="K3290">
        <v>1</v>
      </c>
      <c r="L3290" s="4">
        <v>4.1449100000000003</v>
      </c>
      <c r="M3290" s="4">
        <v>122.174605</v>
      </c>
      <c r="N3290" s="13">
        <v>6.5</v>
      </c>
      <c r="P3290"/>
      <c r="Q3290" s="12"/>
      <c r="R3290" s="12"/>
    </row>
    <row r="3291" spans="1:18" x14ac:dyDescent="0.2">
      <c r="A3291">
        <v>28</v>
      </c>
      <c r="B3291" t="s">
        <v>29</v>
      </c>
      <c r="C3291">
        <v>2019</v>
      </c>
      <c r="D3291">
        <v>6</v>
      </c>
      <c r="E3291" s="4">
        <v>0</v>
      </c>
      <c r="F3291" s="9">
        <v>0</v>
      </c>
      <c r="G3291" s="6">
        <v>1327</v>
      </c>
      <c r="H3291" s="9">
        <f t="shared" si="51"/>
        <v>0</v>
      </c>
      <c r="I3291" s="6">
        <v>14000</v>
      </c>
      <c r="J3291" s="6">
        <f>VLOOKUP(Table1[[#This Row],[Province]],[1]Sheet1!$A$3:$K$37,10,FALSE)</f>
        <v>2659200</v>
      </c>
      <c r="K3291">
        <v>0</v>
      </c>
      <c r="L3291" s="4">
        <v>4.1449100000000003</v>
      </c>
      <c r="M3291" s="4">
        <v>122.174605</v>
      </c>
      <c r="N3291" s="13">
        <v>6.5</v>
      </c>
      <c r="P3291"/>
      <c r="Q3291" s="12"/>
      <c r="R3291" s="12"/>
    </row>
    <row r="3292" spans="1:18" x14ac:dyDescent="0.2">
      <c r="A3292">
        <v>28</v>
      </c>
      <c r="B3292" t="s">
        <v>29</v>
      </c>
      <c r="C3292">
        <v>2019</v>
      </c>
      <c r="D3292">
        <v>7</v>
      </c>
      <c r="E3292" s="4">
        <v>0</v>
      </c>
      <c r="F3292" s="9">
        <v>0</v>
      </c>
      <c r="G3292" s="6">
        <v>1622</v>
      </c>
      <c r="H3292" s="9">
        <f t="shared" si="51"/>
        <v>0</v>
      </c>
      <c r="I3292" s="6">
        <v>13041</v>
      </c>
      <c r="J3292" s="6">
        <f>VLOOKUP(Table1[[#This Row],[Province]],[1]Sheet1!$A$3:$K$37,10,FALSE)</f>
        <v>2659200</v>
      </c>
      <c r="K3292">
        <v>0</v>
      </c>
      <c r="L3292" s="4">
        <v>4.1449100000000003</v>
      </c>
      <c r="M3292" s="4">
        <v>122.174605</v>
      </c>
      <c r="N3292" s="13">
        <v>6.5</v>
      </c>
      <c r="P3292"/>
      <c r="Q3292" s="12"/>
      <c r="R3292" s="12"/>
    </row>
    <row r="3293" spans="1:18" x14ac:dyDescent="0.2">
      <c r="A3293">
        <v>28</v>
      </c>
      <c r="B3293" t="s">
        <v>29</v>
      </c>
      <c r="C3293">
        <v>2019</v>
      </c>
      <c r="D3293">
        <v>8</v>
      </c>
      <c r="E3293" s="4">
        <v>0</v>
      </c>
      <c r="F3293" s="9">
        <v>0</v>
      </c>
      <c r="G3293" s="6">
        <v>2651</v>
      </c>
      <c r="H3293" s="9">
        <f t="shared" si="51"/>
        <v>0</v>
      </c>
      <c r="I3293" s="6">
        <v>12768</v>
      </c>
      <c r="J3293" s="6">
        <f>VLOOKUP(Table1[[#This Row],[Province]],[1]Sheet1!$A$3:$K$37,10,FALSE)</f>
        <v>2659200</v>
      </c>
      <c r="K3293">
        <v>0</v>
      </c>
      <c r="L3293" s="4">
        <v>4.1449100000000003</v>
      </c>
      <c r="M3293" s="4">
        <v>122.174605</v>
      </c>
      <c r="N3293" s="13">
        <v>6.5</v>
      </c>
      <c r="P3293"/>
      <c r="Q3293" s="12"/>
      <c r="R3293" s="12"/>
    </row>
    <row r="3294" spans="1:18" x14ac:dyDescent="0.2">
      <c r="A3294">
        <v>28</v>
      </c>
      <c r="B3294" t="s">
        <v>29</v>
      </c>
      <c r="C3294">
        <v>2019</v>
      </c>
      <c r="D3294">
        <v>9</v>
      </c>
      <c r="E3294" s="4">
        <v>0</v>
      </c>
      <c r="F3294" s="9">
        <v>0</v>
      </c>
      <c r="G3294" s="6">
        <v>1482</v>
      </c>
      <c r="H3294" s="9">
        <f t="shared" si="51"/>
        <v>0</v>
      </c>
      <c r="I3294" s="6">
        <v>12595</v>
      </c>
      <c r="J3294" s="6">
        <f>VLOOKUP(Table1[[#This Row],[Province]],[1]Sheet1!$A$3:$K$37,10,FALSE)</f>
        <v>2659200</v>
      </c>
      <c r="K3294">
        <v>0</v>
      </c>
      <c r="L3294" s="4">
        <v>4.1449100000000003</v>
      </c>
      <c r="M3294" s="4">
        <v>122.174605</v>
      </c>
      <c r="N3294" s="13">
        <v>6.5</v>
      </c>
      <c r="P3294"/>
      <c r="Q3294" s="12"/>
      <c r="R3294" s="12"/>
    </row>
    <row r="3295" spans="1:18" x14ac:dyDescent="0.2">
      <c r="A3295">
        <v>28</v>
      </c>
      <c r="B3295" t="s">
        <v>29</v>
      </c>
      <c r="C3295">
        <v>2019</v>
      </c>
      <c r="D3295">
        <v>10</v>
      </c>
      <c r="E3295" s="4">
        <v>0</v>
      </c>
      <c r="F3295" s="9">
        <v>0</v>
      </c>
      <c r="G3295" s="6">
        <v>1855</v>
      </c>
      <c r="H3295" s="9">
        <f t="shared" si="51"/>
        <v>0</v>
      </c>
      <c r="I3295" s="6">
        <v>12638</v>
      </c>
      <c r="J3295" s="6">
        <f>VLOOKUP(Table1[[#This Row],[Province]],[1]Sheet1!$A$3:$K$37,10,FALSE)</f>
        <v>2659200</v>
      </c>
      <c r="K3295">
        <v>0</v>
      </c>
      <c r="L3295" s="4">
        <v>4.1449100000000003</v>
      </c>
      <c r="M3295" s="4">
        <v>122.174605</v>
      </c>
      <c r="N3295" s="13">
        <v>6.5</v>
      </c>
      <c r="P3295"/>
      <c r="Q3295" s="12"/>
      <c r="R3295" s="12"/>
    </row>
    <row r="3296" spans="1:18" x14ac:dyDescent="0.2">
      <c r="A3296">
        <v>28</v>
      </c>
      <c r="B3296" t="s">
        <v>29</v>
      </c>
      <c r="C3296">
        <v>2019</v>
      </c>
      <c r="D3296">
        <v>11</v>
      </c>
      <c r="E3296" s="4">
        <v>0</v>
      </c>
      <c r="F3296" s="9">
        <v>0</v>
      </c>
      <c r="G3296" s="6">
        <v>2437</v>
      </c>
      <c r="H3296" s="9">
        <f t="shared" si="51"/>
        <v>0</v>
      </c>
      <c r="I3296" s="6">
        <v>13142</v>
      </c>
      <c r="J3296" s="6">
        <f>VLOOKUP(Table1[[#This Row],[Province]],[1]Sheet1!$A$3:$K$37,10,FALSE)</f>
        <v>2659200</v>
      </c>
      <c r="K3296">
        <v>0</v>
      </c>
      <c r="L3296" s="4">
        <v>4.1449100000000003</v>
      </c>
      <c r="M3296" s="4">
        <v>122.174605</v>
      </c>
      <c r="N3296" s="13">
        <v>6.5</v>
      </c>
      <c r="P3296"/>
      <c r="Q3296" s="12"/>
      <c r="R3296" s="12"/>
    </row>
    <row r="3297" spans="1:18" x14ac:dyDescent="0.2">
      <c r="A3297">
        <v>28</v>
      </c>
      <c r="B3297" t="s">
        <v>29</v>
      </c>
      <c r="C3297">
        <v>2019</v>
      </c>
      <c r="D3297">
        <v>12</v>
      </c>
      <c r="E3297" s="4">
        <v>0</v>
      </c>
      <c r="F3297" s="9">
        <v>0</v>
      </c>
      <c r="G3297" s="6">
        <v>1593</v>
      </c>
      <c r="H3297" s="9">
        <f t="shared" si="51"/>
        <v>0</v>
      </c>
      <c r="I3297" s="6">
        <v>13482</v>
      </c>
      <c r="J3297" s="6">
        <f>VLOOKUP(Table1[[#This Row],[Province]],[1]Sheet1!$A$3:$K$37,10,FALSE)</f>
        <v>2659200</v>
      </c>
      <c r="K3297">
        <v>1</v>
      </c>
      <c r="L3297" s="4">
        <v>4.1449100000000003</v>
      </c>
      <c r="M3297" s="4">
        <v>122.174605</v>
      </c>
      <c r="N3297" s="13">
        <v>6.5</v>
      </c>
      <c r="P3297"/>
      <c r="Q3297" s="12"/>
      <c r="R3297" s="12"/>
    </row>
    <row r="3298" spans="1:18" x14ac:dyDescent="0.2">
      <c r="A3298">
        <v>28</v>
      </c>
      <c r="B3298" t="s">
        <v>29</v>
      </c>
      <c r="C3298">
        <v>2020</v>
      </c>
      <c r="D3298">
        <v>1</v>
      </c>
      <c r="E3298" s="4">
        <v>0</v>
      </c>
      <c r="F3298" s="9">
        <v>0</v>
      </c>
      <c r="G3298" s="6">
        <v>3881</v>
      </c>
      <c r="H3298" s="9">
        <f t="shared" si="51"/>
        <v>0</v>
      </c>
      <c r="I3298" s="6">
        <v>14704</v>
      </c>
      <c r="J3298" s="6">
        <f>VLOOKUP(Table1[[#This Row],[Province]],[1]Sheet1!$A$3:$K$37,10,FALSE)</f>
        <v>2659200</v>
      </c>
      <c r="K3298">
        <v>0</v>
      </c>
      <c r="L3298" s="4">
        <v>4.1449100000000003</v>
      </c>
      <c r="M3298" s="4">
        <v>122.174605</v>
      </c>
      <c r="N3298" s="13">
        <v>-0.65</v>
      </c>
      <c r="P3298"/>
      <c r="Q3298" s="12"/>
      <c r="R3298" s="12"/>
    </row>
    <row r="3299" spans="1:18" x14ac:dyDescent="0.2">
      <c r="A3299">
        <v>28</v>
      </c>
      <c r="B3299" t="s">
        <v>29</v>
      </c>
      <c r="C3299">
        <v>2020</v>
      </c>
      <c r="D3299">
        <v>2</v>
      </c>
      <c r="E3299" s="4">
        <v>0</v>
      </c>
      <c r="F3299" s="9">
        <v>0</v>
      </c>
      <c r="G3299" s="6">
        <v>1491</v>
      </c>
      <c r="H3299" s="9">
        <f t="shared" si="51"/>
        <v>0</v>
      </c>
      <c r="I3299" s="6">
        <v>15678</v>
      </c>
      <c r="J3299" s="6">
        <f>VLOOKUP(Table1[[#This Row],[Province]],[1]Sheet1!$A$3:$K$37,10,FALSE)</f>
        <v>2659200</v>
      </c>
      <c r="K3299">
        <v>0</v>
      </c>
      <c r="L3299" s="4">
        <v>4.1449100000000003</v>
      </c>
      <c r="M3299" s="4">
        <v>122.174605</v>
      </c>
      <c r="N3299" s="13">
        <v>-0.65</v>
      </c>
      <c r="P3299"/>
      <c r="Q3299" s="12"/>
      <c r="R3299" s="12"/>
    </row>
    <row r="3300" spans="1:18" x14ac:dyDescent="0.2">
      <c r="A3300">
        <v>28</v>
      </c>
      <c r="B3300" t="s">
        <v>29</v>
      </c>
      <c r="C3300">
        <v>2020</v>
      </c>
      <c r="D3300">
        <v>3</v>
      </c>
      <c r="E3300" s="4">
        <v>0</v>
      </c>
      <c r="F3300" s="9">
        <v>0</v>
      </c>
      <c r="G3300" s="6">
        <v>3218</v>
      </c>
      <c r="H3300" s="9">
        <f t="shared" si="51"/>
        <v>0</v>
      </c>
      <c r="I3300" s="6">
        <v>18649</v>
      </c>
      <c r="J3300" s="6">
        <f>VLOOKUP(Table1[[#This Row],[Province]],[1]Sheet1!$A$3:$K$37,10,FALSE)</f>
        <v>2659200</v>
      </c>
      <c r="K3300">
        <v>0</v>
      </c>
      <c r="L3300" s="4">
        <v>4.1449100000000003</v>
      </c>
      <c r="M3300" s="4">
        <v>122.174605</v>
      </c>
      <c r="N3300" s="13">
        <v>-0.65</v>
      </c>
      <c r="P3300"/>
      <c r="Q3300" s="12"/>
      <c r="R3300" s="12"/>
    </row>
    <row r="3301" spans="1:18" x14ac:dyDescent="0.2">
      <c r="A3301">
        <v>28</v>
      </c>
      <c r="B3301" t="s">
        <v>29</v>
      </c>
      <c r="C3301">
        <v>2020</v>
      </c>
      <c r="D3301">
        <v>4</v>
      </c>
      <c r="E3301" s="4">
        <v>0</v>
      </c>
      <c r="F3301" s="9">
        <v>0</v>
      </c>
      <c r="G3301" s="6">
        <v>1539</v>
      </c>
      <c r="H3301" s="9">
        <f t="shared" si="51"/>
        <v>0</v>
      </c>
      <c r="I3301" s="6">
        <v>18747</v>
      </c>
      <c r="J3301" s="6">
        <f>VLOOKUP(Table1[[#This Row],[Province]],[1]Sheet1!$A$3:$K$37,10,FALSE)</f>
        <v>2659200</v>
      </c>
      <c r="K3301">
        <v>1</v>
      </c>
      <c r="L3301" s="4">
        <v>4.1449100000000003</v>
      </c>
      <c r="M3301" s="4">
        <v>122.174605</v>
      </c>
      <c r="N3301" s="13">
        <v>-0.65</v>
      </c>
      <c r="P3301"/>
      <c r="Q3301" s="12"/>
      <c r="R3301" s="12"/>
    </row>
    <row r="3302" spans="1:18" x14ac:dyDescent="0.2">
      <c r="A3302">
        <v>28</v>
      </c>
      <c r="B3302" t="s">
        <v>29</v>
      </c>
      <c r="C3302">
        <v>2020</v>
      </c>
      <c r="D3302">
        <v>5</v>
      </c>
      <c r="E3302" s="4">
        <v>0</v>
      </c>
      <c r="F3302" s="9">
        <v>0</v>
      </c>
      <c r="G3302" s="6">
        <v>2915</v>
      </c>
      <c r="H3302" s="9">
        <f t="shared" si="51"/>
        <v>0</v>
      </c>
      <c r="I3302" s="6">
        <v>16360</v>
      </c>
      <c r="J3302" s="6">
        <f>VLOOKUP(Table1[[#This Row],[Province]],[1]Sheet1!$A$3:$K$37,10,FALSE)</f>
        <v>2659200</v>
      </c>
      <c r="K3302">
        <v>0</v>
      </c>
      <c r="L3302" s="4">
        <v>4.1449100000000003</v>
      </c>
      <c r="M3302" s="4">
        <v>122.174605</v>
      </c>
      <c r="N3302" s="13">
        <v>-0.65</v>
      </c>
      <c r="P3302"/>
      <c r="Q3302" s="12"/>
      <c r="R3302" s="12"/>
    </row>
    <row r="3303" spans="1:18" x14ac:dyDescent="0.2">
      <c r="A3303">
        <v>28</v>
      </c>
      <c r="B3303" t="s">
        <v>29</v>
      </c>
      <c r="C3303">
        <v>2020</v>
      </c>
      <c r="D3303">
        <v>6</v>
      </c>
      <c r="E3303" s="4">
        <v>0</v>
      </c>
      <c r="F3303" s="9">
        <v>0</v>
      </c>
      <c r="G3303" s="6">
        <v>2104</v>
      </c>
      <c r="H3303" s="9">
        <f t="shared" si="51"/>
        <v>0</v>
      </c>
      <c r="I3303" s="6">
        <v>15262</v>
      </c>
      <c r="J3303" s="6">
        <f>VLOOKUP(Table1[[#This Row],[Province]],[1]Sheet1!$A$3:$K$37,10,FALSE)</f>
        <v>2659200</v>
      </c>
      <c r="K3303">
        <v>0</v>
      </c>
      <c r="L3303" s="4">
        <v>4.1449100000000003</v>
      </c>
      <c r="M3303" s="4">
        <v>122.174605</v>
      </c>
      <c r="N3303" s="13">
        <v>-0.65</v>
      </c>
      <c r="P3303"/>
      <c r="Q3303" s="12"/>
      <c r="R3303" s="12"/>
    </row>
    <row r="3304" spans="1:18" x14ac:dyDescent="0.2">
      <c r="A3304">
        <v>28</v>
      </c>
      <c r="B3304" t="s">
        <v>29</v>
      </c>
      <c r="C3304">
        <v>2020</v>
      </c>
      <c r="D3304">
        <v>7</v>
      </c>
      <c r="E3304" s="4">
        <v>0</v>
      </c>
      <c r="F3304" s="9">
        <v>0</v>
      </c>
      <c r="G3304" s="6">
        <v>1245</v>
      </c>
      <c r="H3304" s="9">
        <f t="shared" si="51"/>
        <v>0</v>
      </c>
      <c r="I3304" s="6">
        <v>13963</v>
      </c>
      <c r="J3304" s="6">
        <f>VLOOKUP(Table1[[#This Row],[Province]],[1]Sheet1!$A$3:$K$37,10,FALSE)</f>
        <v>2659200</v>
      </c>
      <c r="K3304">
        <v>0</v>
      </c>
      <c r="L3304" s="4">
        <v>4.1449100000000003</v>
      </c>
      <c r="M3304" s="4">
        <v>122.174605</v>
      </c>
      <c r="N3304" s="13">
        <v>-0.65</v>
      </c>
      <c r="P3304"/>
      <c r="Q3304" s="12"/>
      <c r="R3304" s="12"/>
    </row>
    <row r="3305" spans="1:18" x14ac:dyDescent="0.2">
      <c r="A3305">
        <v>28</v>
      </c>
      <c r="B3305" t="s">
        <v>29</v>
      </c>
      <c r="C3305">
        <v>2020</v>
      </c>
      <c r="D3305">
        <v>8</v>
      </c>
      <c r="E3305" s="4">
        <v>0</v>
      </c>
      <c r="F3305" s="9">
        <v>0</v>
      </c>
      <c r="G3305" s="6">
        <v>1086</v>
      </c>
      <c r="H3305" s="9">
        <f t="shared" si="51"/>
        <v>0</v>
      </c>
      <c r="I3305" s="6">
        <v>13286</v>
      </c>
      <c r="J3305" s="6">
        <f>VLOOKUP(Table1[[#This Row],[Province]],[1]Sheet1!$A$3:$K$37,10,FALSE)</f>
        <v>2659200</v>
      </c>
      <c r="K3305">
        <v>0</v>
      </c>
      <c r="L3305" s="4">
        <v>4.1449100000000003</v>
      </c>
      <c r="M3305" s="4">
        <v>122.174605</v>
      </c>
      <c r="N3305" s="13">
        <v>-0.65</v>
      </c>
      <c r="P3305"/>
      <c r="Q3305" s="12"/>
      <c r="R3305" s="12"/>
    </row>
    <row r="3306" spans="1:18" x14ac:dyDescent="0.2">
      <c r="A3306">
        <v>28</v>
      </c>
      <c r="B3306" t="s">
        <v>29</v>
      </c>
      <c r="C3306">
        <v>2020</v>
      </c>
      <c r="D3306">
        <v>9</v>
      </c>
      <c r="E3306" s="4">
        <v>0</v>
      </c>
      <c r="F3306" s="9">
        <v>0</v>
      </c>
      <c r="G3306" s="6">
        <v>688</v>
      </c>
      <c r="H3306" s="9">
        <f t="shared" si="51"/>
        <v>0</v>
      </c>
      <c r="I3306" s="6">
        <v>13005</v>
      </c>
      <c r="J3306" s="6">
        <f>VLOOKUP(Table1[[#This Row],[Province]],[1]Sheet1!$A$3:$K$37,10,FALSE)</f>
        <v>2659200</v>
      </c>
      <c r="K3306">
        <v>0</v>
      </c>
      <c r="L3306" s="4">
        <v>4.1449100000000003</v>
      </c>
      <c r="M3306" s="4">
        <v>122.174605</v>
      </c>
      <c r="N3306" s="13">
        <v>-0.65</v>
      </c>
      <c r="P3306"/>
      <c r="Q3306" s="12"/>
      <c r="R3306" s="12"/>
    </row>
    <row r="3307" spans="1:18" x14ac:dyDescent="0.2">
      <c r="A3307">
        <v>28</v>
      </c>
      <c r="B3307" t="s">
        <v>29</v>
      </c>
      <c r="C3307">
        <v>2020</v>
      </c>
      <c r="D3307">
        <v>10</v>
      </c>
      <c r="E3307" s="4">
        <v>0</v>
      </c>
      <c r="F3307" s="9">
        <v>0</v>
      </c>
      <c r="G3307" s="6">
        <v>213</v>
      </c>
      <c r="H3307" s="9">
        <f t="shared" si="51"/>
        <v>0</v>
      </c>
      <c r="I3307" s="6">
        <v>13000</v>
      </c>
      <c r="J3307" s="6">
        <f>VLOOKUP(Table1[[#This Row],[Province]],[1]Sheet1!$A$3:$K$37,10,FALSE)</f>
        <v>2659200</v>
      </c>
      <c r="K3307">
        <v>0</v>
      </c>
      <c r="L3307" s="4">
        <v>4.1449100000000003</v>
      </c>
      <c r="M3307" s="4">
        <v>122.174605</v>
      </c>
      <c r="N3307" s="13">
        <v>-0.65</v>
      </c>
      <c r="P3307"/>
      <c r="Q3307" s="12"/>
      <c r="R3307" s="12"/>
    </row>
    <row r="3308" spans="1:18" x14ac:dyDescent="0.2">
      <c r="A3308">
        <v>28</v>
      </c>
      <c r="B3308" t="s">
        <v>29</v>
      </c>
      <c r="C3308">
        <v>2020</v>
      </c>
      <c r="D3308">
        <v>11</v>
      </c>
      <c r="E3308" s="4">
        <v>0</v>
      </c>
      <c r="F3308" s="9">
        <v>0</v>
      </c>
      <c r="G3308" s="6">
        <v>1435</v>
      </c>
      <c r="H3308" s="9">
        <f t="shared" si="51"/>
        <v>0</v>
      </c>
      <c r="I3308" s="6">
        <v>13339</v>
      </c>
      <c r="J3308" s="6">
        <f>VLOOKUP(Table1[[#This Row],[Province]],[1]Sheet1!$A$3:$K$37,10,FALSE)</f>
        <v>2659200</v>
      </c>
      <c r="K3308">
        <v>0</v>
      </c>
      <c r="L3308" s="4">
        <v>4.1449100000000003</v>
      </c>
      <c r="M3308" s="4">
        <v>122.174605</v>
      </c>
      <c r="N3308" s="13">
        <v>-0.65</v>
      </c>
      <c r="P3308"/>
      <c r="Q3308" s="12"/>
      <c r="R3308" s="12"/>
    </row>
    <row r="3309" spans="1:18" x14ac:dyDescent="0.2">
      <c r="A3309">
        <v>28</v>
      </c>
      <c r="B3309" t="s">
        <v>29</v>
      </c>
      <c r="C3309">
        <v>2020</v>
      </c>
      <c r="D3309">
        <v>12</v>
      </c>
      <c r="E3309" s="4">
        <v>0</v>
      </c>
      <c r="F3309" s="9">
        <v>0</v>
      </c>
      <c r="G3309" s="6">
        <v>318</v>
      </c>
      <c r="H3309" s="9">
        <f t="shared" si="51"/>
        <v>0</v>
      </c>
      <c r="I3309" s="6">
        <v>13500</v>
      </c>
      <c r="J3309" s="6">
        <f>VLOOKUP(Table1[[#This Row],[Province]],[1]Sheet1!$A$3:$K$37,10,FALSE)</f>
        <v>2659200</v>
      </c>
      <c r="K3309">
        <v>1</v>
      </c>
      <c r="L3309" s="4">
        <v>4.1449100000000003</v>
      </c>
      <c r="M3309" s="4">
        <v>122.174605</v>
      </c>
      <c r="N3309" s="13">
        <v>-0.65</v>
      </c>
      <c r="P3309"/>
      <c r="Q3309" s="12"/>
      <c r="R3309" s="12"/>
    </row>
    <row r="3310" spans="1:18" x14ac:dyDescent="0.2">
      <c r="A3310">
        <v>28</v>
      </c>
      <c r="B3310" t="s">
        <v>29</v>
      </c>
      <c r="C3310">
        <v>2021</v>
      </c>
      <c r="D3310">
        <v>1</v>
      </c>
      <c r="E3310" s="4">
        <v>0</v>
      </c>
      <c r="F3310" s="9">
        <v>0</v>
      </c>
      <c r="G3310" s="6">
        <v>641</v>
      </c>
      <c r="H3310" s="9">
        <f t="shared" si="51"/>
        <v>0</v>
      </c>
      <c r="I3310" s="6">
        <v>13500</v>
      </c>
      <c r="J3310" s="6">
        <f>VLOOKUP(Table1[[#This Row],[Province]],[1]Sheet1!$A$3:$K$37,10,FALSE)</f>
        <v>2659200</v>
      </c>
      <c r="K3310">
        <v>0</v>
      </c>
      <c r="L3310" s="4">
        <v>4.1449100000000003</v>
      </c>
      <c r="M3310" s="4">
        <v>122.174605</v>
      </c>
      <c r="N3310" s="13">
        <v>4.0999999999999996</v>
      </c>
      <c r="P3310"/>
      <c r="Q3310" s="12"/>
      <c r="R3310" s="12"/>
    </row>
    <row r="3311" spans="1:18" x14ac:dyDescent="0.2">
      <c r="A3311">
        <v>28</v>
      </c>
      <c r="B3311" t="s">
        <v>29</v>
      </c>
      <c r="C3311">
        <v>2021</v>
      </c>
      <c r="D3311">
        <v>2</v>
      </c>
      <c r="E3311" s="4">
        <v>0</v>
      </c>
      <c r="F3311" s="9">
        <v>0</v>
      </c>
      <c r="G3311" s="6">
        <v>1983</v>
      </c>
      <c r="H3311" s="9">
        <f t="shared" si="51"/>
        <v>0</v>
      </c>
      <c r="I3311" s="6">
        <v>13030</v>
      </c>
      <c r="J3311" s="6">
        <f>VLOOKUP(Table1[[#This Row],[Province]],[1]Sheet1!$A$3:$K$37,10,FALSE)</f>
        <v>2659200</v>
      </c>
      <c r="K3311">
        <v>0</v>
      </c>
      <c r="L3311" s="4">
        <v>4.1449100000000003</v>
      </c>
      <c r="M3311" s="4">
        <v>122.174605</v>
      </c>
      <c r="N3311" s="13">
        <v>4.0999999999999996</v>
      </c>
      <c r="P3311"/>
      <c r="Q3311" s="12"/>
      <c r="R3311" s="12"/>
    </row>
    <row r="3312" spans="1:18" x14ac:dyDescent="0.2">
      <c r="A3312">
        <v>28</v>
      </c>
      <c r="B3312" t="s">
        <v>29</v>
      </c>
      <c r="C3312">
        <v>2021</v>
      </c>
      <c r="D3312">
        <v>3</v>
      </c>
      <c r="E3312" s="4">
        <v>0</v>
      </c>
      <c r="F3312" s="9">
        <v>0</v>
      </c>
      <c r="G3312" s="6">
        <v>1041</v>
      </c>
      <c r="H3312" s="9">
        <f t="shared" si="51"/>
        <v>0</v>
      </c>
      <c r="I3312" s="6">
        <v>13000</v>
      </c>
      <c r="J3312" s="6">
        <f>VLOOKUP(Table1[[#This Row],[Province]],[1]Sheet1!$A$3:$K$37,10,FALSE)</f>
        <v>2659200</v>
      </c>
      <c r="K3312">
        <v>0</v>
      </c>
      <c r="L3312" s="4">
        <v>4.1449100000000003</v>
      </c>
      <c r="M3312" s="4">
        <v>122.174605</v>
      </c>
      <c r="N3312" s="13">
        <v>4.0999999999999996</v>
      </c>
      <c r="P3312"/>
      <c r="Q3312" s="12"/>
      <c r="R3312" s="12"/>
    </row>
    <row r="3313" spans="1:18" x14ac:dyDescent="0.2">
      <c r="A3313">
        <v>28</v>
      </c>
      <c r="B3313" t="s">
        <v>29</v>
      </c>
      <c r="C3313">
        <v>2021</v>
      </c>
      <c r="D3313">
        <v>4</v>
      </c>
      <c r="E3313" s="4">
        <v>0</v>
      </c>
      <c r="F3313" s="9">
        <v>0</v>
      </c>
      <c r="G3313" s="6">
        <v>3459</v>
      </c>
      <c r="H3313" s="9">
        <f t="shared" si="51"/>
        <v>0</v>
      </c>
      <c r="I3313" s="6">
        <v>14250</v>
      </c>
      <c r="J3313" s="6">
        <f>VLOOKUP(Table1[[#This Row],[Province]],[1]Sheet1!$A$3:$K$37,10,FALSE)</f>
        <v>2659200</v>
      </c>
      <c r="K3313">
        <v>1</v>
      </c>
      <c r="L3313" s="4">
        <v>4.1449100000000003</v>
      </c>
      <c r="M3313" s="4">
        <v>122.174605</v>
      </c>
      <c r="N3313" s="13">
        <v>4.0999999999999996</v>
      </c>
      <c r="P3313"/>
      <c r="Q3313" s="12"/>
      <c r="R3313" s="12"/>
    </row>
    <row r="3314" spans="1:18" x14ac:dyDescent="0.2">
      <c r="A3314">
        <v>28</v>
      </c>
      <c r="B3314" t="s">
        <v>29</v>
      </c>
      <c r="C3314">
        <v>2021</v>
      </c>
      <c r="D3314">
        <v>5</v>
      </c>
      <c r="E3314" s="4">
        <v>0</v>
      </c>
      <c r="F3314" s="9">
        <v>0</v>
      </c>
      <c r="G3314" s="6">
        <v>1924</v>
      </c>
      <c r="H3314" s="9">
        <f t="shared" si="51"/>
        <v>0</v>
      </c>
      <c r="I3314" s="6">
        <v>14020</v>
      </c>
      <c r="J3314" s="6">
        <f>VLOOKUP(Table1[[#This Row],[Province]],[1]Sheet1!$A$3:$K$37,10,FALSE)</f>
        <v>2659200</v>
      </c>
      <c r="K3314">
        <v>0</v>
      </c>
      <c r="L3314" s="4">
        <v>4.1449100000000003</v>
      </c>
      <c r="M3314" s="4">
        <v>122.174605</v>
      </c>
      <c r="N3314" s="13">
        <v>4.0999999999999996</v>
      </c>
      <c r="P3314"/>
      <c r="Q3314" s="12"/>
      <c r="R3314" s="12"/>
    </row>
    <row r="3315" spans="1:18" x14ac:dyDescent="0.2">
      <c r="A3315">
        <v>28</v>
      </c>
      <c r="B3315" t="s">
        <v>29</v>
      </c>
      <c r="C3315">
        <v>2021</v>
      </c>
      <c r="D3315">
        <v>6</v>
      </c>
      <c r="E3315" s="4">
        <v>0</v>
      </c>
      <c r="F3315" s="9">
        <v>0</v>
      </c>
      <c r="G3315" s="6">
        <v>2663</v>
      </c>
      <c r="H3315" s="9">
        <f t="shared" si="51"/>
        <v>0</v>
      </c>
      <c r="I3315" s="6">
        <v>13850</v>
      </c>
      <c r="J3315" s="6">
        <f>VLOOKUP(Table1[[#This Row],[Province]],[1]Sheet1!$A$3:$K$37,10,FALSE)</f>
        <v>2659200</v>
      </c>
      <c r="K3315">
        <v>0</v>
      </c>
      <c r="L3315" s="4">
        <v>4.1449100000000003</v>
      </c>
      <c r="M3315" s="4">
        <v>122.174605</v>
      </c>
      <c r="N3315" s="13">
        <v>4.0999999999999996</v>
      </c>
      <c r="P3315"/>
      <c r="Q3315" s="12"/>
      <c r="R3315" s="12"/>
    </row>
    <row r="3316" spans="1:18" x14ac:dyDescent="0.2">
      <c r="A3316">
        <v>28</v>
      </c>
      <c r="B3316" t="s">
        <v>29</v>
      </c>
      <c r="C3316">
        <v>2021</v>
      </c>
      <c r="D3316">
        <v>7</v>
      </c>
      <c r="E3316" s="4">
        <v>0</v>
      </c>
      <c r="F3316" s="9">
        <v>0</v>
      </c>
      <c r="G3316" s="6">
        <v>3458</v>
      </c>
      <c r="H3316" s="9">
        <f t="shared" si="51"/>
        <v>0</v>
      </c>
      <c r="I3316" s="6">
        <v>14000</v>
      </c>
      <c r="J3316" s="6">
        <f>VLOOKUP(Table1[[#This Row],[Province]],[1]Sheet1!$A$3:$K$37,10,FALSE)</f>
        <v>2659200</v>
      </c>
      <c r="K3316">
        <v>0</v>
      </c>
      <c r="L3316" s="4">
        <v>4.1449100000000003</v>
      </c>
      <c r="M3316" s="4">
        <v>122.174605</v>
      </c>
      <c r="N3316" s="13">
        <v>4.0999999999999996</v>
      </c>
      <c r="P3316"/>
      <c r="Q3316" s="12"/>
      <c r="R3316" s="12"/>
    </row>
    <row r="3317" spans="1:18" x14ac:dyDescent="0.2">
      <c r="A3317">
        <v>28</v>
      </c>
      <c r="B3317" t="s">
        <v>29</v>
      </c>
      <c r="C3317">
        <v>2021</v>
      </c>
      <c r="D3317">
        <v>8</v>
      </c>
      <c r="E3317" s="4">
        <v>0</v>
      </c>
      <c r="F3317" s="9">
        <v>0</v>
      </c>
      <c r="G3317" s="6">
        <v>2839</v>
      </c>
      <c r="H3317" s="9">
        <f t="shared" si="51"/>
        <v>0</v>
      </c>
      <c r="I3317" s="6">
        <v>14230</v>
      </c>
      <c r="J3317" s="6">
        <f>VLOOKUP(Table1[[#This Row],[Province]],[1]Sheet1!$A$3:$K$37,10,FALSE)</f>
        <v>2659200</v>
      </c>
      <c r="K3317">
        <v>0</v>
      </c>
      <c r="L3317" s="4">
        <v>4.1449100000000003</v>
      </c>
      <c r="M3317" s="4">
        <v>122.174605</v>
      </c>
      <c r="N3317" s="13">
        <v>4.0999999999999996</v>
      </c>
      <c r="P3317"/>
      <c r="Q3317" s="12"/>
      <c r="R3317" s="12"/>
    </row>
    <row r="3318" spans="1:18" x14ac:dyDescent="0.2">
      <c r="A3318">
        <v>28</v>
      </c>
      <c r="B3318" t="s">
        <v>29</v>
      </c>
      <c r="C3318">
        <v>2021</v>
      </c>
      <c r="D3318">
        <v>9</v>
      </c>
      <c r="E3318" s="4">
        <v>0</v>
      </c>
      <c r="F3318" s="9">
        <v>0</v>
      </c>
      <c r="G3318" s="6">
        <v>3131</v>
      </c>
      <c r="H3318" s="9">
        <f t="shared" si="51"/>
        <v>0</v>
      </c>
      <c r="I3318" s="6">
        <v>14202</v>
      </c>
      <c r="J3318" s="6">
        <f>VLOOKUP(Table1[[#This Row],[Province]],[1]Sheet1!$A$3:$K$37,10,FALSE)</f>
        <v>2659200</v>
      </c>
      <c r="K3318">
        <v>0</v>
      </c>
      <c r="L3318" s="4">
        <v>4.1449100000000003</v>
      </c>
      <c r="M3318" s="4">
        <v>122.174605</v>
      </c>
      <c r="N3318" s="13">
        <v>4.0999999999999996</v>
      </c>
      <c r="P3318"/>
      <c r="Q3318" s="12"/>
      <c r="R3318" s="12"/>
    </row>
    <row r="3319" spans="1:18" x14ac:dyDescent="0.2">
      <c r="A3319">
        <v>28</v>
      </c>
      <c r="B3319" t="s">
        <v>29</v>
      </c>
      <c r="C3319">
        <v>2021</v>
      </c>
      <c r="D3319">
        <v>10</v>
      </c>
      <c r="E3319" s="4">
        <v>0</v>
      </c>
      <c r="F3319" s="9">
        <v>0</v>
      </c>
      <c r="G3319" s="6">
        <v>2919</v>
      </c>
      <c r="H3319" s="9">
        <f t="shared" si="51"/>
        <v>0</v>
      </c>
      <c r="I3319" s="6">
        <v>13875</v>
      </c>
      <c r="J3319" s="6">
        <f>VLOOKUP(Table1[[#This Row],[Province]],[1]Sheet1!$A$3:$K$37,10,FALSE)</f>
        <v>2659200</v>
      </c>
      <c r="K3319">
        <v>0</v>
      </c>
      <c r="L3319" s="4">
        <v>4.1449100000000003</v>
      </c>
      <c r="M3319" s="4">
        <v>122.174605</v>
      </c>
      <c r="N3319" s="13">
        <v>4.0999999999999996</v>
      </c>
      <c r="P3319"/>
      <c r="Q3319" s="12"/>
      <c r="R3319" s="12"/>
    </row>
    <row r="3320" spans="1:18" x14ac:dyDescent="0.2">
      <c r="A3320">
        <v>28</v>
      </c>
      <c r="B3320" t="s">
        <v>29</v>
      </c>
      <c r="C3320">
        <v>2021</v>
      </c>
      <c r="D3320">
        <v>11</v>
      </c>
      <c r="E3320" s="4">
        <v>0</v>
      </c>
      <c r="F3320" s="9">
        <v>0</v>
      </c>
      <c r="G3320" s="6">
        <v>3229</v>
      </c>
      <c r="H3320" s="9">
        <f t="shared" si="51"/>
        <v>0</v>
      </c>
      <c r="I3320" s="6">
        <v>13460</v>
      </c>
      <c r="J3320" s="6">
        <f>VLOOKUP(Table1[[#This Row],[Province]],[1]Sheet1!$A$3:$K$37,10,FALSE)</f>
        <v>2659200</v>
      </c>
      <c r="K3320">
        <v>0</v>
      </c>
      <c r="L3320" s="4">
        <v>4.1449100000000003</v>
      </c>
      <c r="M3320" s="4">
        <v>122.174605</v>
      </c>
      <c r="N3320" s="13">
        <v>4.0999999999999996</v>
      </c>
      <c r="P3320"/>
      <c r="Q3320" s="12"/>
      <c r="R3320" s="12"/>
    </row>
    <row r="3321" spans="1:18" x14ac:dyDescent="0.2">
      <c r="A3321">
        <v>28</v>
      </c>
      <c r="B3321" t="s">
        <v>29</v>
      </c>
      <c r="C3321">
        <v>2021</v>
      </c>
      <c r="D3321">
        <v>12</v>
      </c>
      <c r="E3321" s="4">
        <v>0</v>
      </c>
      <c r="F3321" s="9">
        <v>0</v>
      </c>
      <c r="G3321" s="6">
        <v>2104</v>
      </c>
      <c r="H3321" s="9">
        <f t="shared" si="51"/>
        <v>0</v>
      </c>
      <c r="I3321" s="6">
        <v>13500</v>
      </c>
      <c r="J3321" s="6">
        <f>VLOOKUP(Table1[[#This Row],[Province]],[1]Sheet1!$A$3:$K$37,10,FALSE)</f>
        <v>2659200</v>
      </c>
      <c r="K3321">
        <v>1</v>
      </c>
      <c r="L3321" s="4">
        <v>4.1449100000000003</v>
      </c>
      <c r="M3321" s="4">
        <v>122.174605</v>
      </c>
      <c r="N3321" s="13">
        <v>4.0999999999999996</v>
      </c>
      <c r="P3321"/>
      <c r="Q3321" s="12"/>
      <c r="R3321" s="12"/>
    </row>
    <row r="3322" spans="1:18" x14ac:dyDescent="0.2">
      <c r="A3322">
        <v>28</v>
      </c>
      <c r="B3322" t="s">
        <v>29</v>
      </c>
      <c r="C3322">
        <v>2022</v>
      </c>
      <c r="D3322">
        <v>1</v>
      </c>
      <c r="E3322" s="6">
        <v>0</v>
      </c>
      <c r="F3322" s="9">
        <v>0</v>
      </c>
      <c r="G3322" s="6">
        <v>2926</v>
      </c>
      <c r="H3322" s="9">
        <f t="shared" si="51"/>
        <v>0</v>
      </c>
      <c r="I3322" s="6">
        <v>14080</v>
      </c>
      <c r="J3322" s="6">
        <f>VLOOKUP(Table1[[#This Row],[Province]],[1]Sheet1!$A$3:$K$37,10,FALSE)</f>
        <v>2659200</v>
      </c>
      <c r="K3322">
        <v>0</v>
      </c>
      <c r="L3322" s="4">
        <v>4.1449100000000003</v>
      </c>
      <c r="M3322" s="4">
        <v>122.174605</v>
      </c>
      <c r="N3322" s="13">
        <v>5.53</v>
      </c>
      <c r="P3322"/>
      <c r="Q3322" s="12"/>
      <c r="R3322" s="12"/>
    </row>
    <row r="3323" spans="1:18" x14ac:dyDescent="0.2">
      <c r="A3323">
        <v>28</v>
      </c>
      <c r="B3323" t="s">
        <v>29</v>
      </c>
      <c r="C3323">
        <v>2022</v>
      </c>
      <c r="D3323">
        <v>2</v>
      </c>
      <c r="E3323" s="6">
        <v>0</v>
      </c>
      <c r="F3323" s="9">
        <v>0</v>
      </c>
      <c r="G3323" s="6">
        <v>2351</v>
      </c>
      <c r="H3323" s="9">
        <f t="shared" si="51"/>
        <v>0</v>
      </c>
      <c r="I3323" s="6">
        <v>14697</v>
      </c>
      <c r="J3323" s="6">
        <f>VLOOKUP(Table1[[#This Row],[Province]],[1]Sheet1!$A$3:$K$37,10,FALSE)</f>
        <v>2659200</v>
      </c>
      <c r="K3323">
        <v>0</v>
      </c>
      <c r="L3323" s="4">
        <v>4.1449100000000003</v>
      </c>
      <c r="M3323" s="4">
        <v>122.174605</v>
      </c>
      <c r="N3323" s="13">
        <v>5.53</v>
      </c>
      <c r="P3323"/>
      <c r="Q3323" s="12"/>
      <c r="R3323" s="12"/>
    </row>
    <row r="3324" spans="1:18" x14ac:dyDescent="0.2">
      <c r="A3324">
        <v>28</v>
      </c>
      <c r="B3324" t="s">
        <v>29</v>
      </c>
      <c r="C3324">
        <v>2022</v>
      </c>
      <c r="D3324">
        <v>3</v>
      </c>
      <c r="E3324" s="6">
        <v>0</v>
      </c>
      <c r="F3324" s="9">
        <v>0</v>
      </c>
      <c r="G3324" s="6">
        <v>2759</v>
      </c>
      <c r="H3324" s="9">
        <f t="shared" si="51"/>
        <v>0</v>
      </c>
      <c r="I3324" s="6">
        <v>15161</v>
      </c>
      <c r="J3324" s="6">
        <f>VLOOKUP(Table1[[#This Row],[Province]],[1]Sheet1!$A$3:$K$37,10,FALSE)</f>
        <v>2659200</v>
      </c>
      <c r="K3324">
        <v>0</v>
      </c>
      <c r="L3324" s="4">
        <v>4.1449100000000003</v>
      </c>
      <c r="M3324" s="4">
        <v>122.174605</v>
      </c>
      <c r="N3324" s="13">
        <v>5.53</v>
      </c>
      <c r="P3324"/>
      <c r="Q3324" s="12"/>
      <c r="R3324" s="12"/>
    </row>
    <row r="3325" spans="1:18" x14ac:dyDescent="0.2">
      <c r="A3325">
        <v>28</v>
      </c>
      <c r="B3325" t="s">
        <v>29</v>
      </c>
      <c r="C3325">
        <v>2022</v>
      </c>
      <c r="D3325">
        <v>4</v>
      </c>
      <c r="E3325" s="6">
        <v>0</v>
      </c>
      <c r="F3325" s="9">
        <v>0</v>
      </c>
      <c r="G3325" s="6">
        <v>2246</v>
      </c>
      <c r="H3325" s="9">
        <f t="shared" si="51"/>
        <v>0</v>
      </c>
      <c r="I3325" s="6">
        <v>15589</v>
      </c>
      <c r="J3325" s="6">
        <f>VLOOKUP(Table1[[#This Row],[Province]],[1]Sheet1!$A$3:$K$37,10,FALSE)</f>
        <v>2659200</v>
      </c>
      <c r="K3325">
        <v>1</v>
      </c>
      <c r="L3325" s="4">
        <v>4.1449100000000003</v>
      </c>
      <c r="M3325" s="4">
        <v>122.174605</v>
      </c>
      <c r="N3325" s="13">
        <v>5.53</v>
      </c>
      <c r="P3325"/>
      <c r="Q3325" s="12"/>
      <c r="R3325" s="12"/>
    </row>
    <row r="3326" spans="1:18" x14ac:dyDescent="0.2">
      <c r="A3326">
        <v>28</v>
      </c>
      <c r="B3326" t="s">
        <v>29</v>
      </c>
      <c r="C3326">
        <v>2022</v>
      </c>
      <c r="D3326">
        <v>5</v>
      </c>
      <c r="E3326" s="6">
        <v>0</v>
      </c>
      <c r="F3326" s="9">
        <v>0</v>
      </c>
      <c r="G3326" s="6">
        <v>2292</v>
      </c>
      <c r="H3326" s="9">
        <f t="shared" si="51"/>
        <v>0</v>
      </c>
      <c r="I3326" s="6">
        <v>15207</v>
      </c>
      <c r="J3326" s="6">
        <f>VLOOKUP(Table1[[#This Row],[Province]],[1]Sheet1!$A$3:$K$37,10,FALSE)</f>
        <v>2659200</v>
      </c>
      <c r="K3326">
        <v>0</v>
      </c>
      <c r="L3326" s="4">
        <v>4.1449100000000003</v>
      </c>
      <c r="M3326" s="4">
        <v>122.174605</v>
      </c>
      <c r="N3326" s="13">
        <v>5.53</v>
      </c>
      <c r="P3326"/>
      <c r="Q3326" s="12"/>
      <c r="R3326" s="12"/>
    </row>
    <row r="3327" spans="1:18" x14ac:dyDescent="0.2">
      <c r="A3327">
        <v>28</v>
      </c>
      <c r="B3327" t="s">
        <v>29</v>
      </c>
      <c r="C3327">
        <v>2022</v>
      </c>
      <c r="D3327">
        <v>6</v>
      </c>
      <c r="E3327" s="6">
        <v>0</v>
      </c>
      <c r="F3327" s="9">
        <v>0</v>
      </c>
      <c r="G3327" s="6">
        <v>2652</v>
      </c>
      <c r="H3327" s="9">
        <f t="shared" si="51"/>
        <v>0</v>
      </c>
      <c r="I3327" s="6">
        <v>15302</v>
      </c>
      <c r="J3327" s="6">
        <f>VLOOKUP(Table1[[#This Row],[Province]],[1]Sheet1!$A$3:$K$37,10,FALSE)</f>
        <v>2659200</v>
      </c>
      <c r="K3327">
        <v>0</v>
      </c>
      <c r="L3327" s="4">
        <v>4.1449100000000003</v>
      </c>
      <c r="M3327" s="4">
        <v>122.174605</v>
      </c>
      <c r="N3327" s="13">
        <v>5.53</v>
      </c>
      <c r="P3327"/>
      <c r="Q3327" s="12"/>
      <c r="R3327" s="12"/>
    </row>
    <row r="3328" spans="1:18" x14ac:dyDescent="0.2">
      <c r="A3328">
        <v>28</v>
      </c>
      <c r="B3328" t="s">
        <v>29</v>
      </c>
      <c r="C3328">
        <v>2022</v>
      </c>
      <c r="D3328">
        <v>7</v>
      </c>
      <c r="E3328" s="6">
        <v>0</v>
      </c>
      <c r="F3328" s="9">
        <v>0</v>
      </c>
      <c r="G3328" s="6">
        <v>2517</v>
      </c>
      <c r="H3328" s="9">
        <f t="shared" si="51"/>
        <v>0</v>
      </c>
      <c r="I3328" s="6">
        <v>15167</v>
      </c>
      <c r="J3328" s="6">
        <f>VLOOKUP(Table1[[#This Row],[Province]],[1]Sheet1!$A$3:$K$37,10,FALSE)</f>
        <v>2659200</v>
      </c>
      <c r="K3328">
        <v>0</v>
      </c>
      <c r="L3328" s="4">
        <v>4.1449100000000003</v>
      </c>
      <c r="M3328" s="4">
        <v>122.174605</v>
      </c>
      <c r="N3328" s="13">
        <v>5.53</v>
      </c>
      <c r="P3328"/>
      <c r="Q3328" s="12"/>
      <c r="R3328" s="12"/>
    </row>
    <row r="3329" spans="1:18" x14ac:dyDescent="0.2">
      <c r="A3329">
        <v>28</v>
      </c>
      <c r="B3329" t="s">
        <v>29</v>
      </c>
      <c r="C3329">
        <v>2022</v>
      </c>
      <c r="D3329">
        <v>8</v>
      </c>
      <c r="E3329" s="6">
        <v>0</v>
      </c>
      <c r="F3329" s="9">
        <v>0</v>
      </c>
      <c r="G3329" s="6">
        <v>3981</v>
      </c>
      <c r="H3329" s="9">
        <f t="shared" si="51"/>
        <v>0</v>
      </c>
      <c r="I3329" s="6">
        <v>15027</v>
      </c>
      <c r="J3329" s="6">
        <f>VLOOKUP(Table1[[#This Row],[Province]],[1]Sheet1!$A$3:$K$37,10,FALSE)</f>
        <v>2659200</v>
      </c>
      <c r="K3329">
        <v>0</v>
      </c>
      <c r="L3329" s="4">
        <v>4.1449100000000003</v>
      </c>
      <c r="M3329" s="4">
        <v>122.174605</v>
      </c>
      <c r="N3329" s="13">
        <v>5.53</v>
      </c>
      <c r="P3329"/>
      <c r="Q3329" s="12"/>
      <c r="R3329" s="12"/>
    </row>
    <row r="3330" spans="1:18" x14ac:dyDescent="0.2">
      <c r="A3330">
        <v>28</v>
      </c>
      <c r="B3330" t="s">
        <v>29</v>
      </c>
      <c r="C3330">
        <v>2022</v>
      </c>
      <c r="D3330">
        <v>9</v>
      </c>
      <c r="E3330" s="6">
        <v>713</v>
      </c>
      <c r="F3330" s="9">
        <v>0</v>
      </c>
      <c r="G3330" s="6">
        <v>1610</v>
      </c>
      <c r="H3330" s="9">
        <f t="shared" ref="H3330:H3393" si="52">F3330+E3330</f>
        <v>713</v>
      </c>
      <c r="I3330" s="6">
        <v>14293</v>
      </c>
      <c r="J3330" s="6">
        <f>VLOOKUP(Table1[[#This Row],[Province]],[1]Sheet1!$A$3:$K$37,10,FALSE)</f>
        <v>2659200</v>
      </c>
      <c r="K3330">
        <v>0</v>
      </c>
      <c r="L3330" s="4">
        <v>4.1449100000000003</v>
      </c>
      <c r="M3330" s="4">
        <v>122.174605</v>
      </c>
      <c r="N3330" s="13">
        <v>5.53</v>
      </c>
      <c r="P3330"/>
      <c r="Q3330" s="12"/>
      <c r="R3330" s="12"/>
    </row>
    <row r="3331" spans="1:18" x14ac:dyDescent="0.2">
      <c r="A3331">
        <v>28</v>
      </c>
      <c r="B3331" t="s">
        <v>29</v>
      </c>
      <c r="C3331">
        <v>2022</v>
      </c>
      <c r="D3331">
        <v>10</v>
      </c>
      <c r="E3331" s="6">
        <v>381</v>
      </c>
      <c r="F3331" s="9">
        <v>0</v>
      </c>
      <c r="G3331" s="6">
        <v>2411</v>
      </c>
      <c r="H3331" s="9">
        <f t="shared" si="52"/>
        <v>381</v>
      </c>
      <c r="I3331" s="6">
        <v>14223</v>
      </c>
      <c r="J3331" s="6">
        <f>VLOOKUP(Table1[[#This Row],[Province]],[1]Sheet1!$A$3:$K$37,10,FALSE)</f>
        <v>2659200</v>
      </c>
      <c r="K3331">
        <v>0</v>
      </c>
      <c r="L3331" s="4">
        <v>4.1449100000000003</v>
      </c>
      <c r="M3331" s="4">
        <v>122.174605</v>
      </c>
      <c r="N3331" s="13">
        <v>5.53</v>
      </c>
      <c r="P3331"/>
      <c r="Q3331" s="12"/>
      <c r="R3331" s="12"/>
    </row>
    <row r="3332" spans="1:18" x14ac:dyDescent="0.2">
      <c r="A3332">
        <v>28</v>
      </c>
      <c r="B3332" t="s">
        <v>29</v>
      </c>
      <c r="C3332">
        <v>2022</v>
      </c>
      <c r="D3332">
        <v>11</v>
      </c>
      <c r="E3332" s="6">
        <v>627</v>
      </c>
      <c r="F3332" s="9">
        <v>0</v>
      </c>
      <c r="G3332" s="6">
        <v>2808</v>
      </c>
      <c r="H3332" s="9">
        <f t="shared" si="52"/>
        <v>627</v>
      </c>
      <c r="I3332" s="6">
        <v>14955</v>
      </c>
      <c r="J3332" s="6">
        <f>VLOOKUP(Table1[[#This Row],[Province]],[1]Sheet1!$A$3:$K$37,10,FALSE)</f>
        <v>2659200</v>
      </c>
      <c r="K3332">
        <v>0</v>
      </c>
      <c r="L3332" s="4">
        <v>4.1449100000000003</v>
      </c>
      <c r="M3332" s="4">
        <v>122.174605</v>
      </c>
      <c r="N3332" s="13">
        <v>5.53</v>
      </c>
      <c r="P3332"/>
      <c r="Q3332" s="12"/>
      <c r="R3332" s="12"/>
    </row>
    <row r="3333" spans="1:18" x14ac:dyDescent="0.2">
      <c r="A3333">
        <v>28</v>
      </c>
      <c r="B3333" t="s">
        <v>29</v>
      </c>
      <c r="C3333">
        <v>2022</v>
      </c>
      <c r="D3333">
        <v>12</v>
      </c>
      <c r="E3333" s="6">
        <v>122</v>
      </c>
      <c r="F3333" s="9">
        <v>0</v>
      </c>
      <c r="G3333" s="6">
        <v>2458</v>
      </c>
      <c r="H3333" s="9">
        <f t="shared" si="52"/>
        <v>122</v>
      </c>
      <c r="I3333" s="6">
        <v>14650</v>
      </c>
      <c r="J3333" s="6">
        <f>VLOOKUP(Table1[[#This Row],[Province]],[1]Sheet1!$A$3:$K$37,10,FALSE)</f>
        <v>2659200</v>
      </c>
      <c r="K3333">
        <v>1</v>
      </c>
      <c r="L3333" s="4">
        <v>4.1449100000000003</v>
      </c>
      <c r="M3333" s="4">
        <v>122.174605</v>
      </c>
      <c r="N3333" s="13">
        <v>5.53</v>
      </c>
      <c r="P3333"/>
      <c r="Q3333" s="12"/>
      <c r="R3333" s="12"/>
    </row>
    <row r="3334" spans="1:18" x14ac:dyDescent="0.2">
      <c r="A3334">
        <v>29</v>
      </c>
      <c r="B3334" t="s">
        <v>6</v>
      </c>
      <c r="C3334">
        <v>2013</v>
      </c>
      <c r="D3334">
        <v>1</v>
      </c>
      <c r="E3334" s="4">
        <v>0</v>
      </c>
      <c r="F3334" s="9">
        <v>0</v>
      </c>
      <c r="G3334" s="6">
        <v>744</v>
      </c>
      <c r="H3334" s="9">
        <f t="shared" si="52"/>
        <v>0</v>
      </c>
      <c r="I3334" s="6">
        <v>12738</v>
      </c>
      <c r="J3334" s="6">
        <f>VLOOKUP(Table1[[#This Row],[Province]],[1]Sheet1!$A$3:$K$37,10,FALSE)</f>
        <v>1181000</v>
      </c>
      <c r="K3334">
        <v>0</v>
      </c>
      <c r="L3334" s="4">
        <v>0.69993700000000003</v>
      </c>
      <c r="M3334" s="4">
        <v>122.446724</v>
      </c>
      <c r="N3334" s="6"/>
      <c r="P3334"/>
      <c r="Q3334" s="12"/>
      <c r="R3334" s="12"/>
    </row>
    <row r="3335" spans="1:18" x14ac:dyDescent="0.2">
      <c r="A3335">
        <v>29</v>
      </c>
      <c r="B3335" t="s">
        <v>6</v>
      </c>
      <c r="C3335">
        <v>2013</v>
      </c>
      <c r="D3335">
        <v>2</v>
      </c>
      <c r="E3335" s="4">
        <v>0</v>
      </c>
      <c r="F3335" s="9">
        <v>0</v>
      </c>
      <c r="G3335" s="6">
        <v>713</v>
      </c>
      <c r="H3335" s="9">
        <f t="shared" si="52"/>
        <v>0</v>
      </c>
      <c r="I3335" s="6">
        <v>12325</v>
      </c>
      <c r="J3335" s="6">
        <f>VLOOKUP(Table1[[#This Row],[Province]],[1]Sheet1!$A$3:$K$37,10,FALSE)</f>
        <v>1181000</v>
      </c>
      <c r="K3335">
        <v>0</v>
      </c>
      <c r="L3335" s="4">
        <v>0.69993700000000003</v>
      </c>
      <c r="M3335" s="4">
        <v>122.446724</v>
      </c>
      <c r="N3335" s="6"/>
      <c r="P3335"/>
      <c r="Q3335" s="12"/>
      <c r="R3335" s="12"/>
    </row>
    <row r="3336" spans="1:18" x14ac:dyDescent="0.2">
      <c r="A3336">
        <v>29</v>
      </c>
      <c r="B3336" t="s">
        <v>6</v>
      </c>
      <c r="C3336">
        <v>2013</v>
      </c>
      <c r="D3336">
        <v>3</v>
      </c>
      <c r="E3336" s="4">
        <v>0</v>
      </c>
      <c r="F3336" s="9">
        <v>0</v>
      </c>
      <c r="G3336" s="6">
        <v>735</v>
      </c>
      <c r="H3336" s="9">
        <f t="shared" si="52"/>
        <v>0</v>
      </c>
      <c r="I3336" s="6">
        <v>12000</v>
      </c>
      <c r="J3336" s="6">
        <f>VLOOKUP(Table1[[#This Row],[Province]],[1]Sheet1!$A$3:$K$37,10,FALSE)</f>
        <v>1181000</v>
      </c>
      <c r="K3336">
        <v>0</v>
      </c>
      <c r="L3336" s="4">
        <v>0.69993700000000003</v>
      </c>
      <c r="M3336" s="4">
        <v>122.446724</v>
      </c>
      <c r="N3336" s="6"/>
      <c r="P3336"/>
      <c r="Q3336" s="12"/>
      <c r="R3336" s="12"/>
    </row>
    <row r="3337" spans="1:18" x14ac:dyDescent="0.2">
      <c r="A3337">
        <v>29</v>
      </c>
      <c r="B3337" t="s">
        <v>6</v>
      </c>
      <c r="C3337">
        <v>2013</v>
      </c>
      <c r="D3337">
        <v>4</v>
      </c>
      <c r="E3337" s="4">
        <v>0</v>
      </c>
      <c r="F3337" s="9">
        <v>0</v>
      </c>
      <c r="G3337" s="6">
        <v>955</v>
      </c>
      <c r="H3337" s="9">
        <f t="shared" si="52"/>
        <v>0</v>
      </c>
      <c r="I3337" s="6">
        <v>12000</v>
      </c>
      <c r="J3337" s="6">
        <f>VLOOKUP(Table1[[#This Row],[Province]],[1]Sheet1!$A$3:$K$37,10,FALSE)</f>
        <v>1181000</v>
      </c>
      <c r="K3337">
        <v>0</v>
      </c>
      <c r="L3337" s="4">
        <v>0.69993700000000003</v>
      </c>
      <c r="M3337" s="4">
        <v>122.446724</v>
      </c>
      <c r="N3337" s="6"/>
      <c r="P3337"/>
      <c r="Q3337" s="12"/>
      <c r="R3337" s="12"/>
    </row>
    <row r="3338" spans="1:18" x14ac:dyDescent="0.2">
      <c r="A3338">
        <v>29</v>
      </c>
      <c r="B3338" t="s">
        <v>6</v>
      </c>
      <c r="C3338">
        <v>2013</v>
      </c>
      <c r="D3338">
        <v>5</v>
      </c>
      <c r="E3338" s="4">
        <v>0</v>
      </c>
      <c r="F3338" s="9">
        <v>0</v>
      </c>
      <c r="G3338" s="6">
        <v>1157</v>
      </c>
      <c r="H3338" s="9">
        <f t="shared" si="52"/>
        <v>0</v>
      </c>
      <c r="I3338" s="6">
        <v>12000</v>
      </c>
      <c r="J3338" s="6">
        <f>VLOOKUP(Table1[[#This Row],[Province]],[1]Sheet1!$A$3:$K$37,10,FALSE)</f>
        <v>1181000</v>
      </c>
      <c r="K3338">
        <v>0</v>
      </c>
      <c r="L3338" s="4">
        <v>0.69993700000000003</v>
      </c>
      <c r="M3338" s="4">
        <v>122.446724</v>
      </c>
      <c r="N3338" s="6"/>
      <c r="P3338"/>
      <c r="Q3338" s="12"/>
      <c r="R3338" s="12"/>
    </row>
    <row r="3339" spans="1:18" x14ac:dyDescent="0.2">
      <c r="A3339">
        <v>29</v>
      </c>
      <c r="B3339" t="s">
        <v>6</v>
      </c>
      <c r="C3339">
        <v>2013</v>
      </c>
      <c r="D3339">
        <v>6</v>
      </c>
      <c r="E3339" s="4">
        <v>337</v>
      </c>
      <c r="F3339" s="9">
        <v>0</v>
      </c>
      <c r="G3339" s="6">
        <v>964</v>
      </c>
      <c r="H3339" s="9">
        <f t="shared" si="52"/>
        <v>337</v>
      </c>
      <c r="I3339" s="6">
        <v>12000</v>
      </c>
      <c r="J3339" s="6">
        <f>VLOOKUP(Table1[[#This Row],[Province]],[1]Sheet1!$A$3:$K$37,10,FALSE)</f>
        <v>1181000</v>
      </c>
      <c r="K3339">
        <v>0</v>
      </c>
      <c r="L3339" s="4">
        <v>0.69993700000000003</v>
      </c>
      <c r="M3339" s="4">
        <v>122.446724</v>
      </c>
      <c r="N3339" s="6"/>
      <c r="P3339"/>
      <c r="Q3339" s="12"/>
      <c r="R3339" s="12"/>
    </row>
    <row r="3340" spans="1:18" x14ac:dyDescent="0.2">
      <c r="A3340">
        <v>29</v>
      </c>
      <c r="B3340" t="s">
        <v>6</v>
      </c>
      <c r="C3340">
        <v>2013</v>
      </c>
      <c r="D3340">
        <v>7</v>
      </c>
      <c r="E3340" s="4">
        <v>459</v>
      </c>
      <c r="F3340" s="9">
        <v>0</v>
      </c>
      <c r="G3340" s="6">
        <v>1672</v>
      </c>
      <c r="H3340" s="9">
        <f t="shared" si="52"/>
        <v>459</v>
      </c>
      <c r="I3340" s="6">
        <v>13091</v>
      </c>
      <c r="J3340" s="6">
        <f>VLOOKUP(Table1[[#This Row],[Province]],[1]Sheet1!$A$3:$K$37,10,FALSE)</f>
        <v>1181000</v>
      </c>
      <c r="K3340">
        <v>1</v>
      </c>
      <c r="L3340" s="4">
        <v>0.69993700000000003</v>
      </c>
      <c r="M3340" s="4">
        <v>122.446724</v>
      </c>
      <c r="N3340" s="6"/>
      <c r="P3340"/>
      <c r="Q3340" s="12"/>
      <c r="R3340" s="12"/>
    </row>
    <row r="3341" spans="1:18" x14ac:dyDescent="0.2">
      <c r="A3341">
        <v>29</v>
      </c>
      <c r="B3341" t="s">
        <v>6</v>
      </c>
      <c r="C3341">
        <v>2013</v>
      </c>
      <c r="D3341">
        <v>8</v>
      </c>
      <c r="E3341" s="4">
        <v>1065</v>
      </c>
      <c r="F3341" s="9">
        <v>0</v>
      </c>
      <c r="G3341" s="6">
        <v>612</v>
      </c>
      <c r="H3341" s="9">
        <f t="shared" si="52"/>
        <v>1065</v>
      </c>
      <c r="I3341" s="6">
        <v>12500</v>
      </c>
      <c r="J3341" s="6">
        <f>VLOOKUP(Table1[[#This Row],[Province]],[1]Sheet1!$A$3:$K$37,10,FALSE)</f>
        <v>1181000</v>
      </c>
      <c r="K3341">
        <v>0</v>
      </c>
      <c r="L3341" s="4">
        <v>0.69993700000000003</v>
      </c>
      <c r="M3341" s="4">
        <v>122.446724</v>
      </c>
      <c r="N3341" s="6"/>
      <c r="P3341"/>
      <c r="Q3341" s="12"/>
      <c r="R3341" s="12"/>
    </row>
    <row r="3342" spans="1:18" x14ac:dyDescent="0.2">
      <c r="A3342">
        <v>29</v>
      </c>
      <c r="B3342" t="s">
        <v>6</v>
      </c>
      <c r="C3342">
        <v>2013</v>
      </c>
      <c r="D3342">
        <v>9</v>
      </c>
      <c r="E3342" s="4">
        <v>911</v>
      </c>
      <c r="F3342" s="9">
        <v>0</v>
      </c>
      <c r="G3342" s="6">
        <v>1307</v>
      </c>
      <c r="H3342" s="9">
        <f t="shared" si="52"/>
        <v>911</v>
      </c>
      <c r="I3342" s="6">
        <v>12500</v>
      </c>
      <c r="J3342" s="6">
        <f>VLOOKUP(Table1[[#This Row],[Province]],[1]Sheet1!$A$3:$K$37,10,FALSE)</f>
        <v>1181000</v>
      </c>
      <c r="K3342">
        <v>0</v>
      </c>
      <c r="L3342" s="4">
        <v>0.69993700000000003</v>
      </c>
      <c r="M3342" s="4">
        <v>122.446724</v>
      </c>
      <c r="N3342" s="6"/>
      <c r="P3342"/>
      <c r="Q3342" s="12"/>
      <c r="R3342" s="12"/>
    </row>
    <row r="3343" spans="1:18" x14ac:dyDescent="0.2">
      <c r="A3343">
        <v>29</v>
      </c>
      <c r="B3343" t="s">
        <v>6</v>
      </c>
      <c r="C3343">
        <v>2013</v>
      </c>
      <c r="D3343">
        <v>10</v>
      </c>
      <c r="E3343" s="4">
        <v>19294</v>
      </c>
      <c r="F3343" s="9">
        <v>0</v>
      </c>
      <c r="G3343" s="6">
        <v>1069</v>
      </c>
      <c r="H3343" s="9">
        <f t="shared" si="52"/>
        <v>19294</v>
      </c>
      <c r="I3343" s="6">
        <v>12500</v>
      </c>
      <c r="J3343" s="6">
        <f>VLOOKUP(Table1[[#This Row],[Province]],[1]Sheet1!$A$3:$K$37,10,FALSE)</f>
        <v>1181000</v>
      </c>
      <c r="K3343">
        <v>0</v>
      </c>
      <c r="L3343" s="4">
        <v>0.69993700000000003</v>
      </c>
      <c r="M3343" s="4">
        <v>122.446724</v>
      </c>
      <c r="N3343" s="6"/>
      <c r="P3343"/>
      <c r="Q3343" s="12"/>
      <c r="R3343" s="12"/>
    </row>
    <row r="3344" spans="1:18" x14ac:dyDescent="0.2">
      <c r="A3344">
        <v>29</v>
      </c>
      <c r="B3344" t="s">
        <v>6</v>
      </c>
      <c r="C3344">
        <v>2013</v>
      </c>
      <c r="D3344">
        <v>11</v>
      </c>
      <c r="E3344" s="4">
        <v>3677</v>
      </c>
      <c r="F3344" s="9">
        <v>0</v>
      </c>
      <c r="G3344" s="6">
        <v>788</v>
      </c>
      <c r="H3344" s="9">
        <f t="shared" si="52"/>
        <v>3677</v>
      </c>
      <c r="I3344" s="6">
        <v>12500</v>
      </c>
      <c r="J3344" s="6">
        <f>VLOOKUP(Table1[[#This Row],[Province]],[1]Sheet1!$A$3:$K$37,10,FALSE)</f>
        <v>1181000</v>
      </c>
      <c r="K3344">
        <v>0</v>
      </c>
      <c r="L3344" s="4">
        <v>0.69993700000000003</v>
      </c>
      <c r="M3344" s="4">
        <v>122.446724</v>
      </c>
      <c r="N3344" s="6"/>
      <c r="P3344"/>
      <c r="Q3344" s="12"/>
      <c r="R3344" s="12"/>
    </row>
    <row r="3345" spans="1:18" x14ac:dyDescent="0.2">
      <c r="A3345">
        <v>29</v>
      </c>
      <c r="B3345" t="s">
        <v>6</v>
      </c>
      <c r="C3345">
        <v>2013</v>
      </c>
      <c r="D3345">
        <v>12</v>
      </c>
      <c r="E3345" s="4">
        <v>2183</v>
      </c>
      <c r="F3345" s="9">
        <v>0</v>
      </c>
      <c r="G3345" s="6">
        <v>1096</v>
      </c>
      <c r="H3345" s="9">
        <f t="shared" si="52"/>
        <v>2183</v>
      </c>
      <c r="I3345" s="6">
        <v>12500</v>
      </c>
      <c r="J3345" s="6">
        <f>VLOOKUP(Table1[[#This Row],[Province]],[1]Sheet1!$A$3:$K$37,10,FALSE)</f>
        <v>1181000</v>
      </c>
      <c r="K3345">
        <v>1</v>
      </c>
      <c r="L3345" s="4">
        <v>0.69993700000000003</v>
      </c>
      <c r="M3345" s="4">
        <v>122.446724</v>
      </c>
      <c r="N3345" s="6"/>
      <c r="P3345"/>
      <c r="Q3345" s="12"/>
      <c r="R3345" s="12"/>
    </row>
    <row r="3346" spans="1:18" x14ac:dyDescent="0.2">
      <c r="A3346">
        <v>29</v>
      </c>
      <c r="B3346" t="s">
        <v>6</v>
      </c>
      <c r="C3346">
        <v>2014</v>
      </c>
      <c r="D3346">
        <v>1</v>
      </c>
      <c r="E3346" s="4">
        <v>0</v>
      </c>
      <c r="F3346" s="9">
        <v>0</v>
      </c>
      <c r="G3346" s="6">
        <v>767</v>
      </c>
      <c r="H3346" s="9">
        <f t="shared" si="52"/>
        <v>0</v>
      </c>
      <c r="I3346" s="6">
        <v>12118</v>
      </c>
      <c r="J3346" s="6">
        <f>VLOOKUP(Table1[[#This Row],[Province]],[1]Sheet1!$A$3:$K$37,10,FALSE)</f>
        <v>1181000</v>
      </c>
      <c r="K3346">
        <v>0</v>
      </c>
      <c r="L3346" s="4">
        <v>0.69993700000000003</v>
      </c>
      <c r="M3346" s="4">
        <v>122.446724</v>
      </c>
      <c r="N3346" s="6"/>
      <c r="P3346"/>
      <c r="Q3346" s="12"/>
      <c r="R3346" s="12"/>
    </row>
    <row r="3347" spans="1:18" x14ac:dyDescent="0.2">
      <c r="A3347">
        <v>29</v>
      </c>
      <c r="B3347" t="s">
        <v>6</v>
      </c>
      <c r="C3347">
        <v>2014</v>
      </c>
      <c r="D3347">
        <v>2</v>
      </c>
      <c r="E3347" s="4">
        <v>0</v>
      </c>
      <c r="F3347" s="9">
        <v>0</v>
      </c>
      <c r="G3347" s="6">
        <v>684</v>
      </c>
      <c r="H3347" s="9">
        <f t="shared" si="52"/>
        <v>0</v>
      </c>
      <c r="I3347" s="6">
        <v>12000</v>
      </c>
      <c r="J3347" s="6">
        <f>VLOOKUP(Table1[[#This Row],[Province]],[1]Sheet1!$A$3:$K$37,10,FALSE)</f>
        <v>1181000</v>
      </c>
      <c r="K3347">
        <v>0</v>
      </c>
      <c r="L3347" s="4">
        <v>0.69993700000000003</v>
      </c>
      <c r="M3347" s="4">
        <v>122.446724</v>
      </c>
      <c r="N3347" s="6"/>
      <c r="P3347"/>
      <c r="Q3347" s="12"/>
      <c r="R3347" s="12"/>
    </row>
    <row r="3348" spans="1:18" x14ac:dyDescent="0.2">
      <c r="A3348">
        <v>29</v>
      </c>
      <c r="B3348" t="s">
        <v>6</v>
      </c>
      <c r="C3348">
        <v>2014</v>
      </c>
      <c r="D3348">
        <v>3</v>
      </c>
      <c r="E3348" s="4">
        <v>0</v>
      </c>
      <c r="F3348" s="9">
        <v>0</v>
      </c>
      <c r="G3348" s="6">
        <v>768</v>
      </c>
      <c r="H3348" s="9">
        <f t="shared" si="52"/>
        <v>0</v>
      </c>
      <c r="I3348" s="6">
        <v>12000</v>
      </c>
      <c r="J3348" s="6">
        <f>VLOOKUP(Table1[[#This Row],[Province]],[1]Sheet1!$A$3:$K$37,10,FALSE)</f>
        <v>1181000</v>
      </c>
      <c r="K3348">
        <v>0</v>
      </c>
      <c r="L3348" s="4">
        <v>0.69993700000000003</v>
      </c>
      <c r="M3348" s="4">
        <v>122.446724</v>
      </c>
      <c r="N3348" s="6"/>
      <c r="P3348"/>
      <c r="Q3348" s="12"/>
      <c r="R3348" s="12"/>
    </row>
    <row r="3349" spans="1:18" x14ac:dyDescent="0.2">
      <c r="A3349">
        <v>29</v>
      </c>
      <c r="B3349" t="s">
        <v>6</v>
      </c>
      <c r="C3349">
        <v>2014</v>
      </c>
      <c r="D3349">
        <v>4</v>
      </c>
      <c r="E3349" s="4">
        <v>0</v>
      </c>
      <c r="F3349" s="9">
        <v>0</v>
      </c>
      <c r="G3349" s="6">
        <v>990</v>
      </c>
      <c r="H3349" s="9">
        <f t="shared" si="52"/>
        <v>0</v>
      </c>
      <c r="I3349" s="6">
        <v>11575</v>
      </c>
      <c r="J3349" s="6">
        <f>VLOOKUP(Table1[[#This Row],[Province]],[1]Sheet1!$A$3:$K$37,10,FALSE)</f>
        <v>1181000</v>
      </c>
      <c r="K3349">
        <v>0</v>
      </c>
      <c r="L3349" s="4">
        <v>0.69993700000000003</v>
      </c>
      <c r="M3349" s="4">
        <v>122.446724</v>
      </c>
      <c r="N3349" s="6"/>
      <c r="P3349"/>
      <c r="Q3349" s="12"/>
      <c r="R3349" s="12"/>
    </row>
    <row r="3350" spans="1:18" x14ac:dyDescent="0.2">
      <c r="A3350">
        <v>29</v>
      </c>
      <c r="B3350" t="s">
        <v>6</v>
      </c>
      <c r="C3350">
        <v>2014</v>
      </c>
      <c r="D3350">
        <v>5</v>
      </c>
      <c r="E3350" s="4">
        <v>0</v>
      </c>
      <c r="F3350" s="9">
        <v>0</v>
      </c>
      <c r="G3350" s="6">
        <v>1108</v>
      </c>
      <c r="H3350" s="9">
        <f t="shared" si="52"/>
        <v>0</v>
      </c>
      <c r="I3350" s="6">
        <v>11500</v>
      </c>
      <c r="J3350" s="6">
        <f>VLOOKUP(Table1[[#This Row],[Province]],[1]Sheet1!$A$3:$K$37,10,FALSE)</f>
        <v>1181000</v>
      </c>
      <c r="K3350">
        <v>0</v>
      </c>
      <c r="L3350" s="4">
        <v>0.69993700000000003</v>
      </c>
      <c r="M3350" s="4">
        <v>122.446724</v>
      </c>
      <c r="N3350" s="6"/>
      <c r="P3350"/>
      <c r="Q3350" s="12"/>
      <c r="R3350" s="12"/>
    </row>
    <row r="3351" spans="1:18" x14ac:dyDescent="0.2">
      <c r="A3351">
        <v>29</v>
      </c>
      <c r="B3351" t="s">
        <v>6</v>
      </c>
      <c r="C3351">
        <v>2014</v>
      </c>
      <c r="D3351">
        <v>6</v>
      </c>
      <c r="E3351" s="4">
        <v>459</v>
      </c>
      <c r="F3351" s="9">
        <v>0</v>
      </c>
      <c r="G3351" s="6">
        <v>1577</v>
      </c>
      <c r="H3351" s="9">
        <f t="shared" si="52"/>
        <v>459</v>
      </c>
      <c r="I3351" s="6">
        <v>11298</v>
      </c>
      <c r="J3351" s="6">
        <f>VLOOKUP(Table1[[#This Row],[Province]],[1]Sheet1!$A$3:$K$37,10,FALSE)</f>
        <v>1181000</v>
      </c>
      <c r="K3351">
        <v>1</v>
      </c>
      <c r="L3351" s="4">
        <v>0.69993700000000003</v>
      </c>
      <c r="M3351" s="4">
        <v>122.446724</v>
      </c>
      <c r="N3351" s="6"/>
      <c r="P3351"/>
      <c r="Q3351" s="12"/>
      <c r="R3351" s="12"/>
    </row>
    <row r="3352" spans="1:18" x14ac:dyDescent="0.2">
      <c r="A3352">
        <v>29</v>
      </c>
      <c r="B3352" t="s">
        <v>6</v>
      </c>
      <c r="C3352">
        <v>2014</v>
      </c>
      <c r="D3352">
        <v>7</v>
      </c>
      <c r="E3352" s="4">
        <v>625</v>
      </c>
      <c r="F3352" s="9">
        <v>0</v>
      </c>
      <c r="G3352" s="6">
        <v>990</v>
      </c>
      <c r="H3352" s="9">
        <f t="shared" si="52"/>
        <v>625</v>
      </c>
      <c r="I3352" s="6">
        <v>11456</v>
      </c>
      <c r="J3352" s="6">
        <f>VLOOKUP(Table1[[#This Row],[Province]],[1]Sheet1!$A$3:$K$37,10,FALSE)</f>
        <v>1181000</v>
      </c>
      <c r="K3352">
        <v>0</v>
      </c>
      <c r="L3352" s="4">
        <v>0.69993700000000003</v>
      </c>
      <c r="M3352" s="4">
        <v>122.446724</v>
      </c>
      <c r="N3352" s="6"/>
      <c r="P3352"/>
      <c r="Q3352" s="12"/>
      <c r="R3352" s="12"/>
    </row>
    <row r="3353" spans="1:18" x14ac:dyDescent="0.2">
      <c r="A3353">
        <v>29</v>
      </c>
      <c r="B3353" t="s">
        <v>6</v>
      </c>
      <c r="C3353">
        <v>2014</v>
      </c>
      <c r="D3353">
        <v>8</v>
      </c>
      <c r="E3353" s="4">
        <v>1450</v>
      </c>
      <c r="F3353" s="9">
        <v>0</v>
      </c>
      <c r="G3353" s="6">
        <v>954</v>
      </c>
      <c r="H3353" s="9">
        <f t="shared" si="52"/>
        <v>1450</v>
      </c>
      <c r="I3353" s="6">
        <v>11038</v>
      </c>
      <c r="J3353" s="6">
        <f>VLOOKUP(Table1[[#This Row],[Province]],[1]Sheet1!$A$3:$K$37,10,FALSE)</f>
        <v>1181000</v>
      </c>
      <c r="K3353">
        <v>0</v>
      </c>
      <c r="L3353" s="4">
        <v>0.69993700000000003</v>
      </c>
      <c r="M3353" s="4">
        <v>122.446724</v>
      </c>
      <c r="N3353" s="6"/>
      <c r="P3353"/>
      <c r="Q3353" s="12"/>
      <c r="R3353" s="12"/>
    </row>
    <row r="3354" spans="1:18" x14ac:dyDescent="0.2">
      <c r="A3354">
        <v>29</v>
      </c>
      <c r="B3354" t="s">
        <v>6</v>
      </c>
      <c r="C3354">
        <v>2014</v>
      </c>
      <c r="D3354">
        <v>9</v>
      </c>
      <c r="E3354" s="4">
        <v>1240</v>
      </c>
      <c r="F3354" s="9">
        <v>0</v>
      </c>
      <c r="G3354" s="6">
        <v>960</v>
      </c>
      <c r="H3354" s="9">
        <f t="shared" si="52"/>
        <v>1240</v>
      </c>
      <c r="I3354" s="6">
        <v>11500</v>
      </c>
      <c r="J3354" s="6">
        <f>VLOOKUP(Table1[[#This Row],[Province]],[1]Sheet1!$A$3:$K$37,10,FALSE)</f>
        <v>1181000</v>
      </c>
      <c r="K3354">
        <v>0</v>
      </c>
      <c r="L3354" s="4">
        <v>0.69993700000000003</v>
      </c>
      <c r="M3354" s="4">
        <v>122.446724</v>
      </c>
      <c r="N3354" s="6"/>
      <c r="P3354"/>
      <c r="Q3354" s="12"/>
      <c r="R3354" s="12"/>
    </row>
    <row r="3355" spans="1:18" x14ac:dyDescent="0.2">
      <c r="A3355">
        <v>29</v>
      </c>
      <c r="B3355" t="s">
        <v>6</v>
      </c>
      <c r="C3355">
        <v>2014</v>
      </c>
      <c r="D3355">
        <v>10</v>
      </c>
      <c r="E3355" s="4">
        <v>26272</v>
      </c>
      <c r="F3355" s="9">
        <v>0</v>
      </c>
      <c r="G3355" s="6">
        <v>1424</v>
      </c>
      <c r="H3355" s="9">
        <f t="shared" si="52"/>
        <v>26272</v>
      </c>
      <c r="I3355" s="6">
        <v>11500</v>
      </c>
      <c r="J3355" s="6">
        <f>VLOOKUP(Table1[[#This Row],[Province]],[1]Sheet1!$A$3:$K$37,10,FALSE)</f>
        <v>1181000</v>
      </c>
      <c r="K3355">
        <v>0</v>
      </c>
      <c r="L3355" s="4">
        <v>0.69993700000000003</v>
      </c>
      <c r="M3355" s="4">
        <v>122.446724</v>
      </c>
      <c r="N3355" s="6"/>
      <c r="P3355"/>
      <c r="Q3355" s="12"/>
      <c r="R3355" s="12"/>
    </row>
    <row r="3356" spans="1:18" x14ac:dyDescent="0.2">
      <c r="A3356">
        <v>29</v>
      </c>
      <c r="B3356" t="s">
        <v>6</v>
      </c>
      <c r="C3356">
        <v>2014</v>
      </c>
      <c r="D3356">
        <v>11</v>
      </c>
      <c r="E3356" s="4">
        <v>5007</v>
      </c>
      <c r="F3356" s="9">
        <v>0</v>
      </c>
      <c r="G3356" s="6">
        <v>1137</v>
      </c>
      <c r="H3356" s="9">
        <f t="shared" si="52"/>
        <v>5007</v>
      </c>
      <c r="I3356" s="6">
        <v>11500</v>
      </c>
      <c r="J3356" s="6">
        <f>VLOOKUP(Table1[[#This Row],[Province]],[1]Sheet1!$A$3:$K$37,10,FALSE)</f>
        <v>1181000</v>
      </c>
      <c r="K3356">
        <v>0</v>
      </c>
      <c r="L3356" s="4">
        <v>0.69993700000000003</v>
      </c>
      <c r="M3356" s="4">
        <v>122.446724</v>
      </c>
      <c r="N3356" s="6"/>
      <c r="P3356"/>
      <c r="Q3356" s="12"/>
      <c r="R3356" s="12"/>
    </row>
    <row r="3357" spans="1:18" x14ac:dyDescent="0.2">
      <c r="A3357">
        <v>29</v>
      </c>
      <c r="B3357" t="s">
        <v>6</v>
      </c>
      <c r="C3357">
        <v>2014</v>
      </c>
      <c r="D3357">
        <v>12</v>
      </c>
      <c r="E3357" s="4">
        <v>2972</v>
      </c>
      <c r="F3357" s="9">
        <v>0</v>
      </c>
      <c r="G3357" s="6">
        <v>1325</v>
      </c>
      <c r="H3357" s="9">
        <f t="shared" si="52"/>
        <v>2972</v>
      </c>
      <c r="I3357" s="6">
        <v>11500</v>
      </c>
      <c r="J3357" s="6">
        <f>VLOOKUP(Table1[[#This Row],[Province]],[1]Sheet1!$A$3:$K$37,10,FALSE)</f>
        <v>1181000</v>
      </c>
      <c r="K3357">
        <v>1</v>
      </c>
      <c r="L3357" s="4">
        <v>0.69993700000000003</v>
      </c>
      <c r="M3357" s="4">
        <v>122.446724</v>
      </c>
      <c r="N3357" s="6"/>
      <c r="P3357"/>
      <c r="Q3357" s="12"/>
      <c r="R3357" s="12"/>
    </row>
    <row r="3358" spans="1:18" x14ac:dyDescent="0.2">
      <c r="A3358">
        <v>29</v>
      </c>
      <c r="B3358" t="s">
        <v>6</v>
      </c>
      <c r="C3358">
        <v>2015</v>
      </c>
      <c r="D3358">
        <v>1</v>
      </c>
      <c r="E3358" s="4">
        <v>0</v>
      </c>
      <c r="F3358" s="9">
        <v>0</v>
      </c>
      <c r="G3358" s="6">
        <v>651</v>
      </c>
      <c r="H3358" s="9">
        <f t="shared" si="52"/>
        <v>0</v>
      </c>
      <c r="I3358" s="6">
        <v>11500</v>
      </c>
      <c r="J3358" s="6">
        <f>VLOOKUP(Table1[[#This Row],[Province]],[1]Sheet1!$A$3:$K$37,10,FALSE)</f>
        <v>1181000</v>
      </c>
      <c r="K3358">
        <v>0</v>
      </c>
      <c r="L3358" s="4">
        <v>0.69993700000000003</v>
      </c>
      <c r="M3358" s="4">
        <v>122.446724</v>
      </c>
      <c r="N3358" s="6"/>
      <c r="P3358"/>
      <c r="Q3358" s="12"/>
      <c r="R3358" s="12"/>
    </row>
    <row r="3359" spans="1:18" x14ac:dyDescent="0.2">
      <c r="A3359">
        <v>29</v>
      </c>
      <c r="B3359" t="s">
        <v>6</v>
      </c>
      <c r="C3359">
        <v>2015</v>
      </c>
      <c r="D3359">
        <v>2</v>
      </c>
      <c r="E3359" s="4">
        <v>0</v>
      </c>
      <c r="F3359" s="9">
        <v>0</v>
      </c>
      <c r="G3359" s="6">
        <v>1643</v>
      </c>
      <c r="H3359" s="9">
        <f t="shared" si="52"/>
        <v>0</v>
      </c>
      <c r="I3359" s="6">
        <v>11500</v>
      </c>
      <c r="J3359" s="6">
        <f>VLOOKUP(Table1[[#This Row],[Province]],[1]Sheet1!$A$3:$K$37,10,FALSE)</f>
        <v>1181000</v>
      </c>
      <c r="K3359">
        <v>0</v>
      </c>
      <c r="L3359" s="4">
        <v>0.69993700000000003</v>
      </c>
      <c r="M3359" s="4">
        <v>122.446724</v>
      </c>
      <c r="N3359" s="6"/>
      <c r="P3359"/>
      <c r="Q3359" s="12"/>
      <c r="R3359" s="12"/>
    </row>
    <row r="3360" spans="1:18" x14ac:dyDescent="0.2">
      <c r="A3360">
        <v>29</v>
      </c>
      <c r="B3360" t="s">
        <v>6</v>
      </c>
      <c r="C3360">
        <v>2015</v>
      </c>
      <c r="D3360">
        <v>3</v>
      </c>
      <c r="E3360" s="4">
        <v>0</v>
      </c>
      <c r="F3360" s="9">
        <v>0</v>
      </c>
      <c r="G3360" s="6">
        <v>745</v>
      </c>
      <c r="H3360" s="9">
        <f t="shared" si="52"/>
        <v>0</v>
      </c>
      <c r="I3360" s="6">
        <v>11614</v>
      </c>
      <c r="J3360" s="6">
        <f>VLOOKUP(Table1[[#This Row],[Province]],[1]Sheet1!$A$3:$K$37,10,FALSE)</f>
        <v>1181000</v>
      </c>
      <c r="K3360">
        <v>0</v>
      </c>
      <c r="L3360" s="4">
        <v>0.69993700000000003</v>
      </c>
      <c r="M3360" s="4">
        <v>122.446724</v>
      </c>
      <c r="N3360" s="6"/>
      <c r="P3360"/>
      <c r="Q3360" s="12"/>
      <c r="R3360" s="12"/>
    </row>
    <row r="3361" spans="1:18" x14ac:dyDescent="0.2">
      <c r="A3361">
        <v>29</v>
      </c>
      <c r="B3361" t="s">
        <v>6</v>
      </c>
      <c r="C3361">
        <v>2015</v>
      </c>
      <c r="D3361">
        <v>4</v>
      </c>
      <c r="E3361" s="4">
        <v>3442</v>
      </c>
      <c r="F3361" s="9">
        <v>0</v>
      </c>
      <c r="G3361" s="6">
        <v>1235</v>
      </c>
      <c r="H3361" s="9">
        <f t="shared" si="52"/>
        <v>3442</v>
      </c>
      <c r="I3361" s="6">
        <v>12036</v>
      </c>
      <c r="J3361" s="6">
        <f>VLOOKUP(Table1[[#This Row],[Province]],[1]Sheet1!$A$3:$K$37,10,FALSE)</f>
        <v>1181000</v>
      </c>
      <c r="K3361">
        <v>0</v>
      </c>
      <c r="L3361" s="4">
        <v>0.69993700000000003</v>
      </c>
      <c r="M3361" s="4">
        <v>122.446724</v>
      </c>
      <c r="N3361" s="6"/>
      <c r="P3361"/>
      <c r="Q3361" s="12"/>
      <c r="R3361" s="12"/>
    </row>
    <row r="3362" spans="1:18" x14ac:dyDescent="0.2">
      <c r="A3362">
        <v>29</v>
      </c>
      <c r="B3362" t="s">
        <v>6</v>
      </c>
      <c r="C3362">
        <v>2015</v>
      </c>
      <c r="D3362">
        <v>5</v>
      </c>
      <c r="E3362" s="4">
        <v>9627</v>
      </c>
      <c r="F3362" s="9">
        <v>0</v>
      </c>
      <c r="G3362" s="6">
        <v>1183</v>
      </c>
      <c r="H3362" s="9">
        <f t="shared" si="52"/>
        <v>9627</v>
      </c>
      <c r="I3362" s="6">
        <v>12474</v>
      </c>
      <c r="J3362" s="6">
        <f>VLOOKUP(Table1[[#This Row],[Province]],[1]Sheet1!$A$3:$K$37,10,FALSE)</f>
        <v>1181000</v>
      </c>
      <c r="K3362">
        <v>0</v>
      </c>
      <c r="L3362" s="4">
        <v>0.69993700000000003</v>
      </c>
      <c r="M3362" s="4">
        <v>122.446724</v>
      </c>
      <c r="N3362" s="6"/>
      <c r="P3362"/>
      <c r="Q3362" s="12"/>
      <c r="R3362" s="12"/>
    </row>
    <row r="3363" spans="1:18" x14ac:dyDescent="0.2">
      <c r="A3363">
        <v>29</v>
      </c>
      <c r="B3363" t="s">
        <v>6</v>
      </c>
      <c r="C3363">
        <v>2015</v>
      </c>
      <c r="D3363">
        <v>6</v>
      </c>
      <c r="E3363" s="4">
        <v>8069</v>
      </c>
      <c r="F3363" s="9">
        <v>0</v>
      </c>
      <c r="G3363" s="6">
        <v>1345</v>
      </c>
      <c r="H3363" s="9">
        <f t="shared" si="52"/>
        <v>8069</v>
      </c>
      <c r="I3363" s="6">
        <v>13333</v>
      </c>
      <c r="J3363" s="6">
        <f>VLOOKUP(Table1[[#This Row],[Province]],[1]Sheet1!$A$3:$K$37,10,FALSE)</f>
        <v>1181000</v>
      </c>
      <c r="K3363">
        <v>1</v>
      </c>
      <c r="L3363" s="4">
        <v>0.69993700000000003</v>
      </c>
      <c r="M3363" s="4">
        <v>122.446724</v>
      </c>
      <c r="N3363" s="6"/>
      <c r="P3363"/>
      <c r="Q3363" s="12"/>
      <c r="R3363" s="12"/>
    </row>
    <row r="3364" spans="1:18" x14ac:dyDescent="0.2">
      <c r="A3364">
        <v>29</v>
      </c>
      <c r="B3364" t="s">
        <v>6</v>
      </c>
      <c r="C3364">
        <v>2015</v>
      </c>
      <c r="D3364">
        <v>7</v>
      </c>
      <c r="E3364" s="4">
        <v>5219</v>
      </c>
      <c r="F3364" s="9">
        <v>0</v>
      </c>
      <c r="G3364" s="6">
        <v>918</v>
      </c>
      <c r="H3364" s="9">
        <f t="shared" si="52"/>
        <v>5219</v>
      </c>
      <c r="I3364" s="6">
        <v>13329</v>
      </c>
      <c r="J3364" s="6">
        <f>VLOOKUP(Table1[[#This Row],[Province]],[1]Sheet1!$A$3:$K$37,10,FALSE)</f>
        <v>1181000</v>
      </c>
      <c r="K3364">
        <v>0</v>
      </c>
      <c r="L3364" s="4">
        <v>0.69993700000000003</v>
      </c>
      <c r="M3364" s="4">
        <v>122.446724</v>
      </c>
      <c r="N3364" s="6"/>
      <c r="P3364"/>
      <c r="Q3364" s="12"/>
      <c r="R3364" s="12"/>
    </row>
    <row r="3365" spans="1:18" x14ac:dyDescent="0.2">
      <c r="A3365">
        <v>29</v>
      </c>
      <c r="B3365" t="s">
        <v>6</v>
      </c>
      <c r="C3365">
        <v>2015</v>
      </c>
      <c r="D3365">
        <v>8</v>
      </c>
      <c r="E3365" s="4">
        <v>12105</v>
      </c>
      <c r="F3365" s="9">
        <v>0</v>
      </c>
      <c r="G3365" s="6">
        <v>909</v>
      </c>
      <c r="H3365" s="9">
        <f t="shared" si="52"/>
        <v>12105</v>
      </c>
      <c r="I3365" s="6">
        <v>13000</v>
      </c>
      <c r="J3365" s="6">
        <f>VLOOKUP(Table1[[#This Row],[Province]],[1]Sheet1!$A$3:$K$37,10,FALSE)</f>
        <v>1181000</v>
      </c>
      <c r="K3365">
        <v>0</v>
      </c>
      <c r="L3365" s="4">
        <v>0.69993700000000003</v>
      </c>
      <c r="M3365" s="4">
        <v>122.446724</v>
      </c>
      <c r="N3365" s="6"/>
      <c r="P3365"/>
      <c r="Q3365" s="12"/>
      <c r="R3365" s="12"/>
    </row>
    <row r="3366" spans="1:18" x14ac:dyDescent="0.2">
      <c r="A3366">
        <v>29</v>
      </c>
      <c r="B3366" t="s">
        <v>6</v>
      </c>
      <c r="C3366">
        <v>2015</v>
      </c>
      <c r="D3366">
        <v>9</v>
      </c>
      <c r="E3366" s="4">
        <v>10686</v>
      </c>
      <c r="F3366" s="9">
        <v>0</v>
      </c>
      <c r="G3366" s="6">
        <v>1219</v>
      </c>
      <c r="H3366" s="9">
        <f t="shared" si="52"/>
        <v>10686</v>
      </c>
      <c r="I3366" s="6">
        <v>13000</v>
      </c>
      <c r="J3366" s="6">
        <f>VLOOKUP(Table1[[#This Row],[Province]],[1]Sheet1!$A$3:$K$37,10,FALSE)</f>
        <v>1181000</v>
      </c>
      <c r="K3366">
        <v>0</v>
      </c>
      <c r="L3366" s="4">
        <v>0.69993700000000003</v>
      </c>
      <c r="M3366" s="4">
        <v>122.446724</v>
      </c>
      <c r="N3366" s="6"/>
      <c r="P3366"/>
      <c r="Q3366" s="12"/>
      <c r="R3366" s="12"/>
    </row>
    <row r="3367" spans="1:18" x14ac:dyDescent="0.2">
      <c r="A3367">
        <v>29</v>
      </c>
      <c r="B3367" t="s">
        <v>6</v>
      </c>
      <c r="C3367">
        <v>2015</v>
      </c>
      <c r="D3367">
        <v>10</v>
      </c>
      <c r="E3367" s="4">
        <v>0</v>
      </c>
      <c r="F3367" s="9">
        <v>0</v>
      </c>
      <c r="G3367" s="6">
        <v>813</v>
      </c>
      <c r="H3367" s="9">
        <f t="shared" si="52"/>
        <v>0</v>
      </c>
      <c r="I3367" s="6">
        <v>13000</v>
      </c>
      <c r="J3367" s="6">
        <f>VLOOKUP(Table1[[#This Row],[Province]],[1]Sheet1!$A$3:$K$37,10,FALSE)</f>
        <v>1181000</v>
      </c>
      <c r="K3367">
        <v>0</v>
      </c>
      <c r="L3367" s="4">
        <v>0.69993700000000003</v>
      </c>
      <c r="M3367" s="4">
        <v>122.446724</v>
      </c>
      <c r="N3367" s="6"/>
      <c r="P3367"/>
      <c r="Q3367" s="12"/>
      <c r="R3367" s="12"/>
    </row>
    <row r="3368" spans="1:18" x14ac:dyDescent="0.2">
      <c r="A3368">
        <v>29</v>
      </c>
      <c r="B3368" t="s">
        <v>6</v>
      </c>
      <c r="C3368">
        <v>2015</v>
      </c>
      <c r="D3368">
        <v>11</v>
      </c>
      <c r="E3368" s="4">
        <v>0</v>
      </c>
      <c r="F3368" s="9">
        <v>0</v>
      </c>
      <c r="G3368" s="6">
        <v>1072</v>
      </c>
      <c r="H3368" s="9">
        <f t="shared" si="52"/>
        <v>0</v>
      </c>
      <c r="I3368" s="6">
        <v>13000</v>
      </c>
      <c r="J3368" s="6">
        <f>VLOOKUP(Table1[[#This Row],[Province]],[1]Sheet1!$A$3:$K$37,10,FALSE)</f>
        <v>1181000</v>
      </c>
      <c r="K3368">
        <v>0</v>
      </c>
      <c r="L3368" s="4">
        <v>0.69993700000000003</v>
      </c>
      <c r="M3368" s="4">
        <v>122.446724</v>
      </c>
      <c r="N3368" s="6"/>
      <c r="P3368"/>
      <c r="Q3368" s="12"/>
      <c r="R3368" s="12"/>
    </row>
    <row r="3369" spans="1:18" x14ac:dyDescent="0.2">
      <c r="A3369">
        <v>29</v>
      </c>
      <c r="B3369" t="s">
        <v>6</v>
      </c>
      <c r="C3369">
        <v>2015</v>
      </c>
      <c r="D3369">
        <v>12</v>
      </c>
      <c r="E3369" s="4">
        <v>0</v>
      </c>
      <c r="F3369" s="9">
        <v>0</v>
      </c>
      <c r="G3369" s="6">
        <v>1149</v>
      </c>
      <c r="H3369" s="9">
        <f t="shared" si="52"/>
        <v>0</v>
      </c>
      <c r="I3369" s="6">
        <v>13000</v>
      </c>
      <c r="J3369" s="6">
        <f>VLOOKUP(Table1[[#This Row],[Province]],[1]Sheet1!$A$3:$K$37,10,FALSE)</f>
        <v>1181000</v>
      </c>
      <c r="K3369">
        <v>1</v>
      </c>
      <c r="L3369" s="4">
        <v>0.69993700000000003</v>
      </c>
      <c r="M3369" s="4">
        <v>122.446724</v>
      </c>
      <c r="N3369" s="6"/>
      <c r="P3369"/>
      <c r="Q3369" s="12"/>
      <c r="R3369" s="12"/>
    </row>
    <row r="3370" spans="1:18" x14ac:dyDescent="0.2">
      <c r="A3370">
        <v>29</v>
      </c>
      <c r="B3370" t="s">
        <v>6</v>
      </c>
      <c r="C3370">
        <v>2016</v>
      </c>
      <c r="D3370">
        <v>1</v>
      </c>
      <c r="E3370" s="4">
        <v>0</v>
      </c>
      <c r="F3370" s="9">
        <v>0</v>
      </c>
      <c r="G3370" s="6">
        <v>1261</v>
      </c>
      <c r="H3370" s="9">
        <f t="shared" si="52"/>
        <v>0</v>
      </c>
      <c r="I3370" s="6">
        <v>13025</v>
      </c>
      <c r="J3370" s="6">
        <f>VLOOKUP(Table1[[#This Row],[Province]],[1]Sheet1!$A$3:$K$37,10,FALSE)</f>
        <v>1181000</v>
      </c>
      <c r="K3370">
        <v>0</v>
      </c>
      <c r="L3370" s="4">
        <v>0.69993700000000003</v>
      </c>
      <c r="M3370" s="4">
        <v>122.446724</v>
      </c>
      <c r="N3370" s="13">
        <v>6.52</v>
      </c>
      <c r="P3370"/>
      <c r="Q3370" s="12"/>
      <c r="R3370" s="12"/>
    </row>
    <row r="3371" spans="1:18" x14ac:dyDescent="0.2">
      <c r="A3371">
        <v>29</v>
      </c>
      <c r="B3371" t="s">
        <v>6</v>
      </c>
      <c r="C3371">
        <v>2016</v>
      </c>
      <c r="D3371">
        <v>2</v>
      </c>
      <c r="E3371" s="4">
        <v>0</v>
      </c>
      <c r="F3371" s="9">
        <v>0</v>
      </c>
      <c r="G3371" s="6">
        <v>698</v>
      </c>
      <c r="H3371" s="9">
        <f t="shared" si="52"/>
        <v>0</v>
      </c>
      <c r="I3371" s="6">
        <v>13000</v>
      </c>
      <c r="J3371" s="6">
        <f>VLOOKUP(Table1[[#This Row],[Province]],[1]Sheet1!$A$3:$K$37,10,FALSE)</f>
        <v>1181000</v>
      </c>
      <c r="K3371">
        <v>0</v>
      </c>
      <c r="L3371" s="4">
        <v>0.69993700000000003</v>
      </c>
      <c r="M3371" s="4">
        <v>122.446724</v>
      </c>
      <c r="N3371" s="13">
        <v>6.52</v>
      </c>
      <c r="P3371"/>
      <c r="Q3371" s="12"/>
      <c r="R3371" s="12"/>
    </row>
    <row r="3372" spans="1:18" x14ac:dyDescent="0.2">
      <c r="A3372">
        <v>29</v>
      </c>
      <c r="B3372" t="s">
        <v>6</v>
      </c>
      <c r="C3372">
        <v>2016</v>
      </c>
      <c r="D3372">
        <v>3</v>
      </c>
      <c r="E3372" s="4">
        <v>0</v>
      </c>
      <c r="F3372" s="9">
        <v>0</v>
      </c>
      <c r="G3372" s="6">
        <v>1513</v>
      </c>
      <c r="H3372" s="9">
        <f t="shared" si="52"/>
        <v>0</v>
      </c>
      <c r="I3372" s="6">
        <v>13012</v>
      </c>
      <c r="J3372" s="6">
        <f>VLOOKUP(Table1[[#This Row],[Province]],[1]Sheet1!$A$3:$K$37,10,FALSE)</f>
        <v>1181000</v>
      </c>
      <c r="K3372">
        <v>0</v>
      </c>
      <c r="L3372" s="4">
        <v>0.69993700000000003</v>
      </c>
      <c r="M3372" s="4">
        <v>122.446724</v>
      </c>
      <c r="N3372" s="13">
        <v>6.52</v>
      </c>
      <c r="P3372"/>
      <c r="Q3372" s="12"/>
      <c r="R3372" s="12"/>
    </row>
    <row r="3373" spans="1:18" x14ac:dyDescent="0.2">
      <c r="A3373">
        <v>29</v>
      </c>
      <c r="B3373" t="s">
        <v>6</v>
      </c>
      <c r="C3373">
        <v>2016</v>
      </c>
      <c r="D3373">
        <v>4</v>
      </c>
      <c r="E3373" s="4">
        <v>8736</v>
      </c>
      <c r="F3373" s="9">
        <v>0</v>
      </c>
      <c r="G3373" s="6">
        <v>565</v>
      </c>
      <c r="H3373" s="9">
        <f t="shared" si="52"/>
        <v>8736</v>
      </c>
      <c r="I3373" s="6">
        <v>13000</v>
      </c>
      <c r="J3373" s="6">
        <f>VLOOKUP(Table1[[#This Row],[Province]],[1]Sheet1!$A$3:$K$37,10,FALSE)</f>
        <v>1181000</v>
      </c>
      <c r="K3373">
        <v>0</v>
      </c>
      <c r="L3373" s="4">
        <v>0.69993700000000003</v>
      </c>
      <c r="M3373" s="4">
        <v>122.446724</v>
      </c>
      <c r="N3373" s="13">
        <v>6.52</v>
      </c>
      <c r="P3373"/>
      <c r="Q3373" s="12"/>
      <c r="R3373" s="12"/>
    </row>
    <row r="3374" spans="1:18" x14ac:dyDescent="0.2">
      <c r="A3374">
        <v>29</v>
      </c>
      <c r="B3374" t="s">
        <v>6</v>
      </c>
      <c r="C3374">
        <v>2016</v>
      </c>
      <c r="D3374">
        <v>5</v>
      </c>
      <c r="E3374" s="4">
        <v>5793</v>
      </c>
      <c r="F3374" s="9">
        <v>0</v>
      </c>
      <c r="G3374" s="6">
        <v>1205</v>
      </c>
      <c r="H3374" s="9">
        <f t="shared" si="52"/>
        <v>5793</v>
      </c>
      <c r="I3374" s="6">
        <v>14000</v>
      </c>
      <c r="J3374" s="6">
        <f>VLOOKUP(Table1[[#This Row],[Province]],[1]Sheet1!$A$3:$K$37,10,FALSE)</f>
        <v>1181000</v>
      </c>
      <c r="K3374">
        <v>0</v>
      </c>
      <c r="L3374" s="4">
        <v>0.69993700000000003</v>
      </c>
      <c r="M3374" s="4">
        <v>122.446724</v>
      </c>
      <c r="N3374" s="13">
        <v>6.52</v>
      </c>
      <c r="P3374"/>
      <c r="Q3374" s="12"/>
      <c r="R3374" s="12"/>
    </row>
    <row r="3375" spans="1:18" x14ac:dyDescent="0.2">
      <c r="A3375">
        <v>29</v>
      </c>
      <c r="B3375" t="s">
        <v>6</v>
      </c>
      <c r="C3375">
        <v>2016</v>
      </c>
      <c r="D3375">
        <v>6</v>
      </c>
      <c r="E3375" s="4">
        <v>0</v>
      </c>
      <c r="F3375" s="9">
        <v>0</v>
      </c>
      <c r="G3375" s="6">
        <v>1170</v>
      </c>
      <c r="H3375" s="9">
        <f t="shared" si="52"/>
        <v>0</v>
      </c>
      <c r="I3375" s="6">
        <v>16668</v>
      </c>
      <c r="J3375" s="6">
        <f>VLOOKUP(Table1[[#This Row],[Province]],[1]Sheet1!$A$3:$K$37,10,FALSE)</f>
        <v>1181000</v>
      </c>
      <c r="K3375">
        <v>1</v>
      </c>
      <c r="L3375" s="4">
        <v>0.69993700000000003</v>
      </c>
      <c r="M3375" s="4">
        <v>122.446724</v>
      </c>
      <c r="N3375" s="13">
        <v>6.52</v>
      </c>
      <c r="P3375"/>
      <c r="Q3375" s="12"/>
      <c r="R3375" s="12"/>
    </row>
    <row r="3376" spans="1:18" x14ac:dyDescent="0.2">
      <c r="A3376">
        <v>29</v>
      </c>
      <c r="B3376" t="s">
        <v>6</v>
      </c>
      <c r="C3376">
        <v>2016</v>
      </c>
      <c r="D3376">
        <v>7</v>
      </c>
      <c r="E3376" s="4">
        <v>3015</v>
      </c>
      <c r="F3376" s="9">
        <v>0</v>
      </c>
      <c r="G3376" s="6">
        <v>1116</v>
      </c>
      <c r="H3376" s="9">
        <f t="shared" si="52"/>
        <v>3015</v>
      </c>
      <c r="I3376" s="6">
        <v>16875</v>
      </c>
      <c r="J3376" s="6">
        <f>VLOOKUP(Table1[[#This Row],[Province]],[1]Sheet1!$A$3:$K$37,10,FALSE)</f>
        <v>1181000</v>
      </c>
      <c r="K3376">
        <v>0</v>
      </c>
      <c r="L3376" s="4">
        <v>0.69993700000000003</v>
      </c>
      <c r="M3376" s="4">
        <v>122.446724</v>
      </c>
      <c r="N3376" s="13">
        <v>6.52</v>
      </c>
      <c r="P3376"/>
      <c r="Q3376" s="12"/>
      <c r="R3376" s="12"/>
    </row>
    <row r="3377" spans="1:18" x14ac:dyDescent="0.2">
      <c r="A3377">
        <v>29</v>
      </c>
      <c r="B3377" t="s">
        <v>6</v>
      </c>
      <c r="C3377">
        <v>2016</v>
      </c>
      <c r="D3377">
        <v>8</v>
      </c>
      <c r="E3377" s="4">
        <v>7839</v>
      </c>
      <c r="F3377" s="9">
        <v>0</v>
      </c>
      <c r="G3377" s="6">
        <v>1103</v>
      </c>
      <c r="H3377" s="9">
        <f t="shared" si="52"/>
        <v>7839</v>
      </c>
      <c r="I3377" s="6">
        <v>16116</v>
      </c>
      <c r="J3377" s="6">
        <f>VLOOKUP(Table1[[#This Row],[Province]],[1]Sheet1!$A$3:$K$37,10,FALSE)</f>
        <v>1181000</v>
      </c>
      <c r="K3377">
        <v>0</v>
      </c>
      <c r="L3377" s="4">
        <v>0.69993700000000003</v>
      </c>
      <c r="M3377" s="4">
        <v>122.446724</v>
      </c>
      <c r="N3377" s="13">
        <v>6.52</v>
      </c>
      <c r="P3377"/>
      <c r="Q3377" s="12"/>
      <c r="R3377" s="12"/>
    </row>
    <row r="3378" spans="1:18" x14ac:dyDescent="0.2">
      <c r="A3378">
        <v>29</v>
      </c>
      <c r="B3378" t="s">
        <v>6</v>
      </c>
      <c r="C3378">
        <v>2016</v>
      </c>
      <c r="D3378">
        <v>9</v>
      </c>
      <c r="E3378" s="4">
        <v>5266</v>
      </c>
      <c r="F3378" s="9">
        <v>0</v>
      </c>
      <c r="G3378" s="6">
        <v>426</v>
      </c>
      <c r="H3378" s="9">
        <f t="shared" si="52"/>
        <v>5266</v>
      </c>
      <c r="I3378" s="6">
        <v>15698</v>
      </c>
      <c r="J3378" s="6">
        <f>VLOOKUP(Table1[[#This Row],[Province]],[1]Sheet1!$A$3:$K$37,10,FALSE)</f>
        <v>1181000</v>
      </c>
      <c r="K3378">
        <v>0</v>
      </c>
      <c r="L3378" s="4">
        <v>0.69993700000000003</v>
      </c>
      <c r="M3378" s="4">
        <v>122.446724</v>
      </c>
      <c r="N3378" s="13">
        <v>6.52</v>
      </c>
      <c r="P3378"/>
      <c r="Q3378" s="12"/>
      <c r="R3378" s="12"/>
    </row>
    <row r="3379" spans="1:18" x14ac:dyDescent="0.2">
      <c r="A3379">
        <v>29</v>
      </c>
      <c r="B3379" t="s">
        <v>6</v>
      </c>
      <c r="C3379">
        <v>2016</v>
      </c>
      <c r="D3379">
        <v>10</v>
      </c>
      <c r="E3379" s="4">
        <v>1281</v>
      </c>
      <c r="F3379" s="9">
        <v>0</v>
      </c>
      <c r="G3379" s="6">
        <v>1862</v>
      </c>
      <c r="H3379" s="9">
        <f t="shared" si="52"/>
        <v>1281</v>
      </c>
      <c r="I3379" s="6">
        <v>14633</v>
      </c>
      <c r="J3379" s="6">
        <f>VLOOKUP(Table1[[#This Row],[Province]],[1]Sheet1!$A$3:$K$37,10,FALSE)</f>
        <v>1181000</v>
      </c>
      <c r="K3379">
        <v>0</v>
      </c>
      <c r="L3379" s="4">
        <v>0.69993700000000003</v>
      </c>
      <c r="M3379" s="4">
        <v>122.446724</v>
      </c>
      <c r="N3379" s="13">
        <v>6.52</v>
      </c>
      <c r="P3379"/>
      <c r="Q3379" s="12"/>
      <c r="R3379" s="12"/>
    </row>
    <row r="3380" spans="1:18" x14ac:dyDescent="0.2">
      <c r="A3380">
        <v>29</v>
      </c>
      <c r="B3380" t="s">
        <v>6</v>
      </c>
      <c r="C3380">
        <v>2016</v>
      </c>
      <c r="D3380">
        <v>11</v>
      </c>
      <c r="E3380" s="4">
        <v>0</v>
      </c>
      <c r="F3380" s="9">
        <v>0</v>
      </c>
      <c r="G3380" s="6">
        <v>527</v>
      </c>
      <c r="H3380" s="9">
        <f t="shared" si="52"/>
        <v>0</v>
      </c>
      <c r="I3380" s="6">
        <v>14205</v>
      </c>
      <c r="J3380" s="6">
        <f>VLOOKUP(Table1[[#This Row],[Province]],[1]Sheet1!$A$3:$K$37,10,FALSE)</f>
        <v>1181000</v>
      </c>
      <c r="K3380">
        <v>0</v>
      </c>
      <c r="L3380" s="4">
        <v>0.69993700000000003</v>
      </c>
      <c r="M3380" s="4">
        <v>122.446724</v>
      </c>
      <c r="N3380" s="13">
        <v>6.52</v>
      </c>
      <c r="P3380"/>
      <c r="Q3380" s="12"/>
      <c r="R3380" s="12"/>
    </row>
    <row r="3381" spans="1:18" x14ac:dyDescent="0.2">
      <c r="A3381">
        <v>29</v>
      </c>
      <c r="B3381" t="s">
        <v>6</v>
      </c>
      <c r="C3381">
        <v>2016</v>
      </c>
      <c r="D3381">
        <v>12</v>
      </c>
      <c r="E3381" s="4">
        <v>0</v>
      </c>
      <c r="F3381" s="9">
        <v>0</v>
      </c>
      <c r="G3381" s="6">
        <v>528</v>
      </c>
      <c r="H3381" s="9">
        <f t="shared" si="52"/>
        <v>0</v>
      </c>
      <c r="I3381" s="6">
        <v>13925</v>
      </c>
      <c r="J3381" s="6">
        <f>VLOOKUP(Table1[[#This Row],[Province]],[1]Sheet1!$A$3:$K$37,10,FALSE)</f>
        <v>1181000</v>
      </c>
      <c r="K3381">
        <v>1</v>
      </c>
      <c r="L3381" s="4">
        <v>0.69993700000000003</v>
      </c>
      <c r="M3381" s="4">
        <v>122.446724</v>
      </c>
      <c r="N3381" s="13">
        <v>6.52</v>
      </c>
      <c r="P3381"/>
      <c r="Q3381" s="12"/>
      <c r="R3381" s="12"/>
    </row>
    <row r="3382" spans="1:18" x14ac:dyDescent="0.2">
      <c r="A3382">
        <v>29</v>
      </c>
      <c r="B3382" t="s">
        <v>6</v>
      </c>
      <c r="C3382">
        <v>2017</v>
      </c>
      <c r="D3382">
        <v>1</v>
      </c>
      <c r="E3382" s="4">
        <v>0</v>
      </c>
      <c r="F3382" s="9">
        <v>0</v>
      </c>
      <c r="G3382" s="6">
        <v>1069</v>
      </c>
      <c r="H3382" s="9">
        <f t="shared" si="52"/>
        <v>0</v>
      </c>
      <c r="I3382" s="6">
        <v>14000</v>
      </c>
      <c r="J3382" s="6">
        <f>VLOOKUP(Table1[[#This Row],[Province]],[1]Sheet1!$A$3:$K$37,10,FALSE)</f>
        <v>1181000</v>
      </c>
      <c r="K3382">
        <v>0</v>
      </c>
      <c r="L3382" s="4">
        <v>0.69993700000000003</v>
      </c>
      <c r="M3382" s="4">
        <v>122.446724</v>
      </c>
      <c r="N3382" s="13">
        <v>6.73</v>
      </c>
      <c r="P3382"/>
      <c r="Q3382" s="12"/>
      <c r="R3382" s="12"/>
    </row>
    <row r="3383" spans="1:18" x14ac:dyDescent="0.2">
      <c r="A3383">
        <v>29</v>
      </c>
      <c r="B3383" t="s">
        <v>6</v>
      </c>
      <c r="C3383">
        <v>2017</v>
      </c>
      <c r="D3383">
        <v>2</v>
      </c>
      <c r="E3383" s="4">
        <v>0</v>
      </c>
      <c r="F3383" s="9">
        <v>0</v>
      </c>
      <c r="G3383" s="6">
        <v>614</v>
      </c>
      <c r="H3383" s="9">
        <f t="shared" si="52"/>
        <v>0</v>
      </c>
      <c r="I3383" s="6">
        <v>14000</v>
      </c>
      <c r="J3383" s="6">
        <f>VLOOKUP(Table1[[#This Row],[Province]],[1]Sheet1!$A$3:$K$37,10,FALSE)</f>
        <v>1181000</v>
      </c>
      <c r="K3383">
        <v>0</v>
      </c>
      <c r="L3383" s="4">
        <v>0.69993700000000003</v>
      </c>
      <c r="M3383" s="4">
        <v>122.446724</v>
      </c>
      <c r="N3383" s="13">
        <v>6.73</v>
      </c>
      <c r="P3383"/>
      <c r="Q3383" s="12"/>
      <c r="R3383" s="12"/>
    </row>
    <row r="3384" spans="1:18" x14ac:dyDescent="0.2">
      <c r="A3384">
        <v>29</v>
      </c>
      <c r="B3384" t="s">
        <v>6</v>
      </c>
      <c r="C3384">
        <v>2017</v>
      </c>
      <c r="D3384">
        <v>3</v>
      </c>
      <c r="E3384" s="4">
        <v>2473</v>
      </c>
      <c r="F3384" s="9">
        <v>0</v>
      </c>
      <c r="G3384" s="6">
        <v>480</v>
      </c>
      <c r="H3384" s="9">
        <f t="shared" si="52"/>
        <v>2473</v>
      </c>
      <c r="I3384" s="6">
        <v>13991</v>
      </c>
      <c r="J3384" s="6">
        <f>VLOOKUP(Table1[[#This Row],[Province]],[1]Sheet1!$A$3:$K$37,10,FALSE)</f>
        <v>1181000</v>
      </c>
      <c r="K3384">
        <v>0</v>
      </c>
      <c r="L3384" s="4">
        <v>0.69993700000000003</v>
      </c>
      <c r="M3384" s="4">
        <v>122.446724</v>
      </c>
      <c r="N3384" s="13">
        <v>6.73</v>
      </c>
      <c r="P3384"/>
      <c r="Q3384" s="12"/>
      <c r="R3384" s="12"/>
    </row>
    <row r="3385" spans="1:18" x14ac:dyDescent="0.2">
      <c r="A3385">
        <v>29</v>
      </c>
      <c r="B3385" t="s">
        <v>6</v>
      </c>
      <c r="C3385">
        <v>2017</v>
      </c>
      <c r="D3385">
        <v>4</v>
      </c>
      <c r="E3385" s="4">
        <v>7639</v>
      </c>
      <c r="F3385" s="9">
        <v>0</v>
      </c>
      <c r="G3385" s="6">
        <v>343</v>
      </c>
      <c r="H3385" s="9">
        <f t="shared" si="52"/>
        <v>7639</v>
      </c>
      <c r="I3385" s="6">
        <v>13518</v>
      </c>
      <c r="J3385" s="6">
        <f>VLOOKUP(Table1[[#This Row],[Province]],[1]Sheet1!$A$3:$K$37,10,FALSE)</f>
        <v>1181000</v>
      </c>
      <c r="K3385">
        <v>0</v>
      </c>
      <c r="L3385" s="4">
        <v>0.69993700000000003</v>
      </c>
      <c r="M3385" s="4">
        <v>122.446724</v>
      </c>
      <c r="N3385" s="13">
        <v>6.73</v>
      </c>
      <c r="P3385"/>
      <c r="Q3385" s="12"/>
      <c r="R3385" s="12"/>
    </row>
    <row r="3386" spans="1:18" x14ac:dyDescent="0.2">
      <c r="A3386">
        <v>29</v>
      </c>
      <c r="B3386" t="s">
        <v>6</v>
      </c>
      <c r="C3386">
        <v>2017</v>
      </c>
      <c r="D3386">
        <v>5</v>
      </c>
      <c r="E3386" s="4">
        <v>6874</v>
      </c>
      <c r="F3386" s="9">
        <v>0</v>
      </c>
      <c r="G3386" s="6">
        <v>330</v>
      </c>
      <c r="H3386" s="9">
        <f t="shared" si="52"/>
        <v>6874</v>
      </c>
      <c r="I3386" s="6">
        <v>13420</v>
      </c>
      <c r="J3386" s="6">
        <f>VLOOKUP(Table1[[#This Row],[Province]],[1]Sheet1!$A$3:$K$37,10,FALSE)</f>
        <v>1181000</v>
      </c>
      <c r="K3386">
        <v>1</v>
      </c>
      <c r="L3386" s="4">
        <v>0.69993700000000003</v>
      </c>
      <c r="M3386" s="4">
        <v>122.446724</v>
      </c>
      <c r="N3386" s="13">
        <v>6.73</v>
      </c>
      <c r="P3386"/>
      <c r="Q3386" s="12"/>
      <c r="R3386" s="12"/>
    </row>
    <row r="3387" spans="1:18" x14ac:dyDescent="0.2">
      <c r="A3387">
        <v>29</v>
      </c>
      <c r="B3387" t="s">
        <v>6</v>
      </c>
      <c r="C3387">
        <v>2017</v>
      </c>
      <c r="D3387">
        <v>6</v>
      </c>
      <c r="E3387" s="4">
        <v>6101</v>
      </c>
      <c r="F3387" s="9">
        <v>0</v>
      </c>
      <c r="G3387" s="6">
        <v>611</v>
      </c>
      <c r="H3387" s="9">
        <f t="shared" si="52"/>
        <v>6101</v>
      </c>
      <c r="I3387" s="6">
        <v>13500</v>
      </c>
      <c r="J3387" s="6">
        <f>VLOOKUP(Table1[[#This Row],[Province]],[1]Sheet1!$A$3:$K$37,10,FALSE)</f>
        <v>1181000</v>
      </c>
      <c r="K3387">
        <v>0</v>
      </c>
      <c r="L3387" s="4">
        <v>0.69993700000000003</v>
      </c>
      <c r="M3387" s="4">
        <v>122.446724</v>
      </c>
      <c r="N3387" s="13">
        <v>6.73</v>
      </c>
      <c r="P3387"/>
      <c r="Q3387" s="12"/>
      <c r="R3387" s="12"/>
    </row>
    <row r="3388" spans="1:18" x14ac:dyDescent="0.2">
      <c r="A3388">
        <v>29</v>
      </c>
      <c r="B3388" t="s">
        <v>6</v>
      </c>
      <c r="C3388">
        <v>2017</v>
      </c>
      <c r="D3388">
        <v>7</v>
      </c>
      <c r="E3388" s="4">
        <v>7363</v>
      </c>
      <c r="F3388" s="9">
        <v>0</v>
      </c>
      <c r="G3388" s="6">
        <v>680</v>
      </c>
      <c r="H3388" s="9">
        <f t="shared" si="52"/>
        <v>7363</v>
      </c>
      <c r="I3388" s="6">
        <v>13410</v>
      </c>
      <c r="J3388" s="6">
        <f>VLOOKUP(Table1[[#This Row],[Province]],[1]Sheet1!$A$3:$K$37,10,FALSE)</f>
        <v>1181000</v>
      </c>
      <c r="K3388">
        <v>0</v>
      </c>
      <c r="L3388" s="4">
        <v>0.69993700000000003</v>
      </c>
      <c r="M3388" s="4">
        <v>122.446724</v>
      </c>
      <c r="N3388" s="13">
        <v>6.73</v>
      </c>
      <c r="P3388"/>
      <c r="Q3388" s="12"/>
      <c r="R3388" s="12"/>
    </row>
    <row r="3389" spans="1:18" x14ac:dyDescent="0.2">
      <c r="A3389">
        <v>29</v>
      </c>
      <c r="B3389" t="s">
        <v>6</v>
      </c>
      <c r="C3389">
        <v>2017</v>
      </c>
      <c r="D3389">
        <v>8</v>
      </c>
      <c r="E3389" s="4">
        <v>9319</v>
      </c>
      <c r="F3389" s="9">
        <v>0</v>
      </c>
      <c r="G3389" s="6">
        <v>1304</v>
      </c>
      <c r="H3389" s="9">
        <f t="shared" si="52"/>
        <v>9319</v>
      </c>
      <c r="I3389" s="6">
        <v>13000</v>
      </c>
      <c r="J3389" s="6">
        <f>VLOOKUP(Table1[[#This Row],[Province]],[1]Sheet1!$A$3:$K$37,10,FALSE)</f>
        <v>1181000</v>
      </c>
      <c r="K3389">
        <v>0</v>
      </c>
      <c r="L3389" s="4">
        <v>0.69993700000000003</v>
      </c>
      <c r="M3389" s="4">
        <v>122.446724</v>
      </c>
      <c r="N3389" s="13">
        <v>6.73</v>
      </c>
      <c r="P3389"/>
      <c r="Q3389" s="12"/>
      <c r="R3389" s="12"/>
    </row>
    <row r="3390" spans="1:18" x14ac:dyDescent="0.2">
      <c r="A3390">
        <v>29</v>
      </c>
      <c r="B3390" t="s">
        <v>6</v>
      </c>
      <c r="C3390">
        <v>2017</v>
      </c>
      <c r="D3390">
        <v>9</v>
      </c>
      <c r="E3390" s="4">
        <v>7475</v>
      </c>
      <c r="F3390" s="9">
        <v>0</v>
      </c>
      <c r="G3390" s="6">
        <v>1264</v>
      </c>
      <c r="H3390" s="9">
        <f t="shared" si="52"/>
        <v>7475</v>
      </c>
      <c r="I3390" s="6">
        <v>13000</v>
      </c>
      <c r="J3390" s="6">
        <f>VLOOKUP(Table1[[#This Row],[Province]],[1]Sheet1!$A$3:$K$37,10,FALSE)</f>
        <v>1181000</v>
      </c>
      <c r="K3390">
        <v>0</v>
      </c>
      <c r="L3390" s="4">
        <v>0.69993700000000003</v>
      </c>
      <c r="M3390" s="4">
        <v>122.446724</v>
      </c>
      <c r="N3390" s="13">
        <v>6.73</v>
      </c>
      <c r="P3390"/>
      <c r="Q3390" s="12"/>
      <c r="R3390" s="12"/>
    </row>
    <row r="3391" spans="1:18" x14ac:dyDescent="0.2">
      <c r="A3391">
        <v>29</v>
      </c>
      <c r="B3391" t="s">
        <v>6</v>
      </c>
      <c r="C3391">
        <v>2017</v>
      </c>
      <c r="D3391">
        <v>10</v>
      </c>
      <c r="E3391" s="4">
        <v>5547</v>
      </c>
      <c r="F3391" s="9">
        <v>0</v>
      </c>
      <c r="G3391" s="6">
        <v>1640</v>
      </c>
      <c r="H3391" s="9">
        <f t="shared" si="52"/>
        <v>5547</v>
      </c>
      <c r="I3391" s="6">
        <v>13000</v>
      </c>
      <c r="J3391" s="6">
        <f>VLOOKUP(Table1[[#This Row],[Province]],[1]Sheet1!$A$3:$K$37,10,FALSE)</f>
        <v>1181000</v>
      </c>
      <c r="K3391">
        <v>0</v>
      </c>
      <c r="L3391" s="4">
        <v>0.69993700000000003</v>
      </c>
      <c r="M3391" s="4">
        <v>122.446724</v>
      </c>
      <c r="N3391" s="13">
        <v>6.73</v>
      </c>
      <c r="P3391"/>
      <c r="Q3391" s="12"/>
      <c r="R3391" s="12"/>
    </row>
    <row r="3392" spans="1:18" x14ac:dyDescent="0.2">
      <c r="A3392">
        <v>29</v>
      </c>
      <c r="B3392" t="s">
        <v>6</v>
      </c>
      <c r="C3392">
        <v>2017</v>
      </c>
      <c r="D3392">
        <v>11</v>
      </c>
      <c r="E3392" s="4">
        <v>0</v>
      </c>
      <c r="F3392" s="9">
        <v>0</v>
      </c>
      <c r="G3392" s="6">
        <v>429</v>
      </c>
      <c r="H3392" s="9">
        <f t="shared" si="52"/>
        <v>0</v>
      </c>
      <c r="I3392" s="6">
        <v>13000</v>
      </c>
      <c r="J3392" s="6">
        <f>VLOOKUP(Table1[[#This Row],[Province]],[1]Sheet1!$A$3:$K$37,10,FALSE)</f>
        <v>1181000</v>
      </c>
      <c r="K3392">
        <v>0</v>
      </c>
      <c r="L3392" s="4">
        <v>0.69993700000000003</v>
      </c>
      <c r="M3392" s="4">
        <v>122.446724</v>
      </c>
      <c r="N3392" s="13">
        <v>6.73</v>
      </c>
      <c r="P3392"/>
      <c r="Q3392" s="12"/>
      <c r="R3392" s="12"/>
    </row>
    <row r="3393" spans="1:18" x14ac:dyDescent="0.2">
      <c r="A3393">
        <v>29</v>
      </c>
      <c r="B3393" t="s">
        <v>6</v>
      </c>
      <c r="C3393">
        <v>2017</v>
      </c>
      <c r="D3393">
        <v>12</v>
      </c>
      <c r="E3393" s="4">
        <v>0</v>
      </c>
      <c r="F3393" s="9">
        <v>0</v>
      </c>
      <c r="G3393" s="6">
        <v>798</v>
      </c>
      <c r="H3393" s="9">
        <f t="shared" si="52"/>
        <v>0</v>
      </c>
      <c r="I3393" s="6">
        <v>13000</v>
      </c>
      <c r="J3393" s="6">
        <f>VLOOKUP(Table1[[#This Row],[Province]],[1]Sheet1!$A$3:$K$37,10,FALSE)</f>
        <v>1181000</v>
      </c>
      <c r="K3393">
        <v>1</v>
      </c>
      <c r="L3393" s="4">
        <v>0.69993700000000003</v>
      </c>
      <c r="M3393" s="4">
        <v>122.446724</v>
      </c>
      <c r="N3393" s="13">
        <v>6.73</v>
      </c>
      <c r="P3393"/>
      <c r="Q3393" s="12"/>
      <c r="R3393" s="12"/>
    </row>
    <row r="3394" spans="1:18" x14ac:dyDescent="0.2">
      <c r="A3394">
        <v>29</v>
      </c>
      <c r="B3394" t="s">
        <v>6</v>
      </c>
      <c r="C3394">
        <v>2018</v>
      </c>
      <c r="D3394">
        <v>1</v>
      </c>
      <c r="E3394" s="4">
        <v>0</v>
      </c>
      <c r="F3394" s="9">
        <v>0</v>
      </c>
      <c r="G3394" s="6">
        <v>1466</v>
      </c>
      <c r="H3394" s="9">
        <f t="shared" ref="H3394:H3457" si="53">F3394+E3394</f>
        <v>0</v>
      </c>
      <c r="I3394" s="6">
        <v>12500</v>
      </c>
      <c r="J3394" s="6">
        <f>VLOOKUP(Table1[[#This Row],[Province]],[1]Sheet1!$A$3:$K$37,10,FALSE)</f>
        <v>1181000</v>
      </c>
      <c r="K3394">
        <v>0</v>
      </c>
      <c r="L3394" s="4">
        <v>0.69993700000000003</v>
      </c>
      <c r="M3394" s="4">
        <v>122.446724</v>
      </c>
      <c r="N3394" s="13">
        <v>6.49</v>
      </c>
      <c r="P3394"/>
      <c r="Q3394" s="12"/>
      <c r="R3394" s="12"/>
    </row>
    <row r="3395" spans="1:18" x14ac:dyDescent="0.2">
      <c r="A3395">
        <v>29</v>
      </c>
      <c r="B3395" t="s">
        <v>6</v>
      </c>
      <c r="C3395">
        <v>2018</v>
      </c>
      <c r="D3395">
        <v>2</v>
      </c>
      <c r="E3395" s="4">
        <v>0</v>
      </c>
      <c r="F3395" s="9">
        <v>0</v>
      </c>
      <c r="G3395" s="6">
        <v>1548</v>
      </c>
      <c r="H3395" s="9">
        <f t="shared" si="53"/>
        <v>0</v>
      </c>
      <c r="I3395" s="6">
        <v>12500</v>
      </c>
      <c r="J3395" s="6">
        <f>VLOOKUP(Table1[[#This Row],[Province]],[1]Sheet1!$A$3:$K$37,10,FALSE)</f>
        <v>1181000</v>
      </c>
      <c r="K3395">
        <v>0</v>
      </c>
      <c r="L3395" s="4">
        <v>0.69993700000000003</v>
      </c>
      <c r="M3395" s="4">
        <v>122.446724</v>
      </c>
      <c r="N3395" s="13">
        <v>6.49</v>
      </c>
      <c r="P3395"/>
      <c r="Q3395" s="12"/>
      <c r="R3395" s="12"/>
    </row>
    <row r="3396" spans="1:18" x14ac:dyDescent="0.2">
      <c r="A3396">
        <v>29</v>
      </c>
      <c r="B3396" t="s">
        <v>6</v>
      </c>
      <c r="C3396">
        <v>2018</v>
      </c>
      <c r="D3396">
        <v>3</v>
      </c>
      <c r="E3396" s="4">
        <v>0</v>
      </c>
      <c r="F3396" s="9">
        <v>0</v>
      </c>
      <c r="G3396" s="6">
        <v>749</v>
      </c>
      <c r="H3396" s="9">
        <f t="shared" si="53"/>
        <v>0</v>
      </c>
      <c r="I3396" s="6">
        <v>12512</v>
      </c>
      <c r="J3396" s="6">
        <f>VLOOKUP(Table1[[#This Row],[Province]],[1]Sheet1!$A$3:$K$37,10,FALSE)</f>
        <v>1181000</v>
      </c>
      <c r="K3396">
        <v>0</v>
      </c>
      <c r="L3396" s="4">
        <v>0.69993700000000003</v>
      </c>
      <c r="M3396" s="4">
        <v>122.446724</v>
      </c>
      <c r="N3396" s="13">
        <v>6.49</v>
      </c>
      <c r="P3396"/>
      <c r="Q3396" s="12"/>
      <c r="R3396" s="12"/>
    </row>
    <row r="3397" spans="1:18" x14ac:dyDescent="0.2">
      <c r="A3397">
        <v>29</v>
      </c>
      <c r="B3397" t="s">
        <v>6</v>
      </c>
      <c r="C3397">
        <v>2018</v>
      </c>
      <c r="D3397">
        <v>4</v>
      </c>
      <c r="E3397" s="4">
        <v>8446</v>
      </c>
      <c r="F3397" s="9">
        <v>0</v>
      </c>
      <c r="G3397" s="6">
        <v>881</v>
      </c>
      <c r="H3397" s="9">
        <f t="shared" si="53"/>
        <v>8446</v>
      </c>
      <c r="I3397" s="6">
        <v>12464</v>
      </c>
      <c r="J3397" s="6">
        <f>VLOOKUP(Table1[[#This Row],[Province]],[1]Sheet1!$A$3:$K$37,10,FALSE)</f>
        <v>1181000</v>
      </c>
      <c r="K3397">
        <v>0</v>
      </c>
      <c r="L3397" s="4">
        <v>0.69993700000000003</v>
      </c>
      <c r="M3397" s="4">
        <v>122.446724</v>
      </c>
      <c r="N3397" s="13">
        <v>6.49</v>
      </c>
      <c r="P3397"/>
      <c r="Q3397" s="12"/>
      <c r="R3397" s="12"/>
    </row>
    <row r="3398" spans="1:18" x14ac:dyDescent="0.2">
      <c r="A3398">
        <v>29</v>
      </c>
      <c r="B3398" t="s">
        <v>6</v>
      </c>
      <c r="C3398">
        <v>2018</v>
      </c>
      <c r="D3398">
        <v>5</v>
      </c>
      <c r="E3398" s="4">
        <v>0</v>
      </c>
      <c r="F3398" s="9">
        <v>0</v>
      </c>
      <c r="G3398" s="6">
        <v>998</v>
      </c>
      <c r="H3398" s="9">
        <f t="shared" si="53"/>
        <v>0</v>
      </c>
      <c r="I3398" s="6">
        <v>14400</v>
      </c>
      <c r="J3398" s="6">
        <f>VLOOKUP(Table1[[#This Row],[Province]],[1]Sheet1!$A$3:$K$37,10,FALSE)</f>
        <v>1181000</v>
      </c>
      <c r="K3398">
        <v>1</v>
      </c>
      <c r="L3398" s="4">
        <v>0.69993700000000003</v>
      </c>
      <c r="M3398" s="4">
        <v>122.446724</v>
      </c>
      <c r="N3398" s="13">
        <v>6.49</v>
      </c>
      <c r="P3398"/>
      <c r="Q3398" s="12"/>
      <c r="R3398" s="12"/>
    </row>
    <row r="3399" spans="1:18" x14ac:dyDescent="0.2">
      <c r="A3399">
        <v>29</v>
      </c>
      <c r="B3399" t="s">
        <v>6</v>
      </c>
      <c r="C3399">
        <v>2018</v>
      </c>
      <c r="D3399">
        <v>5</v>
      </c>
      <c r="E3399" s="4">
        <v>7122</v>
      </c>
      <c r="F3399" s="9">
        <v>0</v>
      </c>
      <c r="G3399" s="6">
        <v>1232</v>
      </c>
      <c r="H3399" s="9">
        <f t="shared" si="53"/>
        <v>7122</v>
      </c>
      <c r="I3399" s="6">
        <v>13000</v>
      </c>
      <c r="J3399" s="6">
        <f>VLOOKUP(Table1[[#This Row],[Province]],[1]Sheet1!$A$3:$K$37,10,FALSE)</f>
        <v>1181000</v>
      </c>
      <c r="K3399">
        <v>1</v>
      </c>
      <c r="L3399" s="4">
        <v>0.69993700000000003</v>
      </c>
      <c r="M3399" s="4">
        <v>122.446724</v>
      </c>
      <c r="N3399" s="13">
        <v>6.49</v>
      </c>
      <c r="P3399"/>
      <c r="Q3399" s="12"/>
      <c r="R3399" s="12"/>
    </row>
    <row r="3400" spans="1:18" x14ac:dyDescent="0.2">
      <c r="A3400">
        <v>29</v>
      </c>
      <c r="B3400" t="s">
        <v>6</v>
      </c>
      <c r="C3400">
        <v>2018</v>
      </c>
      <c r="D3400">
        <v>6</v>
      </c>
      <c r="E3400" s="4">
        <v>6293</v>
      </c>
      <c r="F3400" s="9">
        <v>0</v>
      </c>
      <c r="G3400" s="6">
        <v>1090</v>
      </c>
      <c r="H3400" s="9">
        <f t="shared" si="53"/>
        <v>6293</v>
      </c>
      <c r="I3400" s="6">
        <v>13000</v>
      </c>
      <c r="J3400" s="6">
        <f>VLOOKUP(Table1[[#This Row],[Province]],[1]Sheet1!$A$3:$K$37,10,FALSE)</f>
        <v>1181000</v>
      </c>
      <c r="K3400">
        <v>0</v>
      </c>
      <c r="L3400" s="4">
        <v>0.69993700000000003</v>
      </c>
      <c r="M3400" s="4">
        <v>122.446724</v>
      </c>
      <c r="N3400" s="13">
        <v>6.49</v>
      </c>
      <c r="P3400"/>
      <c r="Q3400" s="12"/>
      <c r="R3400" s="12"/>
    </row>
    <row r="3401" spans="1:18" x14ac:dyDescent="0.2">
      <c r="A3401">
        <v>29</v>
      </c>
      <c r="B3401" t="s">
        <v>6</v>
      </c>
      <c r="C3401">
        <v>2018</v>
      </c>
      <c r="D3401">
        <v>7</v>
      </c>
      <c r="E3401" s="4">
        <v>7375</v>
      </c>
      <c r="F3401" s="9">
        <v>0</v>
      </c>
      <c r="G3401" s="6">
        <v>680</v>
      </c>
      <c r="H3401" s="9">
        <f t="shared" si="53"/>
        <v>7375</v>
      </c>
      <c r="I3401" s="6">
        <v>13000</v>
      </c>
      <c r="J3401" s="6">
        <f>VLOOKUP(Table1[[#This Row],[Province]],[1]Sheet1!$A$3:$K$37,10,FALSE)</f>
        <v>1181000</v>
      </c>
      <c r="K3401">
        <v>0</v>
      </c>
      <c r="L3401" s="4">
        <v>0.69993700000000003</v>
      </c>
      <c r="M3401" s="4">
        <v>122.446724</v>
      </c>
      <c r="N3401" s="13">
        <v>6.49</v>
      </c>
      <c r="P3401"/>
      <c r="Q3401" s="12"/>
      <c r="R3401" s="12"/>
    </row>
    <row r="3402" spans="1:18" x14ac:dyDescent="0.2">
      <c r="A3402">
        <v>29</v>
      </c>
      <c r="B3402" t="s">
        <v>6</v>
      </c>
      <c r="C3402">
        <v>2018</v>
      </c>
      <c r="D3402">
        <v>8</v>
      </c>
      <c r="E3402" s="4">
        <v>9565</v>
      </c>
      <c r="F3402" s="9">
        <v>0</v>
      </c>
      <c r="G3402" s="6">
        <v>788</v>
      </c>
      <c r="H3402" s="9">
        <f t="shared" si="53"/>
        <v>9565</v>
      </c>
      <c r="I3402" s="6">
        <v>13000</v>
      </c>
      <c r="J3402" s="6">
        <f>VLOOKUP(Table1[[#This Row],[Province]],[1]Sheet1!$A$3:$K$37,10,FALSE)</f>
        <v>1181000</v>
      </c>
      <c r="K3402">
        <v>0</v>
      </c>
      <c r="L3402" s="4">
        <v>0.69993700000000003</v>
      </c>
      <c r="M3402" s="4">
        <v>122.446724</v>
      </c>
      <c r="N3402" s="13">
        <v>6.49</v>
      </c>
      <c r="P3402"/>
      <c r="Q3402" s="12"/>
      <c r="R3402" s="12"/>
    </row>
    <row r="3403" spans="1:18" x14ac:dyDescent="0.2">
      <c r="A3403">
        <v>29</v>
      </c>
      <c r="B3403" t="s">
        <v>6</v>
      </c>
      <c r="C3403">
        <v>2018</v>
      </c>
      <c r="D3403">
        <v>9</v>
      </c>
      <c r="E3403" s="4">
        <v>8001</v>
      </c>
      <c r="F3403" s="9">
        <v>0</v>
      </c>
      <c r="G3403" s="6">
        <v>642</v>
      </c>
      <c r="H3403" s="9">
        <f t="shared" si="53"/>
        <v>8001</v>
      </c>
      <c r="I3403" s="6">
        <v>13000</v>
      </c>
      <c r="J3403" s="6">
        <f>VLOOKUP(Table1[[#This Row],[Province]],[1]Sheet1!$A$3:$K$37,10,FALSE)</f>
        <v>1181000</v>
      </c>
      <c r="K3403">
        <v>0</v>
      </c>
      <c r="L3403" s="4">
        <v>0.69993700000000003</v>
      </c>
      <c r="M3403" s="4">
        <v>122.446724</v>
      </c>
      <c r="N3403" s="13">
        <v>6.49</v>
      </c>
      <c r="P3403"/>
      <c r="Q3403" s="12"/>
      <c r="R3403" s="12"/>
    </row>
    <row r="3404" spans="1:18" x14ac:dyDescent="0.2">
      <c r="A3404">
        <v>29</v>
      </c>
      <c r="B3404" t="s">
        <v>6</v>
      </c>
      <c r="C3404">
        <v>2018</v>
      </c>
      <c r="D3404">
        <v>11</v>
      </c>
      <c r="E3404" s="4">
        <v>0</v>
      </c>
      <c r="F3404" s="9">
        <v>0</v>
      </c>
      <c r="G3404" s="6">
        <v>836</v>
      </c>
      <c r="H3404" s="9">
        <f t="shared" si="53"/>
        <v>0</v>
      </c>
      <c r="I3404" s="6">
        <v>12036</v>
      </c>
      <c r="J3404" s="6">
        <f>VLOOKUP(Table1[[#This Row],[Province]],[1]Sheet1!$A$3:$K$37,10,FALSE)</f>
        <v>1181000</v>
      </c>
      <c r="K3404">
        <v>0</v>
      </c>
      <c r="L3404" s="4">
        <v>0.69993700000000003</v>
      </c>
      <c r="M3404" s="4">
        <v>122.446724</v>
      </c>
      <c r="N3404" s="13">
        <v>6.49</v>
      </c>
      <c r="P3404"/>
      <c r="Q3404" s="12"/>
      <c r="R3404" s="12"/>
    </row>
    <row r="3405" spans="1:18" x14ac:dyDescent="0.2">
      <c r="A3405">
        <v>29</v>
      </c>
      <c r="B3405" t="s">
        <v>6</v>
      </c>
      <c r="C3405">
        <v>2018</v>
      </c>
      <c r="D3405">
        <v>12</v>
      </c>
      <c r="E3405" s="4">
        <v>0</v>
      </c>
      <c r="F3405" s="9">
        <v>0</v>
      </c>
      <c r="G3405" s="6">
        <v>617</v>
      </c>
      <c r="H3405" s="9">
        <f t="shared" si="53"/>
        <v>0</v>
      </c>
      <c r="I3405" s="6">
        <v>9645</v>
      </c>
      <c r="J3405" s="6">
        <f>VLOOKUP(Table1[[#This Row],[Province]],[1]Sheet1!$A$3:$K$37,10,FALSE)</f>
        <v>1181000</v>
      </c>
      <c r="K3405">
        <v>1</v>
      </c>
      <c r="L3405" s="4">
        <v>0.69993700000000003</v>
      </c>
      <c r="M3405" s="4">
        <v>122.446724</v>
      </c>
      <c r="N3405" s="13">
        <v>6.49</v>
      </c>
      <c r="P3405"/>
      <c r="Q3405" s="12"/>
      <c r="R3405" s="12"/>
    </row>
    <row r="3406" spans="1:18" x14ac:dyDescent="0.2">
      <c r="A3406">
        <v>29</v>
      </c>
      <c r="B3406" t="s">
        <v>6</v>
      </c>
      <c r="C3406">
        <v>2019</v>
      </c>
      <c r="D3406">
        <v>1</v>
      </c>
      <c r="E3406" s="4">
        <v>0</v>
      </c>
      <c r="F3406" s="9">
        <v>0</v>
      </c>
      <c r="G3406" s="6">
        <v>742</v>
      </c>
      <c r="H3406" s="9">
        <f t="shared" si="53"/>
        <v>0</v>
      </c>
      <c r="I3406" s="6">
        <v>11187</v>
      </c>
      <c r="J3406" s="6">
        <f>VLOOKUP(Table1[[#This Row],[Province]],[1]Sheet1!$A$3:$K$37,10,FALSE)</f>
        <v>1181000</v>
      </c>
      <c r="K3406">
        <v>0</v>
      </c>
      <c r="L3406" s="4">
        <v>0.69993700000000003</v>
      </c>
      <c r="M3406" s="4">
        <v>122.446724</v>
      </c>
      <c r="N3406" s="13">
        <v>6.4</v>
      </c>
      <c r="P3406"/>
      <c r="Q3406" s="12"/>
      <c r="R3406" s="12"/>
    </row>
    <row r="3407" spans="1:18" x14ac:dyDescent="0.2">
      <c r="A3407">
        <v>29</v>
      </c>
      <c r="B3407" t="s">
        <v>6</v>
      </c>
      <c r="C3407">
        <v>2019</v>
      </c>
      <c r="D3407">
        <v>2</v>
      </c>
      <c r="E3407" s="4">
        <v>3573</v>
      </c>
      <c r="F3407" s="9">
        <v>0</v>
      </c>
      <c r="G3407" s="6">
        <v>575</v>
      </c>
      <c r="H3407" s="9">
        <f t="shared" si="53"/>
        <v>3573</v>
      </c>
      <c r="I3407" s="6">
        <v>11883</v>
      </c>
      <c r="J3407" s="6">
        <f>VLOOKUP(Table1[[#This Row],[Province]],[1]Sheet1!$A$3:$K$37,10,FALSE)</f>
        <v>1181000</v>
      </c>
      <c r="K3407">
        <v>0</v>
      </c>
      <c r="L3407" s="4">
        <v>0.69993700000000003</v>
      </c>
      <c r="M3407" s="4">
        <v>122.446724</v>
      </c>
      <c r="N3407" s="13">
        <v>6.4</v>
      </c>
      <c r="P3407"/>
      <c r="Q3407" s="12"/>
      <c r="R3407" s="12"/>
    </row>
    <row r="3408" spans="1:18" x14ac:dyDescent="0.2">
      <c r="A3408">
        <v>29</v>
      </c>
      <c r="B3408" t="s">
        <v>6</v>
      </c>
      <c r="C3408">
        <v>2019</v>
      </c>
      <c r="D3408">
        <v>3</v>
      </c>
      <c r="E3408" s="4">
        <v>23395</v>
      </c>
      <c r="F3408" s="9">
        <v>0</v>
      </c>
      <c r="G3408" s="6">
        <v>110</v>
      </c>
      <c r="H3408" s="9">
        <f t="shared" si="53"/>
        <v>23395</v>
      </c>
      <c r="I3408" s="6">
        <v>12757</v>
      </c>
      <c r="J3408" s="6">
        <f>VLOOKUP(Table1[[#This Row],[Province]],[1]Sheet1!$A$3:$K$37,10,FALSE)</f>
        <v>1181000</v>
      </c>
      <c r="K3408">
        <v>0</v>
      </c>
      <c r="L3408" s="4">
        <v>0.69993700000000003</v>
      </c>
      <c r="M3408" s="4">
        <v>122.446724</v>
      </c>
      <c r="N3408" s="13">
        <v>6.4</v>
      </c>
      <c r="P3408"/>
      <c r="Q3408" s="12"/>
      <c r="R3408" s="12"/>
    </row>
    <row r="3409" spans="1:18" x14ac:dyDescent="0.2">
      <c r="A3409">
        <v>29</v>
      </c>
      <c r="B3409" t="s">
        <v>6</v>
      </c>
      <c r="C3409">
        <v>2019</v>
      </c>
      <c r="D3409">
        <v>4</v>
      </c>
      <c r="E3409" s="4">
        <v>13618</v>
      </c>
      <c r="F3409" s="9">
        <v>0</v>
      </c>
      <c r="G3409" s="6">
        <v>697</v>
      </c>
      <c r="H3409" s="9">
        <f t="shared" si="53"/>
        <v>13618</v>
      </c>
      <c r="I3409" s="6">
        <v>12757</v>
      </c>
      <c r="J3409" s="6">
        <f>VLOOKUP(Table1[[#This Row],[Province]],[1]Sheet1!$A$3:$K$37,10,FALSE)</f>
        <v>1181000</v>
      </c>
      <c r="K3409">
        <v>0</v>
      </c>
      <c r="L3409" s="4">
        <v>0.69993700000000003</v>
      </c>
      <c r="M3409" s="4">
        <v>122.446724</v>
      </c>
      <c r="N3409" s="13">
        <v>6.4</v>
      </c>
      <c r="P3409"/>
      <c r="Q3409" s="12"/>
      <c r="R3409" s="12"/>
    </row>
    <row r="3410" spans="1:18" x14ac:dyDescent="0.2">
      <c r="A3410">
        <v>29</v>
      </c>
      <c r="B3410" t="s">
        <v>6</v>
      </c>
      <c r="C3410">
        <v>2019</v>
      </c>
      <c r="D3410">
        <v>5</v>
      </c>
      <c r="E3410" s="4">
        <v>6710</v>
      </c>
      <c r="F3410" s="9">
        <v>0</v>
      </c>
      <c r="G3410" s="6">
        <v>977</v>
      </c>
      <c r="H3410" s="9">
        <f t="shared" si="53"/>
        <v>6710</v>
      </c>
      <c r="I3410" s="6">
        <v>12762</v>
      </c>
      <c r="J3410" s="6">
        <f>VLOOKUP(Table1[[#This Row],[Province]],[1]Sheet1!$A$3:$K$37,10,FALSE)</f>
        <v>1181000</v>
      </c>
      <c r="K3410">
        <v>1</v>
      </c>
      <c r="L3410" s="4">
        <v>0.69993700000000003</v>
      </c>
      <c r="M3410" s="4">
        <v>122.446724</v>
      </c>
      <c r="N3410" s="13">
        <v>6.4</v>
      </c>
      <c r="P3410"/>
      <c r="Q3410" s="12"/>
      <c r="R3410" s="12"/>
    </row>
    <row r="3411" spans="1:18" x14ac:dyDescent="0.2">
      <c r="A3411">
        <v>29</v>
      </c>
      <c r="B3411" t="s">
        <v>6</v>
      </c>
      <c r="C3411">
        <v>2019</v>
      </c>
      <c r="D3411">
        <v>6</v>
      </c>
      <c r="E3411" s="4">
        <v>3583</v>
      </c>
      <c r="F3411" s="9">
        <v>0</v>
      </c>
      <c r="G3411" s="6">
        <v>1428</v>
      </c>
      <c r="H3411" s="9">
        <f t="shared" si="53"/>
        <v>3583</v>
      </c>
      <c r="I3411" s="6">
        <v>12757</v>
      </c>
      <c r="J3411" s="6">
        <f>VLOOKUP(Table1[[#This Row],[Province]],[1]Sheet1!$A$3:$K$37,10,FALSE)</f>
        <v>1181000</v>
      </c>
      <c r="K3411">
        <v>0</v>
      </c>
      <c r="L3411" s="4">
        <v>0.69993700000000003</v>
      </c>
      <c r="M3411" s="4">
        <v>122.446724</v>
      </c>
      <c r="N3411" s="13">
        <v>6.4</v>
      </c>
      <c r="P3411"/>
      <c r="Q3411" s="12"/>
      <c r="R3411" s="12"/>
    </row>
    <row r="3412" spans="1:18" x14ac:dyDescent="0.2">
      <c r="A3412">
        <v>29</v>
      </c>
      <c r="B3412" t="s">
        <v>6</v>
      </c>
      <c r="C3412">
        <v>2019</v>
      </c>
      <c r="D3412">
        <v>7</v>
      </c>
      <c r="E3412" s="4">
        <v>1177</v>
      </c>
      <c r="F3412" s="9">
        <v>0</v>
      </c>
      <c r="G3412" s="6">
        <v>869</v>
      </c>
      <c r="H3412" s="9">
        <f t="shared" si="53"/>
        <v>1177</v>
      </c>
      <c r="I3412" s="6">
        <v>12762</v>
      </c>
      <c r="J3412" s="6">
        <f>VLOOKUP(Table1[[#This Row],[Province]],[1]Sheet1!$A$3:$K$37,10,FALSE)</f>
        <v>1181000</v>
      </c>
      <c r="K3412">
        <v>0</v>
      </c>
      <c r="L3412" s="4">
        <v>0.69993700000000003</v>
      </c>
      <c r="M3412" s="4">
        <v>122.446724</v>
      </c>
      <c r="N3412" s="13">
        <v>6.4</v>
      </c>
      <c r="P3412"/>
      <c r="Q3412" s="12"/>
      <c r="R3412" s="12"/>
    </row>
    <row r="3413" spans="1:18" x14ac:dyDescent="0.2">
      <c r="A3413">
        <v>29</v>
      </c>
      <c r="B3413" t="s">
        <v>6</v>
      </c>
      <c r="C3413">
        <v>2019</v>
      </c>
      <c r="D3413">
        <v>8</v>
      </c>
      <c r="E3413" s="4">
        <v>1503</v>
      </c>
      <c r="F3413" s="9">
        <v>0</v>
      </c>
      <c r="G3413" s="6">
        <v>869</v>
      </c>
      <c r="H3413" s="9">
        <f t="shared" si="53"/>
        <v>1503</v>
      </c>
      <c r="I3413" s="6">
        <v>12719</v>
      </c>
      <c r="J3413" s="6">
        <f>VLOOKUP(Table1[[#This Row],[Province]],[1]Sheet1!$A$3:$K$37,10,FALSE)</f>
        <v>1181000</v>
      </c>
      <c r="K3413">
        <v>0</v>
      </c>
      <c r="L3413" s="4">
        <v>0.69993700000000003</v>
      </c>
      <c r="M3413" s="4">
        <v>122.446724</v>
      </c>
      <c r="N3413" s="13">
        <v>6.4</v>
      </c>
      <c r="P3413"/>
      <c r="Q3413" s="12"/>
      <c r="R3413" s="12"/>
    </row>
    <row r="3414" spans="1:18" x14ac:dyDescent="0.2">
      <c r="A3414">
        <v>29</v>
      </c>
      <c r="B3414" t="s">
        <v>6</v>
      </c>
      <c r="C3414">
        <v>2019</v>
      </c>
      <c r="D3414">
        <v>9</v>
      </c>
      <c r="E3414" s="4">
        <v>520</v>
      </c>
      <c r="F3414" s="9">
        <v>0</v>
      </c>
      <c r="G3414" s="6">
        <v>661</v>
      </c>
      <c r="H3414" s="9">
        <f t="shared" si="53"/>
        <v>520</v>
      </c>
      <c r="I3414" s="6">
        <v>12719</v>
      </c>
      <c r="J3414" s="6">
        <f>VLOOKUP(Table1[[#This Row],[Province]],[1]Sheet1!$A$3:$K$37,10,FALSE)</f>
        <v>1181000</v>
      </c>
      <c r="K3414">
        <v>0</v>
      </c>
      <c r="L3414" s="4">
        <v>0.69993700000000003</v>
      </c>
      <c r="M3414" s="4">
        <v>122.446724</v>
      </c>
      <c r="N3414" s="13">
        <v>6.4</v>
      </c>
      <c r="P3414"/>
      <c r="Q3414" s="12"/>
      <c r="R3414" s="12"/>
    </row>
    <row r="3415" spans="1:18" x14ac:dyDescent="0.2">
      <c r="A3415">
        <v>29</v>
      </c>
      <c r="B3415" t="s">
        <v>6</v>
      </c>
      <c r="C3415">
        <v>2019</v>
      </c>
      <c r="D3415">
        <v>10</v>
      </c>
      <c r="E3415" s="4">
        <v>0</v>
      </c>
      <c r="F3415" s="9">
        <v>0</v>
      </c>
      <c r="G3415" s="6">
        <v>1045</v>
      </c>
      <c r="H3415" s="9">
        <f t="shared" si="53"/>
        <v>0</v>
      </c>
      <c r="I3415" s="6">
        <v>12725</v>
      </c>
      <c r="J3415" s="6">
        <f>VLOOKUP(Table1[[#This Row],[Province]],[1]Sheet1!$A$3:$K$37,10,FALSE)</f>
        <v>1181000</v>
      </c>
      <c r="K3415">
        <v>0</v>
      </c>
      <c r="L3415" s="4">
        <v>0.69993700000000003</v>
      </c>
      <c r="M3415" s="4">
        <v>122.446724</v>
      </c>
      <c r="N3415" s="13">
        <v>6.4</v>
      </c>
      <c r="P3415"/>
      <c r="Q3415" s="12"/>
      <c r="R3415" s="12"/>
    </row>
    <row r="3416" spans="1:18" x14ac:dyDescent="0.2">
      <c r="A3416">
        <v>29</v>
      </c>
      <c r="B3416" t="s">
        <v>6</v>
      </c>
      <c r="C3416">
        <v>2019</v>
      </c>
      <c r="D3416">
        <v>11</v>
      </c>
      <c r="E3416" s="4">
        <v>0</v>
      </c>
      <c r="F3416" s="9">
        <v>0</v>
      </c>
      <c r="G3416" s="6">
        <v>591</v>
      </c>
      <c r="H3416" s="9">
        <f t="shared" si="53"/>
        <v>0</v>
      </c>
      <c r="I3416" s="6">
        <v>12719</v>
      </c>
      <c r="J3416" s="6">
        <f>VLOOKUP(Table1[[#This Row],[Province]],[1]Sheet1!$A$3:$K$37,10,FALSE)</f>
        <v>1181000</v>
      </c>
      <c r="K3416">
        <v>0</v>
      </c>
      <c r="L3416" s="4">
        <v>0.69993700000000003</v>
      </c>
      <c r="M3416" s="4">
        <v>122.446724</v>
      </c>
      <c r="N3416" s="13">
        <v>6.4</v>
      </c>
      <c r="P3416"/>
      <c r="Q3416" s="12"/>
      <c r="R3416" s="12"/>
    </row>
    <row r="3417" spans="1:18" x14ac:dyDescent="0.2">
      <c r="A3417">
        <v>29</v>
      </c>
      <c r="B3417" t="s">
        <v>6</v>
      </c>
      <c r="C3417">
        <v>2019</v>
      </c>
      <c r="D3417">
        <v>12</v>
      </c>
      <c r="E3417" s="4">
        <v>0</v>
      </c>
      <c r="F3417" s="9">
        <v>0</v>
      </c>
      <c r="G3417" s="6">
        <v>723</v>
      </c>
      <c r="H3417" s="9">
        <f t="shared" si="53"/>
        <v>0</v>
      </c>
      <c r="I3417" s="6">
        <v>12719</v>
      </c>
      <c r="J3417" s="6">
        <f>VLOOKUP(Table1[[#This Row],[Province]],[1]Sheet1!$A$3:$K$37,10,FALSE)</f>
        <v>1181000</v>
      </c>
      <c r="K3417">
        <v>1</v>
      </c>
      <c r="L3417" s="4">
        <v>0.69993700000000003</v>
      </c>
      <c r="M3417" s="4">
        <v>122.446724</v>
      </c>
      <c r="N3417" s="13">
        <v>6.4</v>
      </c>
      <c r="P3417"/>
      <c r="Q3417" s="12"/>
      <c r="R3417" s="12"/>
    </row>
    <row r="3418" spans="1:18" x14ac:dyDescent="0.2">
      <c r="A3418">
        <v>29</v>
      </c>
      <c r="B3418" t="s">
        <v>6</v>
      </c>
      <c r="C3418">
        <v>2020</v>
      </c>
      <c r="D3418">
        <v>1</v>
      </c>
      <c r="E3418" s="4">
        <v>0</v>
      </c>
      <c r="F3418" s="9">
        <v>0</v>
      </c>
      <c r="G3418" s="6">
        <v>1128</v>
      </c>
      <c r="H3418" s="9">
        <f t="shared" si="53"/>
        <v>0</v>
      </c>
      <c r="I3418" s="6">
        <v>12725</v>
      </c>
      <c r="J3418" s="6">
        <f>VLOOKUP(Table1[[#This Row],[Province]],[1]Sheet1!$A$3:$K$37,10,FALSE)</f>
        <v>1181000</v>
      </c>
      <c r="K3418">
        <v>0</v>
      </c>
      <c r="L3418" s="4">
        <v>0.69993700000000003</v>
      </c>
      <c r="M3418" s="4">
        <v>122.446724</v>
      </c>
      <c r="N3418" s="13">
        <v>-0.02</v>
      </c>
      <c r="P3418"/>
      <c r="Q3418" s="12"/>
      <c r="R3418" s="12"/>
    </row>
    <row r="3419" spans="1:18" x14ac:dyDescent="0.2">
      <c r="A3419">
        <v>29</v>
      </c>
      <c r="B3419" t="s">
        <v>6</v>
      </c>
      <c r="C3419">
        <v>2020</v>
      </c>
      <c r="D3419">
        <v>2</v>
      </c>
      <c r="E3419" s="4">
        <v>400</v>
      </c>
      <c r="F3419" s="9">
        <v>0</v>
      </c>
      <c r="G3419" s="6">
        <v>631</v>
      </c>
      <c r="H3419" s="9">
        <f t="shared" si="53"/>
        <v>400</v>
      </c>
      <c r="I3419" s="6">
        <v>13892</v>
      </c>
      <c r="J3419" s="6">
        <f>VLOOKUP(Table1[[#This Row],[Province]],[1]Sheet1!$A$3:$K$37,10,FALSE)</f>
        <v>1181000</v>
      </c>
      <c r="K3419">
        <v>0</v>
      </c>
      <c r="L3419" s="4">
        <v>0.69993700000000003</v>
      </c>
      <c r="M3419" s="4">
        <v>122.446724</v>
      </c>
      <c r="N3419" s="13">
        <v>-0.02</v>
      </c>
      <c r="P3419"/>
      <c r="Q3419" s="12"/>
      <c r="R3419" s="12"/>
    </row>
    <row r="3420" spans="1:18" x14ac:dyDescent="0.2">
      <c r="A3420">
        <v>29</v>
      </c>
      <c r="B3420" t="s">
        <v>6</v>
      </c>
      <c r="C3420">
        <v>2020</v>
      </c>
      <c r="D3420">
        <v>3</v>
      </c>
      <c r="E3420" s="4">
        <v>12664</v>
      </c>
      <c r="F3420" s="9">
        <v>0</v>
      </c>
      <c r="G3420" s="6">
        <v>790</v>
      </c>
      <c r="H3420" s="9">
        <f t="shared" si="53"/>
        <v>12664</v>
      </c>
      <c r="I3420" s="6">
        <v>17905</v>
      </c>
      <c r="J3420" s="6">
        <f>VLOOKUP(Table1[[#This Row],[Province]],[1]Sheet1!$A$3:$K$37,10,FALSE)</f>
        <v>1181000</v>
      </c>
      <c r="K3420">
        <v>0</v>
      </c>
      <c r="L3420" s="4">
        <v>0.69993700000000003</v>
      </c>
      <c r="M3420" s="4">
        <v>122.446724</v>
      </c>
      <c r="N3420" s="13">
        <v>-0.02</v>
      </c>
      <c r="P3420"/>
      <c r="Q3420" s="12"/>
      <c r="R3420" s="12"/>
    </row>
    <row r="3421" spans="1:18" x14ac:dyDescent="0.2">
      <c r="A3421">
        <v>29</v>
      </c>
      <c r="B3421" t="s">
        <v>6</v>
      </c>
      <c r="C3421">
        <v>2020</v>
      </c>
      <c r="D3421">
        <v>4</v>
      </c>
      <c r="E3421" s="4">
        <v>1831</v>
      </c>
      <c r="F3421" s="9">
        <v>0</v>
      </c>
      <c r="G3421" s="6">
        <v>1038</v>
      </c>
      <c r="H3421" s="9">
        <f t="shared" si="53"/>
        <v>1831</v>
      </c>
      <c r="I3421" s="6">
        <v>19362</v>
      </c>
      <c r="J3421" s="6">
        <f>VLOOKUP(Table1[[#This Row],[Province]],[1]Sheet1!$A$3:$K$37,10,FALSE)</f>
        <v>1181000</v>
      </c>
      <c r="K3421">
        <v>1</v>
      </c>
      <c r="L3421" s="4">
        <v>0.69993700000000003</v>
      </c>
      <c r="M3421" s="4">
        <v>122.446724</v>
      </c>
      <c r="N3421" s="13">
        <v>-0.02</v>
      </c>
      <c r="P3421"/>
      <c r="Q3421" s="12"/>
      <c r="R3421" s="12"/>
    </row>
    <row r="3422" spans="1:18" x14ac:dyDescent="0.2">
      <c r="A3422">
        <v>29</v>
      </c>
      <c r="B3422" t="s">
        <v>6</v>
      </c>
      <c r="C3422">
        <v>2020</v>
      </c>
      <c r="D3422">
        <v>5</v>
      </c>
      <c r="E3422" s="4">
        <v>0</v>
      </c>
      <c r="F3422" s="9">
        <v>0</v>
      </c>
      <c r="G3422" s="6">
        <v>678</v>
      </c>
      <c r="H3422" s="9">
        <f t="shared" si="53"/>
        <v>0</v>
      </c>
      <c r="I3422" s="6">
        <v>17689</v>
      </c>
      <c r="J3422" s="6">
        <f>VLOOKUP(Table1[[#This Row],[Province]],[1]Sheet1!$A$3:$K$37,10,FALSE)</f>
        <v>1181000</v>
      </c>
      <c r="K3422">
        <v>0</v>
      </c>
      <c r="L3422" s="4">
        <v>0.69993700000000003</v>
      </c>
      <c r="M3422" s="4">
        <v>122.446724</v>
      </c>
      <c r="N3422" s="13">
        <v>-0.02</v>
      </c>
      <c r="P3422"/>
      <c r="Q3422" s="12"/>
      <c r="R3422" s="12"/>
    </row>
    <row r="3423" spans="1:18" x14ac:dyDescent="0.2">
      <c r="A3423">
        <v>29</v>
      </c>
      <c r="B3423" t="s">
        <v>6</v>
      </c>
      <c r="C3423">
        <v>2020</v>
      </c>
      <c r="D3423">
        <v>6</v>
      </c>
      <c r="E3423" s="4">
        <v>6474</v>
      </c>
      <c r="F3423" s="9">
        <v>0</v>
      </c>
      <c r="G3423" s="6">
        <v>1720</v>
      </c>
      <c r="H3423" s="9">
        <f t="shared" si="53"/>
        <v>6474</v>
      </c>
      <c r="I3423" s="6">
        <v>16074</v>
      </c>
      <c r="J3423" s="6">
        <f>VLOOKUP(Table1[[#This Row],[Province]],[1]Sheet1!$A$3:$K$37,10,FALSE)</f>
        <v>1181000</v>
      </c>
      <c r="K3423">
        <v>0</v>
      </c>
      <c r="L3423" s="4">
        <v>0.69993700000000003</v>
      </c>
      <c r="M3423" s="4">
        <v>122.446724</v>
      </c>
      <c r="N3423" s="13">
        <v>-0.02</v>
      </c>
      <c r="P3423"/>
      <c r="Q3423" s="12"/>
      <c r="R3423" s="12"/>
    </row>
    <row r="3424" spans="1:18" x14ac:dyDescent="0.2">
      <c r="A3424">
        <v>29</v>
      </c>
      <c r="B3424" t="s">
        <v>6</v>
      </c>
      <c r="C3424">
        <v>2020</v>
      </c>
      <c r="D3424">
        <v>7</v>
      </c>
      <c r="E3424" s="4">
        <v>9390</v>
      </c>
      <c r="F3424" s="9">
        <v>0</v>
      </c>
      <c r="G3424" s="6">
        <v>661</v>
      </c>
      <c r="H3424" s="9">
        <f t="shared" si="53"/>
        <v>9390</v>
      </c>
      <c r="I3424" s="6">
        <v>14571</v>
      </c>
      <c r="J3424" s="6">
        <f>VLOOKUP(Table1[[#This Row],[Province]],[1]Sheet1!$A$3:$K$37,10,FALSE)</f>
        <v>1181000</v>
      </c>
      <c r="K3424">
        <v>0</v>
      </c>
      <c r="L3424" s="4">
        <v>0.69993700000000003</v>
      </c>
      <c r="M3424" s="4">
        <v>122.446724</v>
      </c>
      <c r="N3424" s="13">
        <v>-0.02</v>
      </c>
      <c r="P3424"/>
      <c r="Q3424" s="12"/>
      <c r="R3424" s="12"/>
    </row>
    <row r="3425" spans="1:18" x14ac:dyDescent="0.2">
      <c r="A3425">
        <v>29</v>
      </c>
      <c r="B3425" t="s">
        <v>6</v>
      </c>
      <c r="C3425">
        <v>2020</v>
      </c>
      <c r="D3425">
        <v>8</v>
      </c>
      <c r="E3425" s="4">
        <v>9470</v>
      </c>
      <c r="F3425" s="9">
        <v>0</v>
      </c>
      <c r="G3425" s="6">
        <v>1427</v>
      </c>
      <c r="H3425" s="9">
        <f t="shared" si="53"/>
        <v>9470</v>
      </c>
      <c r="I3425" s="6">
        <v>13857</v>
      </c>
      <c r="J3425" s="6">
        <f>VLOOKUP(Table1[[#This Row],[Province]],[1]Sheet1!$A$3:$K$37,10,FALSE)</f>
        <v>1181000</v>
      </c>
      <c r="K3425">
        <v>0</v>
      </c>
      <c r="L3425" s="4">
        <v>0.69993700000000003</v>
      </c>
      <c r="M3425" s="4">
        <v>122.446724</v>
      </c>
      <c r="N3425" s="13">
        <v>-0.02</v>
      </c>
      <c r="P3425"/>
      <c r="Q3425" s="12"/>
      <c r="R3425" s="12"/>
    </row>
    <row r="3426" spans="1:18" x14ac:dyDescent="0.2">
      <c r="A3426">
        <v>29</v>
      </c>
      <c r="B3426" t="s">
        <v>6</v>
      </c>
      <c r="C3426">
        <v>2020</v>
      </c>
      <c r="D3426">
        <v>9</v>
      </c>
      <c r="E3426" s="4">
        <v>8812</v>
      </c>
      <c r="F3426" s="9">
        <v>0</v>
      </c>
      <c r="G3426" s="6">
        <v>682</v>
      </c>
      <c r="H3426" s="9">
        <f t="shared" si="53"/>
        <v>8812</v>
      </c>
      <c r="I3426" s="6">
        <v>13957</v>
      </c>
      <c r="J3426" s="6">
        <f>VLOOKUP(Table1[[#This Row],[Province]],[1]Sheet1!$A$3:$K$37,10,FALSE)</f>
        <v>1181000</v>
      </c>
      <c r="K3426">
        <v>0</v>
      </c>
      <c r="L3426" s="4">
        <v>0.69993700000000003</v>
      </c>
      <c r="M3426" s="4">
        <v>122.446724</v>
      </c>
      <c r="N3426" s="13">
        <v>-0.02</v>
      </c>
      <c r="P3426"/>
      <c r="Q3426" s="12"/>
      <c r="R3426" s="12"/>
    </row>
    <row r="3427" spans="1:18" x14ac:dyDescent="0.2">
      <c r="A3427">
        <v>29</v>
      </c>
      <c r="B3427" t="s">
        <v>6</v>
      </c>
      <c r="C3427">
        <v>2020</v>
      </c>
      <c r="D3427">
        <v>10</v>
      </c>
      <c r="E3427" s="4">
        <v>1627</v>
      </c>
      <c r="F3427" s="9">
        <v>0</v>
      </c>
      <c r="G3427" s="6">
        <v>1292</v>
      </c>
      <c r="H3427" s="9">
        <f t="shared" si="53"/>
        <v>1627</v>
      </c>
      <c r="I3427" s="6">
        <v>14143</v>
      </c>
      <c r="J3427" s="6">
        <f>VLOOKUP(Table1[[#This Row],[Province]],[1]Sheet1!$A$3:$K$37,10,FALSE)</f>
        <v>1181000</v>
      </c>
      <c r="K3427">
        <v>0</v>
      </c>
      <c r="L3427" s="4">
        <v>0.69993700000000003</v>
      </c>
      <c r="M3427" s="4">
        <v>122.446724</v>
      </c>
      <c r="N3427" s="13">
        <v>-0.02</v>
      </c>
      <c r="P3427"/>
      <c r="Q3427" s="12"/>
      <c r="R3427" s="12"/>
    </row>
    <row r="3428" spans="1:18" x14ac:dyDescent="0.2">
      <c r="A3428">
        <v>29</v>
      </c>
      <c r="B3428" t="s">
        <v>6</v>
      </c>
      <c r="C3428">
        <v>2020</v>
      </c>
      <c r="D3428">
        <v>11</v>
      </c>
      <c r="E3428" s="4">
        <v>0</v>
      </c>
      <c r="F3428" s="9">
        <v>0</v>
      </c>
      <c r="G3428" s="6">
        <v>933</v>
      </c>
      <c r="H3428" s="9">
        <f t="shared" si="53"/>
        <v>0</v>
      </c>
      <c r="I3428" s="6">
        <v>14000</v>
      </c>
      <c r="J3428" s="6">
        <f>VLOOKUP(Table1[[#This Row],[Province]],[1]Sheet1!$A$3:$K$37,10,FALSE)</f>
        <v>1181000</v>
      </c>
      <c r="K3428">
        <v>0</v>
      </c>
      <c r="L3428" s="4">
        <v>0.69993700000000003</v>
      </c>
      <c r="M3428" s="4">
        <v>122.446724</v>
      </c>
      <c r="N3428" s="13">
        <v>-0.02</v>
      </c>
      <c r="P3428"/>
      <c r="Q3428" s="12"/>
      <c r="R3428" s="12"/>
    </row>
    <row r="3429" spans="1:18" x14ac:dyDescent="0.2">
      <c r="A3429">
        <v>29</v>
      </c>
      <c r="B3429" t="s">
        <v>6</v>
      </c>
      <c r="C3429">
        <v>2020</v>
      </c>
      <c r="D3429">
        <v>12</v>
      </c>
      <c r="E3429" s="4">
        <v>0</v>
      </c>
      <c r="F3429" s="9">
        <v>0</v>
      </c>
      <c r="G3429" s="6">
        <v>552</v>
      </c>
      <c r="H3429" s="9">
        <f t="shared" si="53"/>
        <v>0</v>
      </c>
      <c r="I3429" s="6">
        <v>14000</v>
      </c>
      <c r="J3429" s="6">
        <f>VLOOKUP(Table1[[#This Row],[Province]],[1]Sheet1!$A$3:$K$37,10,FALSE)</f>
        <v>1181000</v>
      </c>
      <c r="K3429">
        <v>1</v>
      </c>
      <c r="L3429" s="4">
        <v>0.69993700000000003</v>
      </c>
      <c r="M3429" s="4">
        <v>122.446724</v>
      </c>
      <c r="N3429" s="13">
        <v>-0.02</v>
      </c>
      <c r="P3429"/>
      <c r="Q3429" s="12"/>
      <c r="R3429" s="12"/>
    </row>
    <row r="3430" spans="1:18" x14ac:dyDescent="0.2">
      <c r="A3430">
        <v>29</v>
      </c>
      <c r="B3430" t="s">
        <v>6</v>
      </c>
      <c r="C3430">
        <v>2021</v>
      </c>
      <c r="D3430">
        <v>1</v>
      </c>
      <c r="E3430" s="4">
        <v>1871</v>
      </c>
      <c r="F3430" s="9">
        <v>0</v>
      </c>
      <c r="G3430" s="6">
        <v>481</v>
      </c>
      <c r="H3430" s="9">
        <f t="shared" si="53"/>
        <v>1871</v>
      </c>
      <c r="I3430" s="6">
        <v>14000</v>
      </c>
      <c r="J3430" s="6">
        <f>VLOOKUP(Table1[[#This Row],[Province]],[1]Sheet1!$A$3:$K$37,10,FALSE)</f>
        <v>1181000</v>
      </c>
      <c r="K3430">
        <v>0</v>
      </c>
      <c r="L3430" s="4">
        <v>0.69993700000000003</v>
      </c>
      <c r="M3430" s="4">
        <v>122.446724</v>
      </c>
      <c r="N3430" s="13">
        <v>2.4</v>
      </c>
      <c r="P3430"/>
      <c r="Q3430" s="12"/>
      <c r="R3430" s="12"/>
    </row>
    <row r="3431" spans="1:18" x14ac:dyDescent="0.2">
      <c r="A3431">
        <v>29</v>
      </c>
      <c r="B3431" t="s">
        <v>6</v>
      </c>
      <c r="C3431">
        <v>2021</v>
      </c>
      <c r="D3431">
        <v>2</v>
      </c>
      <c r="E3431" s="4">
        <v>9201</v>
      </c>
      <c r="F3431" s="9">
        <v>0</v>
      </c>
      <c r="G3431" s="6">
        <v>305</v>
      </c>
      <c r="H3431" s="9">
        <f t="shared" si="53"/>
        <v>9201</v>
      </c>
      <c r="I3431" s="6">
        <v>14000</v>
      </c>
      <c r="J3431" s="6">
        <f>VLOOKUP(Table1[[#This Row],[Province]],[1]Sheet1!$A$3:$K$37,10,FALSE)</f>
        <v>1181000</v>
      </c>
      <c r="K3431">
        <v>0</v>
      </c>
      <c r="L3431" s="4">
        <v>0.69993700000000003</v>
      </c>
      <c r="M3431" s="4">
        <v>122.446724</v>
      </c>
      <c r="N3431" s="13">
        <v>2.4</v>
      </c>
      <c r="P3431"/>
      <c r="Q3431" s="12"/>
      <c r="R3431" s="12"/>
    </row>
    <row r="3432" spans="1:18" x14ac:dyDescent="0.2">
      <c r="A3432">
        <v>29</v>
      </c>
      <c r="B3432" t="s">
        <v>6</v>
      </c>
      <c r="C3432">
        <v>2021</v>
      </c>
      <c r="D3432">
        <v>3</v>
      </c>
      <c r="E3432" s="4">
        <v>8613</v>
      </c>
      <c r="F3432" s="9">
        <v>0</v>
      </c>
      <c r="G3432" s="6">
        <v>95</v>
      </c>
      <c r="H3432" s="9">
        <f t="shared" si="53"/>
        <v>8613</v>
      </c>
      <c r="I3432" s="6">
        <v>14000</v>
      </c>
      <c r="J3432" s="6">
        <f>VLOOKUP(Table1[[#This Row],[Province]],[1]Sheet1!$A$3:$K$37,10,FALSE)</f>
        <v>1181000</v>
      </c>
      <c r="K3432">
        <v>0</v>
      </c>
      <c r="L3432" s="4">
        <v>0.69993700000000003</v>
      </c>
      <c r="M3432" s="4">
        <v>122.446724</v>
      </c>
      <c r="N3432" s="13">
        <v>2.4</v>
      </c>
      <c r="P3432"/>
      <c r="Q3432" s="12"/>
      <c r="R3432" s="12"/>
    </row>
    <row r="3433" spans="1:18" x14ac:dyDescent="0.2">
      <c r="A3433">
        <v>29</v>
      </c>
      <c r="B3433" t="s">
        <v>6</v>
      </c>
      <c r="C3433">
        <v>2021</v>
      </c>
      <c r="D3433">
        <v>4</v>
      </c>
      <c r="E3433" s="4">
        <v>3935</v>
      </c>
      <c r="F3433" s="9">
        <v>0</v>
      </c>
      <c r="G3433" s="6">
        <v>636</v>
      </c>
      <c r="H3433" s="9">
        <f t="shared" si="53"/>
        <v>3935</v>
      </c>
      <c r="I3433" s="6">
        <v>14275</v>
      </c>
      <c r="J3433" s="6">
        <f>VLOOKUP(Table1[[#This Row],[Province]],[1]Sheet1!$A$3:$K$37,10,FALSE)</f>
        <v>1181000</v>
      </c>
      <c r="K3433">
        <v>1</v>
      </c>
      <c r="L3433" s="4">
        <v>0.69993700000000003</v>
      </c>
      <c r="M3433" s="4">
        <v>122.446724</v>
      </c>
      <c r="N3433" s="13">
        <v>2.4</v>
      </c>
      <c r="P3433"/>
      <c r="Q3433" s="12"/>
      <c r="R3433" s="12"/>
    </row>
    <row r="3434" spans="1:18" x14ac:dyDescent="0.2">
      <c r="A3434">
        <v>29</v>
      </c>
      <c r="B3434" t="s">
        <v>6</v>
      </c>
      <c r="C3434">
        <v>2021</v>
      </c>
      <c r="D3434">
        <v>5</v>
      </c>
      <c r="E3434" s="4">
        <v>9103</v>
      </c>
      <c r="F3434" s="9">
        <v>0</v>
      </c>
      <c r="G3434" s="6">
        <v>141</v>
      </c>
      <c r="H3434" s="9">
        <f t="shared" si="53"/>
        <v>9103</v>
      </c>
      <c r="I3434" s="6">
        <v>14130</v>
      </c>
      <c r="J3434" s="6">
        <f>VLOOKUP(Table1[[#This Row],[Province]],[1]Sheet1!$A$3:$K$37,10,FALSE)</f>
        <v>1181000</v>
      </c>
      <c r="K3434">
        <v>0</v>
      </c>
      <c r="L3434" s="4">
        <v>0.69993700000000003</v>
      </c>
      <c r="M3434" s="4">
        <v>122.446724</v>
      </c>
      <c r="N3434" s="13">
        <v>2.4</v>
      </c>
      <c r="P3434"/>
      <c r="Q3434" s="12"/>
      <c r="R3434" s="12"/>
    </row>
    <row r="3435" spans="1:18" x14ac:dyDescent="0.2">
      <c r="A3435">
        <v>29</v>
      </c>
      <c r="B3435" t="s">
        <v>6</v>
      </c>
      <c r="C3435">
        <v>2021</v>
      </c>
      <c r="D3435">
        <v>6</v>
      </c>
      <c r="E3435" s="4">
        <v>9129</v>
      </c>
      <c r="F3435" s="9">
        <v>0</v>
      </c>
      <c r="G3435" s="6">
        <v>281</v>
      </c>
      <c r="H3435" s="9">
        <f t="shared" si="53"/>
        <v>9129</v>
      </c>
      <c r="I3435" s="6">
        <v>14025</v>
      </c>
      <c r="J3435" s="6">
        <f>VLOOKUP(Table1[[#This Row],[Province]],[1]Sheet1!$A$3:$K$37,10,FALSE)</f>
        <v>1181000</v>
      </c>
      <c r="K3435">
        <v>0</v>
      </c>
      <c r="L3435" s="4">
        <v>0.69993700000000003</v>
      </c>
      <c r="M3435" s="4">
        <v>122.446724</v>
      </c>
      <c r="N3435" s="13">
        <v>2.4</v>
      </c>
      <c r="P3435"/>
      <c r="Q3435" s="12"/>
      <c r="R3435" s="12"/>
    </row>
    <row r="3436" spans="1:18" x14ac:dyDescent="0.2">
      <c r="A3436">
        <v>29</v>
      </c>
      <c r="B3436" t="s">
        <v>6</v>
      </c>
      <c r="C3436">
        <v>2021</v>
      </c>
      <c r="D3436">
        <v>7</v>
      </c>
      <c r="E3436" s="4">
        <v>8561</v>
      </c>
      <c r="F3436" s="9">
        <v>0</v>
      </c>
      <c r="G3436" s="6">
        <v>870</v>
      </c>
      <c r="H3436" s="9">
        <f t="shared" si="53"/>
        <v>8561</v>
      </c>
      <c r="I3436" s="6">
        <v>14200</v>
      </c>
      <c r="J3436" s="6">
        <f>VLOOKUP(Table1[[#This Row],[Province]],[1]Sheet1!$A$3:$K$37,10,FALSE)</f>
        <v>1181000</v>
      </c>
      <c r="K3436">
        <v>0</v>
      </c>
      <c r="L3436" s="4">
        <v>0.69993700000000003</v>
      </c>
      <c r="M3436" s="4">
        <v>122.446724</v>
      </c>
      <c r="N3436" s="13">
        <v>2.4</v>
      </c>
      <c r="P3436"/>
      <c r="Q3436" s="12"/>
      <c r="R3436" s="12"/>
    </row>
    <row r="3437" spans="1:18" x14ac:dyDescent="0.2">
      <c r="A3437">
        <v>29</v>
      </c>
      <c r="B3437" t="s">
        <v>6</v>
      </c>
      <c r="C3437">
        <v>2021</v>
      </c>
      <c r="D3437">
        <v>8</v>
      </c>
      <c r="E3437" s="4">
        <v>762</v>
      </c>
      <c r="F3437" s="9">
        <v>0</v>
      </c>
      <c r="G3437" s="6">
        <v>457</v>
      </c>
      <c r="H3437" s="9">
        <f t="shared" si="53"/>
        <v>762</v>
      </c>
      <c r="I3437" s="6">
        <v>14400</v>
      </c>
      <c r="J3437" s="6">
        <f>VLOOKUP(Table1[[#This Row],[Province]],[1]Sheet1!$A$3:$K$37,10,FALSE)</f>
        <v>1181000</v>
      </c>
      <c r="K3437">
        <v>0</v>
      </c>
      <c r="L3437" s="4">
        <v>0.69993700000000003</v>
      </c>
      <c r="M3437" s="4">
        <v>122.446724</v>
      </c>
      <c r="N3437" s="13">
        <v>2.4</v>
      </c>
      <c r="P3437"/>
      <c r="Q3437" s="12"/>
      <c r="R3437" s="12"/>
    </row>
    <row r="3438" spans="1:18" x14ac:dyDescent="0.2">
      <c r="A3438">
        <v>29</v>
      </c>
      <c r="B3438" t="s">
        <v>6</v>
      </c>
      <c r="C3438">
        <v>2021</v>
      </c>
      <c r="D3438">
        <v>9</v>
      </c>
      <c r="E3438" s="4">
        <v>0</v>
      </c>
      <c r="F3438" s="9">
        <v>0</v>
      </c>
      <c r="G3438" s="6">
        <v>1518</v>
      </c>
      <c r="H3438" s="9">
        <f t="shared" si="53"/>
        <v>0</v>
      </c>
      <c r="I3438" s="6">
        <v>13850</v>
      </c>
      <c r="J3438" s="6">
        <f>VLOOKUP(Table1[[#This Row],[Province]],[1]Sheet1!$A$3:$K$37,10,FALSE)</f>
        <v>1181000</v>
      </c>
      <c r="K3438">
        <v>0</v>
      </c>
      <c r="L3438" s="4">
        <v>0.69993700000000003</v>
      </c>
      <c r="M3438" s="4">
        <v>122.446724</v>
      </c>
      <c r="N3438" s="13">
        <v>2.4</v>
      </c>
      <c r="P3438"/>
      <c r="Q3438" s="12"/>
      <c r="R3438" s="12"/>
    </row>
    <row r="3439" spans="1:18" x14ac:dyDescent="0.2">
      <c r="A3439">
        <v>29</v>
      </c>
      <c r="B3439" t="s">
        <v>6</v>
      </c>
      <c r="C3439">
        <v>2021</v>
      </c>
      <c r="D3439">
        <v>10</v>
      </c>
      <c r="E3439" s="4">
        <v>0</v>
      </c>
      <c r="F3439" s="9">
        <v>0</v>
      </c>
      <c r="G3439" s="6">
        <v>844</v>
      </c>
      <c r="H3439" s="9">
        <f t="shared" si="53"/>
        <v>0</v>
      </c>
      <c r="I3439" s="6">
        <v>13880</v>
      </c>
      <c r="J3439" s="6">
        <f>VLOOKUP(Table1[[#This Row],[Province]],[1]Sheet1!$A$3:$K$37,10,FALSE)</f>
        <v>1181000</v>
      </c>
      <c r="K3439">
        <v>0</v>
      </c>
      <c r="L3439" s="4">
        <v>0.69993700000000003</v>
      </c>
      <c r="M3439" s="4">
        <v>122.446724</v>
      </c>
      <c r="N3439" s="13">
        <v>2.4</v>
      </c>
      <c r="P3439"/>
      <c r="Q3439" s="12"/>
      <c r="R3439" s="12"/>
    </row>
    <row r="3440" spans="1:18" x14ac:dyDescent="0.2">
      <c r="A3440">
        <v>29</v>
      </c>
      <c r="B3440" t="s">
        <v>6</v>
      </c>
      <c r="C3440">
        <v>2021</v>
      </c>
      <c r="D3440">
        <v>11</v>
      </c>
      <c r="E3440" s="4">
        <v>0</v>
      </c>
      <c r="F3440" s="9">
        <v>0</v>
      </c>
      <c r="G3440" s="6">
        <v>1168</v>
      </c>
      <c r="H3440" s="9">
        <f t="shared" si="53"/>
        <v>0</v>
      </c>
      <c r="I3440" s="6">
        <v>14020</v>
      </c>
      <c r="J3440" s="6">
        <f>VLOOKUP(Table1[[#This Row],[Province]],[1]Sheet1!$A$3:$K$37,10,FALSE)</f>
        <v>1181000</v>
      </c>
      <c r="K3440">
        <v>0</v>
      </c>
      <c r="L3440" s="4">
        <v>0.69993700000000003</v>
      </c>
      <c r="M3440" s="4">
        <v>122.446724</v>
      </c>
      <c r="N3440" s="13">
        <v>2.4</v>
      </c>
      <c r="P3440"/>
      <c r="Q3440" s="12"/>
      <c r="R3440" s="12"/>
    </row>
    <row r="3441" spans="1:18" x14ac:dyDescent="0.2">
      <c r="A3441">
        <v>29</v>
      </c>
      <c r="B3441" t="s">
        <v>6</v>
      </c>
      <c r="C3441">
        <v>2021</v>
      </c>
      <c r="D3441">
        <v>12</v>
      </c>
      <c r="E3441" s="4">
        <v>0</v>
      </c>
      <c r="F3441" s="9">
        <v>0</v>
      </c>
      <c r="G3441" s="6">
        <v>1517</v>
      </c>
      <c r="H3441" s="9">
        <f t="shared" si="53"/>
        <v>0</v>
      </c>
      <c r="I3441" s="6">
        <v>14100</v>
      </c>
      <c r="J3441" s="6">
        <f>VLOOKUP(Table1[[#This Row],[Province]],[1]Sheet1!$A$3:$K$37,10,FALSE)</f>
        <v>1181000</v>
      </c>
      <c r="K3441">
        <v>1</v>
      </c>
      <c r="L3441" s="4">
        <v>0.69993700000000003</v>
      </c>
      <c r="M3441" s="4">
        <v>122.446724</v>
      </c>
      <c r="N3441" s="13">
        <v>2.4</v>
      </c>
      <c r="P3441"/>
      <c r="Q3441" s="12"/>
      <c r="R3441" s="12"/>
    </row>
    <row r="3442" spans="1:18" x14ac:dyDescent="0.2">
      <c r="A3442">
        <v>29</v>
      </c>
      <c r="B3442" t="s">
        <v>6</v>
      </c>
      <c r="C3442">
        <v>2022</v>
      </c>
      <c r="D3442">
        <v>1</v>
      </c>
      <c r="E3442" s="6">
        <v>0</v>
      </c>
      <c r="F3442" s="9">
        <v>0</v>
      </c>
      <c r="G3442" s="6">
        <v>1246</v>
      </c>
      <c r="H3442" s="9">
        <f t="shared" si="53"/>
        <v>0</v>
      </c>
      <c r="I3442" s="6">
        <v>14520</v>
      </c>
      <c r="J3442" s="6">
        <f>VLOOKUP(Table1[[#This Row],[Province]],[1]Sheet1!$A$3:$K$37,10,FALSE)</f>
        <v>1181000</v>
      </c>
      <c r="K3442">
        <v>0</v>
      </c>
      <c r="L3442" s="4">
        <v>0.69993700000000003</v>
      </c>
      <c r="M3442" s="4">
        <v>122.446724</v>
      </c>
      <c r="N3442" s="13">
        <v>4.04</v>
      </c>
      <c r="P3442"/>
      <c r="Q3442" s="12"/>
      <c r="R3442" s="12"/>
    </row>
    <row r="3443" spans="1:18" x14ac:dyDescent="0.2">
      <c r="A3443">
        <v>29</v>
      </c>
      <c r="B3443" t="s">
        <v>6</v>
      </c>
      <c r="C3443">
        <v>2022</v>
      </c>
      <c r="D3443">
        <v>2</v>
      </c>
      <c r="E3443" s="6">
        <v>679</v>
      </c>
      <c r="F3443" s="9">
        <v>0</v>
      </c>
      <c r="G3443" s="6">
        <v>1374</v>
      </c>
      <c r="H3443" s="9">
        <f t="shared" si="53"/>
        <v>679</v>
      </c>
      <c r="I3443" s="6">
        <v>14969</v>
      </c>
      <c r="J3443" s="6">
        <f>VLOOKUP(Table1[[#This Row],[Province]],[1]Sheet1!$A$3:$K$37,10,FALSE)</f>
        <v>1181000</v>
      </c>
      <c r="K3443">
        <v>0</v>
      </c>
      <c r="L3443" s="4">
        <v>0.69993700000000003</v>
      </c>
      <c r="M3443" s="4">
        <v>122.446724</v>
      </c>
      <c r="N3443" s="13">
        <v>4.04</v>
      </c>
      <c r="P3443"/>
      <c r="Q3443" s="12"/>
      <c r="R3443" s="12"/>
    </row>
    <row r="3444" spans="1:18" x14ac:dyDescent="0.2">
      <c r="A3444">
        <v>29</v>
      </c>
      <c r="B3444" t="s">
        <v>6</v>
      </c>
      <c r="C3444">
        <v>2022</v>
      </c>
      <c r="D3444">
        <v>3</v>
      </c>
      <c r="E3444" s="6">
        <v>1444</v>
      </c>
      <c r="F3444" s="9">
        <v>0</v>
      </c>
      <c r="G3444" s="6">
        <v>1281</v>
      </c>
      <c r="H3444" s="9">
        <f t="shared" si="53"/>
        <v>1444</v>
      </c>
      <c r="I3444" s="6">
        <v>15129</v>
      </c>
      <c r="J3444" s="6">
        <f>VLOOKUP(Table1[[#This Row],[Province]],[1]Sheet1!$A$3:$K$37,10,FALSE)</f>
        <v>1181000</v>
      </c>
      <c r="K3444">
        <v>0</v>
      </c>
      <c r="L3444" s="4">
        <v>0.69993700000000003</v>
      </c>
      <c r="M3444" s="4">
        <v>122.446724</v>
      </c>
      <c r="N3444" s="13">
        <v>4.04</v>
      </c>
      <c r="P3444"/>
      <c r="Q3444" s="12"/>
      <c r="R3444" s="12"/>
    </row>
    <row r="3445" spans="1:18" x14ac:dyDescent="0.2">
      <c r="A3445">
        <v>29</v>
      </c>
      <c r="B3445" t="s">
        <v>6</v>
      </c>
      <c r="C3445">
        <v>2022</v>
      </c>
      <c r="D3445">
        <v>4</v>
      </c>
      <c r="E3445" s="6">
        <v>4451</v>
      </c>
      <c r="F3445" s="9">
        <v>0</v>
      </c>
      <c r="G3445" s="6">
        <v>1417</v>
      </c>
      <c r="H3445" s="9">
        <f t="shared" si="53"/>
        <v>4451</v>
      </c>
      <c r="I3445" s="6">
        <v>15484</v>
      </c>
      <c r="J3445" s="6">
        <f>VLOOKUP(Table1[[#This Row],[Province]],[1]Sheet1!$A$3:$K$37,10,FALSE)</f>
        <v>1181000</v>
      </c>
      <c r="K3445">
        <v>1</v>
      </c>
      <c r="L3445" s="4">
        <v>0.69993700000000003</v>
      </c>
      <c r="M3445" s="4">
        <v>122.446724</v>
      </c>
      <c r="N3445" s="13">
        <v>4.04</v>
      </c>
      <c r="P3445"/>
      <c r="Q3445" s="12"/>
      <c r="R3445" s="12"/>
    </row>
    <row r="3446" spans="1:18" x14ac:dyDescent="0.2">
      <c r="A3446">
        <v>29</v>
      </c>
      <c r="B3446" t="s">
        <v>6</v>
      </c>
      <c r="C3446">
        <v>2022</v>
      </c>
      <c r="D3446">
        <v>5</v>
      </c>
      <c r="E3446" s="6">
        <v>8945</v>
      </c>
      <c r="F3446" s="9">
        <v>0</v>
      </c>
      <c r="G3446" s="6">
        <v>923</v>
      </c>
      <c r="H3446" s="9">
        <f t="shared" si="53"/>
        <v>8945</v>
      </c>
      <c r="I3446" s="6">
        <v>15387</v>
      </c>
      <c r="J3446" s="6">
        <f>VLOOKUP(Table1[[#This Row],[Province]],[1]Sheet1!$A$3:$K$37,10,FALSE)</f>
        <v>1181000</v>
      </c>
      <c r="K3446">
        <v>0</v>
      </c>
      <c r="L3446" s="4">
        <v>0.69993700000000003</v>
      </c>
      <c r="M3446" s="4">
        <v>122.446724</v>
      </c>
      <c r="N3446" s="13">
        <v>4.04</v>
      </c>
      <c r="P3446"/>
      <c r="Q3446" s="12"/>
      <c r="R3446" s="12"/>
    </row>
    <row r="3447" spans="1:18" x14ac:dyDescent="0.2">
      <c r="A3447">
        <v>29</v>
      </c>
      <c r="B3447" t="s">
        <v>6</v>
      </c>
      <c r="C3447">
        <v>2022</v>
      </c>
      <c r="D3447">
        <v>6</v>
      </c>
      <c r="E3447" s="6">
        <v>14969</v>
      </c>
      <c r="F3447" s="9">
        <v>0</v>
      </c>
      <c r="G3447" s="6">
        <v>1284</v>
      </c>
      <c r="H3447" s="9">
        <f t="shared" si="53"/>
        <v>14969</v>
      </c>
      <c r="I3447" s="6">
        <v>15350</v>
      </c>
      <c r="J3447" s="6">
        <f>VLOOKUP(Table1[[#This Row],[Province]],[1]Sheet1!$A$3:$K$37,10,FALSE)</f>
        <v>1181000</v>
      </c>
      <c r="K3447">
        <v>0</v>
      </c>
      <c r="L3447" s="4">
        <v>0.69993700000000003</v>
      </c>
      <c r="M3447" s="4">
        <v>122.446724</v>
      </c>
      <c r="N3447" s="13">
        <v>4.04</v>
      </c>
      <c r="P3447"/>
      <c r="Q3447" s="12"/>
      <c r="R3447" s="12"/>
    </row>
    <row r="3448" spans="1:18" x14ac:dyDescent="0.2">
      <c r="A3448">
        <v>29</v>
      </c>
      <c r="B3448" t="s">
        <v>6</v>
      </c>
      <c r="C3448">
        <v>2022</v>
      </c>
      <c r="D3448">
        <v>7</v>
      </c>
      <c r="E3448" s="6">
        <v>7210</v>
      </c>
      <c r="F3448" s="9">
        <v>0</v>
      </c>
      <c r="G3448" s="6">
        <v>1031</v>
      </c>
      <c r="H3448" s="9">
        <f t="shared" si="53"/>
        <v>7210</v>
      </c>
      <c r="I3448" s="6">
        <v>15400</v>
      </c>
      <c r="J3448" s="6">
        <f>VLOOKUP(Table1[[#This Row],[Province]],[1]Sheet1!$A$3:$K$37,10,FALSE)</f>
        <v>1181000</v>
      </c>
      <c r="K3448">
        <v>0</v>
      </c>
      <c r="L3448" s="4">
        <v>0.69993700000000003</v>
      </c>
      <c r="M3448" s="4">
        <v>122.446724</v>
      </c>
      <c r="N3448" s="13">
        <v>4.04</v>
      </c>
      <c r="P3448"/>
      <c r="Q3448" s="12"/>
      <c r="R3448" s="12"/>
    </row>
    <row r="3449" spans="1:18" x14ac:dyDescent="0.2">
      <c r="A3449">
        <v>29</v>
      </c>
      <c r="B3449" t="s">
        <v>6</v>
      </c>
      <c r="C3449">
        <v>2022</v>
      </c>
      <c r="D3449">
        <v>8</v>
      </c>
      <c r="E3449" s="6">
        <v>6576</v>
      </c>
      <c r="F3449" s="9">
        <v>0</v>
      </c>
      <c r="G3449" s="6">
        <v>1211</v>
      </c>
      <c r="H3449" s="9">
        <f t="shared" si="53"/>
        <v>6576</v>
      </c>
      <c r="I3449" s="6">
        <v>15405</v>
      </c>
      <c r="J3449" s="6">
        <f>VLOOKUP(Table1[[#This Row],[Province]],[1]Sheet1!$A$3:$K$37,10,FALSE)</f>
        <v>1181000</v>
      </c>
      <c r="K3449">
        <v>0</v>
      </c>
      <c r="L3449" s="4">
        <v>0.69993700000000003</v>
      </c>
      <c r="M3449" s="4">
        <v>122.446724</v>
      </c>
      <c r="N3449" s="13">
        <v>4.04</v>
      </c>
      <c r="P3449"/>
      <c r="Q3449" s="12"/>
      <c r="R3449" s="12"/>
    </row>
    <row r="3450" spans="1:18" x14ac:dyDescent="0.2">
      <c r="A3450">
        <v>29</v>
      </c>
      <c r="B3450" t="s">
        <v>6</v>
      </c>
      <c r="C3450">
        <v>2022</v>
      </c>
      <c r="D3450">
        <v>9</v>
      </c>
      <c r="E3450" s="6">
        <v>4409</v>
      </c>
      <c r="F3450" s="9">
        <v>0</v>
      </c>
      <c r="G3450" s="6">
        <v>985</v>
      </c>
      <c r="H3450" s="9">
        <f t="shared" si="53"/>
        <v>4409</v>
      </c>
      <c r="I3450" s="6">
        <v>14730</v>
      </c>
      <c r="J3450" s="6">
        <f>VLOOKUP(Table1[[#This Row],[Province]],[1]Sheet1!$A$3:$K$37,10,FALSE)</f>
        <v>1181000</v>
      </c>
      <c r="K3450">
        <v>0</v>
      </c>
      <c r="L3450" s="4">
        <v>0.69993700000000003</v>
      </c>
      <c r="M3450" s="4">
        <v>122.446724</v>
      </c>
      <c r="N3450" s="13">
        <v>4.04</v>
      </c>
      <c r="P3450"/>
      <c r="Q3450" s="12"/>
      <c r="R3450" s="12"/>
    </row>
    <row r="3451" spans="1:18" x14ac:dyDescent="0.2">
      <c r="A3451">
        <v>29</v>
      </c>
      <c r="B3451" t="s">
        <v>6</v>
      </c>
      <c r="C3451">
        <v>2022</v>
      </c>
      <c r="D3451">
        <v>10</v>
      </c>
      <c r="E3451" s="6">
        <v>3690</v>
      </c>
      <c r="F3451" s="9">
        <v>0</v>
      </c>
      <c r="G3451" s="6">
        <v>1006</v>
      </c>
      <c r="H3451" s="9">
        <f t="shared" si="53"/>
        <v>3690</v>
      </c>
      <c r="I3451" s="6">
        <v>14589</v>
      </c>
      <c r="J3451" s="6">
        <f>VLOOKUP(Table1[[#This Row],[Province]],[1]Sheet1!$A$3:$K$37,10,FALSE)</f>
        <v>1181000</v>
      </c>
      <c r="K3451">
        <v>0</v>
      </c>
      <c r="L3451" s="4">
        <v>0.69993700000000003</v>
      </c>
      <c r="M3451" s="4">
        <v>122.446724</v>
      </c>
      <c r="N3451" s="13">
        <v>4.04</v>
      </c>
      <c r="P3451"/>
      <c r="Q3451" s="12"/>
      <c r="R3451" s="12"/>
    </row>
    <row r="3452" spans="1:18" x14ac:dyDescent="0.2">
      <c r="A3452">
        <v>29</v>
      </c>
      <c r="B3452" t="s">
        <v>6</v>
      </c>
      <c r="C3452">
        <v>2022</v>
      </c>
      <c r="D3452">
        <v>11</v>
      </c>
      <c r="E3452" s="6">
        <v>0</v>
      </c>
      <c r="F3452" s="9">
        <v>0</v>
      </c>
      <c r="G3452" s="6">
        <v>1164</v>
      </c>
      <c r="H3452" s="9">
        <f t="shared" si="53"/>
        <v>0</v>
      </c>
      <c r="I3452" s="6">
        <v>15209</v>
      </c>
      <c r="J3452" s="6">
        <f>VLOOKUP(Table1[[#This Row],[Province]],[1]Sheet1!$A$3:$K$37,10,FALSE)</f>
        <v>1181000</v>
      </c>
      <c r="K3452">
        <v>0</v>
      </c>
      <c r="L3452" s="4">
        <v>0.69993700000000003</v>
      </c>
      <c r="M3452" s="4">
        <v>122.446724</v>
      </c>
      <c r="N3452" s="13">
        <v>4.04</v>
      </c>
      <c r="P3452"/>
      <c r="Q3452" s="12"/>
      <c r="R3452" s="12"/>
    </row>
    <row r="3453" spans="1:18" x14ac:dyDescent="0.2">
      <c r="A3453">
        <v>29</v>
      </c>
      <c r="B3453" t="s">
        <v>6</v>
      </c>
      <c r="C3453">
        <v>2022</v>
      </c>
      <c r="D3453">
        <v>12</v>
      </c>
      <c r="E3453" s="6">
        <v>0</v>
      </c>
      <c r="F3453" s="9">
        <v>0</v>
      </c>
      <c r="G3453" s="6">
        <v>1104</v>
      </c>
      <c r="H3453" s="9">
        <f t="shared" si="53"/>
        <v>0</v>
      </c>
      <c r="I3453" s="6">
        <v>16227</v>
      </c>
      <c r="J3453" s="6">
        <f>VLOOKUP(Table1[[#This Row],[Province]],[1]Sheet1!$A$3:$K$37,10,FALSE)</f>
        <v>1181000</v>
      </c>
      <c r="K3453">
        <v>1</v>
      </c>
      <c r="L3453" s="4">
        <v>0.69993700000000003</v>
      </c>
      <c r="M3453" s="4">
        <v>122.446724</v>
      </c>
      <c r="N3453" s="13">
        <v>4.04</v>
      </c>
      <c r="P3453"/>
      <c r="Q3453" s="12"/>
      <c r="R3453" s="12"/>
    </row>
    <row r="3454" spans="1:18" x14ac:dyDescent="0.2">
      <c r="A3454">
        <v>30</v>
      </c>
      <c r="B3454" t="s">
        <v>26</v>
      </c>
      <c r="C3454">
        <v>2013</v>
      </c>
      <c r="D3454">
        <v>1</v>
      </c>
      <c r="E3454" s="4">
        <v>0</v>
      </c>
      <c r="F3454" s="9">
        <v>0</v>
      </c>
      <c r="G3454" s="6">
        <v>845</v>
      </c>
      <c r="H3454" s="9">
        <f t="shared" si="53"/>
        <v>0</v>
      </c>
      <c r="I3454" s="6">
        <v>12000</v>
      </c>
      <c r="J3454" s="6">
        <f>VLOOKUP(Table1[[#This Row],[Province]],[1]Sheet1!$A$3:$K$37,10,FALSE)</f>
        <v>1436800</v>
      </c>
      <c r="K3454">
        <v>0</v>
      </c>
      <c r="L3454" s="4">
        <v>2.8441369999999999</v>
      </c>
      <c r="M3454" s="4">
        <v>119.232078</v>
      </c>
      <c r="N3454" s="6"/>
      <c r="P3454"/>
      <c r="Q3454" s="12"/>
      <c r="R3454" s="12"/>
    </row>
    <row r="3455" spans="1:18" x14ac:dyDescent="0.2">
      <c r="A3455">
        <v>30</v>
      </c>
      <c r="B3455" t="s">
        <v>26</v>
      </c>
      <c r="C3455">
        <v>2013</v>
      </c>
      <c r="D3455">
        <v>2</v>
      </c>
      <c r="E3455" s="4">
        <v>0</v>
      </c>
      <c r="F3455" s="9">
        <v>0</v>
      </c>
      <c r="G3455" s="6">
        <v>810</v>
      </c>
      <c r="H3455" s="9">
        <f t="shared" si="53"/>
        <v>0</v>
      </c>
      <c r="I3455" s="6">
        <v>11975</v>
      </c>
      <c r="J3455" s="6">
        <f>VLOOKUP(Table1[[#This Row],[Province]],[1]Sheet1!$A$3:$K$37,10,FALSE)</f>
        <v>1436800</v>
      </c>
      <c r="K3455">
        <v>0</v>
      </c>
      <c r="L3455" s="4">
        <v>2.8441369999999999</v>
      </c>
      <c r="M3455" s="4">
        <v>119.232078</v>
      </c>
      <c r="N3455" s="6"/>
      <c r="P3455"/>
      <c r="Q3455" s="12"/>
      <c r="R3455" s="12"/>
    </row>
    <row r="3456" spans="1:18" x14ac:dyDescent="0.2">
      <c r="A3456">
        <v>30</v>
      </c>
      <c r="B3456" t="s">
        <v>26</v>
      </c>
      <c r="C3456">
        <v>2013</v>
      </c>
      <c r="D3456">
        <v>3</v>
      </c>
      <c r="E3456" s="4">
        <v>0</v>
      </c>
      <c r="F3456" s="9">
        <v>0</v>
      </c>
      <c r="G3456" s="6">
        <v>835</v>
      </c>
      <c r="H3456" s="9">
        <f t="shared" si="53"/>
        <v>0</v>
      </c>
      <c r="I3456" s="6">
        <v>12545</v>
      </c>
      <c r="J3456" s="6">
        <f>VLOOKUP(Table1[[#This Row],[Province]],[1]Sheet1!$A$3:$K$37,10,FALSE)</f>
        <v>1436800</v>
      </c>
      <c r="K3456">
        <v>0</v>
      </c>
      <c r="L3456" s="4">
        <v>2.8441369999999999</v>
      </c>
      <c r="M3456" s="4">
        <v>119.232078</v>
      </c>
      <c r="N3456" s="6"/>
      <c r="P3456"/>
      <c r="Q3456" s="12"/>
      <c r="R3456" s="12"/>
    </row>
    <row r="3457" spans="1:18" x14ac:dyDescent="0.2">
      <c r="A3457">
        <v>30</v>
      </c>
      <c r="B3457" t="s">
        <v>26</v>
      </c>
      <c r="C3457">
        <v>2013</v>
      </c>
      <c r="D3457">
        <v>4</v>
      </c>
      <c r="E3457" s="4">
        <v>0</v>
      </c>
      <c r="F3457" s="9">
        <v>0</v>
      </c>
      <c r="G3457" s="6">
        <v>1085</v>
      </c>
      <c r="H3457" s="9">
        <f t="shared" si="53"/>
        <v>0</v>
      </c>
      <c r="I3457" s="6">
        <v>13886</v>
      </c>
      <c r="J3457" s="6">
        <f>VLOOKUP(Table1[[#This Row],[Province]],[1]Sheet1!$A$3:$K$37,10,FALSE)</f>
        <v>1436800</v>
      </c>
      <c r="K3457">
        <v>0</v>
      </c>
      <c r="L3457" s="4">
        <v>2.8441369999999999</v>
      </c>
      <c r="M3457" s="4">
        <v>119.232078</v>
      </c>
      <c r="N3457" s="6"/>
      <c r="P3457"/>
      <c r="Q3457" s="12"/>
      <c r="R3457" s="12"/>
    </row>
    <row r="3458" spans="1:18" x14ac:dyDescent="0.2">
      <c r="A3458">
        <v>30</v>
      </c>
      <c r="B3458" t="s">
        <v>26</v>
      </c>
      <c r="C3458">
        <v>2013</v>
      </c>
      <c r="D3458">
        <v>5</v>
      </c>
      <c r="E3458" s="4">
        <v>0</v>
      </c>
      <c r="F3458" s="9">
        <v>0</v>
      </c>
      <c r="G3458" s="6">
        <v>1315</v>
      </c>
      <c r="H3458" s="9">
        <f t="shared" ref="H3458:H3521" si="54">F3458+E3458</f>
        <v>0</v>
      </c>
      <c r="I3458" s="6">
        <v>14000</v>
      </c>
      <c r="J3458" s="6">
        <f>VLOOKUP(Table1[[#This Row],[Province]],[1]Sheet1!$A$3:$K$37,10,FALSE)</f>
        <v>1436800</v>
      </c>
      <c r="K3458">
        <v>0</v>
      </c>
      <c r="L3458" s="4">
        <v>2.8441369999999999</v>
      </c>
      <c r="M3458" s="4">
        <v>119.232078</v>
      </c>
      <c r="N3458" s="6"/>
      <c r="P3458"/>
      <c r="Q3458" s="12"/>
      <c r="R3458" s="12"/>
    </row>
    <row r="3459" spans="1:18" x14ac:dyDescent="0.2">
      <c r="A3459">
        <v>30</v>
      </c>
      <c r="B3459" t="s">
        <v>26</v>
      </c>
      <c r="C3459">
        <v>2013</v>
      </c>
      <c r="D3459">
        <v>6</v>
      </c>
      <c r="E3459" s="4">
        <v>0</v>
      </c>
      <c r="F3459" s="9">
        <v>0</v>
      </c>
      <c r="G3459" s="6">
        <v>1095</v>
      </c>
      <c r="H3459" s="9">
        <f t="shared" si="54"/>
        <v>0</v>
      </c>
      <c r="I3459" s="6">
        <v>14000</v>
      </c>
      <c r="J3459" s="6">
        <f>VLOOKUP(Table1[[#This Row],[Province]],[1]Sheet1!$A$3:$K$37,10,FALSE)</f>
        <v>1436800</v>
      </c>
      <c r="K3459">
        <v>0</v>
      </c>
      <c r="L3459" s="4">
        <v>2.8441369999999999</v>
      </c>
      <c r="M3459" s="4">
        <v>119.232078</v>
      </c>
      <c r="N3459" s="6"/>
      <c r="P3459"/>
      <c r="Q3459" s="12"/>
      <c r="R3459" s="12"/>
    </row>
    <row r="3460" spans="1:18" x14ac:dyDescent="0.2">
      <c r="A3460">
        <v>30</v>
      </c>
      <c r="B3460" t="s">
        <v>26</v>
      </c>
      <c r="C3460">
        <v>2013</v>
      </c>
      <c r="D3460">
        <v>7</v>
      </c>
      <c r="E3460" s="4">
        <v>0</v>
      </c>
      <c r="F3460" s="9">
        <v>0</v>
      </c>
      <c r="G3460" s="6">
        <v>1900</v>
      </c>
      <c r="H3460" s="9">
        <f t="shared" si="54"/>
        <v>0</v>
      </c>
      <c r="I3460" s="6">
        <v>15273</v>
      </c>
      <c r="J3460" s="6">
        <f>VLOOKUP(Table1[[#This Row],[Province]],[1]Sheet1!$A$3:$K$37,10,FALSE)</f>
        <v>1436800</v>
      </c>
      <c r="K3460">
        <v>1</v>
      </c>
      <c r="L3460" s="4">
        <v>2.8441369999999999</v>
      </c>
      <c r="M3460" s="4">
        <v>119.232078</v>
      </c>
      <c r="N3460" s="6"/>
      <c r="P3460"/>
      <c r="Q3460" s="12"/>
      <c r="R3460" s="12"/>
    </row>
    <row r="3461" spans="1:18" x14ac:dyDescent="0.2">
      <c r="A3461">
        <v>30</v>
      </c>
      <c r="B3461" t="s">
        <v>26</v>
      </c>
      <c r="C3461">
        <v>2013</v>
      </c>
      <c r="D3461">
        <v>8</v>
      </c>
      <c r="E3461" s="4">
        <v>0</v>
      </c>
      <c r="F3461" s="9">
        <v>0</v>
      </c>
      <c r="G3461" s="6">
        <v>695</v>
      </c>
      <c r="H3461" s="9">
        <f t="shared" si="54"/>
        <v>0</v>
      </c>
      <c r="I3461" s="6">
        <v>13000</v>
      </c>
      <c r="J3461" s="6">
        <f>VLOOKUP(Table1[[#This Row],[Province]],[1]Sheet1!$A$3:$K$37,10,FALSE)</f>
        <v>1436800</v>
      </c>
      <c r="K3461">
        <v>0</v>
      </c>
      <c r="L3461" s="4">
        <v>2.8441369999999999</v>
      </c>
      <c r="M3461" s="4">
        <v>119.232078</v>
      </c>
      <c r="N3461" s="6"/>
      <c r="P3461"/>
      <c r="Q3461" s="12"/>
      <c r="R3461" s="12"/>
    </row>
    <row r="3462" spans="1:18" x14ac:dyDescent="0.2">
      <c r="A3462">
        <v>30</v>
      </c>
      <c r="B3462" t="s">
        <v>26</v>
      </c>
      <c r="C3462">
        <v>2013</v>
      </c>
      <c r="D3462">
        <v>9</v>
      </c>
      <c r="E3462" s="4">
        <v>0</v>
      </c>
      <c r="F3462" s="9">
        <v>0</v>
      </c>
      <c r="G3462" s="6">
        <v>1485</v>
      </c>
      <c r="H3462" s="9">
        <f t="shared" si="54"/>
        <v>0</v>
      </c>
      <c r="I3462" s="6">
        <v>13000</v>
      </c>
      <c r="J3462" s="6">
        <f>VLOOKUP(Table1[[#This Row],[Province]],[1]Sheet1!$A$3:$K$37,10,FALSE)</f>
        <v>1436800</v>
      </c>
      <c r="K3462">
        <v>0</v>
      </c>
      <c r="L3462" s="4">
        <v>2.8441369999999999</v>
      </c>
      <c r="M3462" s="4">
        <v>119.232078</v>
      </c>
      <c r="N3462" s="6"/>
      <c r="P3462"/>
      <c r="Q3462" s="12"/>
      <c r="R3462" s="12"/>
    </row>
    <row r="3463" spans="1:18" x14ac:dyDescent="0.2">
      <c r="A3463">
        <v>30</v>
      </c>
      <c r="B3463" t="s">
        <v>26</v>
      </c>
      <c r="C3463">
        <v>2013</v>
      </c>
      <c r="D3463">
        <v>10</v>
      </c>
      <c r="E3463" s="4">
        <v>0</v>
      </c>
      <c r="F3463" s="9">
        <v>0</v>
      </c>
      <c r="G3463" s="6">
        <v>1215</v>
      </c>
      <c r="H3463" s="9">
        <f t="shared" si="54"/>
        <v>0</v>
      </c>
      <c r="I3463" s="6">
        <v>13000</v>
      </c>
      <c r="J3463" s="6">
        <f>VLOOKUP(Table1[[#This Row],[Province]],[1]Sheet1!$A$3:$K$37,10,FALSE)</f>
        <v>1436800</v>
      </c>
      <c r="K3463">
        <v>0</v>
      </c>
      <c r="L3463" s="4">
        <v>2.8441369999999999</v>
      </c>
      <c r="M3463" s="4">
        <v>119.232078</v>
      </c>
      <c r="N3463" s="6"/>
      <c r="P3463"/>
      <c r="Q3463" s="12"/>
      <c r="R3463" s="12"/>
    </row>
    <row r="3464" spans="1:18" x14ac:dyDescent="0.2">
      <c r="A3464">
        <v>30</v>
      </c>
      <c r="B3464" t="s">
        <v>26</v>
      </c>
      <c r="C3464">
        <v>2013</v>
      </c>
      <c r="D3464">
        <v>11</v>
      </c>
      <c r="E3464" s="4">
        <v>0</v>
      </c>
      <c r="F3464" s="9">
        <v>0</v>
      </c>
      <c r="G3464" s="6">
        <v>895</v>
      </c>
      <c r="H3464" s="9">
        <f t="shared" si="54"/>
        <v>0</v>
      </c>
      <c r="I3464" s="6">
        <v>13000</v>
      </c>
      <c r="J3464" s="6">
        <f>VLOOKUP(Table1[[#This Row],[Province]],[1]Sheet1!$A$3:$K$37,10,FALSE)</f>
        <v>1436800</v>
      </c>
      <c r="K3464">
        <v>0</v>
      </c>
      <c r="L3464" s="4">
        <v>2.8441369999999999</v>
      </c>
      <c r="M3464" s="4">
        <v>119.232078</v>
      </c>
      <c r="N3464" s="6"/>
      <c r="P3464"/>
      <c r="Q3464" s="12"/>
      <c r="R3464" s="12"/>
    </row>
    <row r="3465" spans="1:18" x14ac:dyDescent="0.2">
      <c r="A3465">
        <v>30</v>
      </c>
      <c r="B3465" t="s">
        <v>26</v>
      </c>
      <c r="C3465">
        <v>2013</v>
      </c>
      <c r="D3465">
        <v>12</v>
      </c>
      <c r="E3465" s="4">
        <v>0</v>
      </c>
      <c r="F3465" s="9">
        <v>0</v>
      </c>
      <c r="G3465" s="6">
        <v>1245</v>
      </c>
      <c r="H3465" s="9">
        <f t="shared" si="54"/>
        <v>0</v>
      </c>
      <c r="I3465" s="6">
        <v>12650</v>
      </c>
      <c r="J3465" s="6">
        <f>VLOOKUP(Table1[[#This Row],[Province]],[1]Sheet1!$A$3:$K$37,10,FALSE)</f>
        <v>1436800</v>
      </c>
      <c r="K3465">
        <v>1</v>
      </c>
      <c r="L3465" s="4">
        <v>2.8441369999999999</v>
      </c>
      <c r="M3465" s="4">
        <v>119.232078</v>
      </c>
      <c r="N3465" s="6"/>
      <c r="P3465"/>
      <c r="Q3465" s="12"/>
      <c r="R3465" s="12"/>
    </row>
    <row r="3466" spans="1:18" x14ac:dyDescent="0.2">
      <c r="A3466">
        <v>30</v>
      </c>
      <c r="B3466" t="s">
        <v>26</v>
      </c>
      <c r="C3466">
        <v>2014</v>
      </c>
      <c r="D3466">
        <v>1</v>
      </c>
      <c r="E3466" s="4">
        <v>0</v>
      </c>
      <c r="F3466" s="9">
        <v>0</v>
      </c>
      <c r="G3466" s="6">
        <v>872</v>
      </c>
      <c r="H3466" s="9">
        <f t="shared" si="54"/>
        <v>0</v>
      </c>
      <c r="I3466" s="6">
        <v>12000</v>
      </c>
      <c r="J3466" s="6">
        <f>VLOOKUP(Table1[[#This Row],[Province]],[1]Sheet1!$A$3:$K$37,10,FALSE)</f>
        <v>1436800</v>
      </c>
      <c r="K3466">
        <v>0</v>
      </c>
      <c r="L3466" s="4">
        <v>2.8441369999999999</v>
      </c>
      <c r="M3466" s="4">
        <v>119.232078</v>
      </c>
      <c r="N3466" s="6"/>
      <c r="P3466"/>
      <c r="Q3466" s="12"/>
      <c r="R3466" s="12"/>
    </row>
    <row r="3467" spans="1:18" x14ac:dyDescent="0.2">
      <c r="A3467">
        <v>30</v>
      </c>
      <c r="B3467" t="s">
        <v>26</v>
      </c>
      <c r="C3467">
        <v>2014</v>
      </c>
      <c r="D3467">
        <v>2</v>
      </c>
      <c r="E3467" s="4">
        <v>0</v>
      </c>
      <c r="F3467" s="9">
        <v>0</v>
      </c>
      <c r="G3467" s="6">
        <v>778</v>
      </c>
      <c r="H3467" s="9">
        <f t="shared" si="54"/>
        <v>0</v>
      </c>
      <c r="I3467" s="6">
        <v>12000</v>
      </c>
      <c r="J3467" s="6">
        <f>VLOOKUP(Table1[[#This Row],[Province]],[1]Sheet1!$A$3:$K$37,10,FALSE)</f>
        <v>1436800</v>
      </c>
      <c r="K3467">
        <v>0</v>
      </c>
      <c r="L3467" s="4">
        <v>2.8441369999999999</v>
      </c>
      <c r="M3467" s="4">
        <v>119.232078</v>
      </c>
      <c r="N3467" s="6"/>
      <c r="P3467"/>
      <c r="Q3467" s="12"/>
      <c r="R3467" s="12"/>
    </row>
    <row r="3468" spans="1:18" x14ac:dyDescent="0.2">
      <c r="A3468">
        <v>30</v>
      </c>
      <c r="B3468" t="s">
        <v>26</v>
      </c>
      <c r="C3468">
        <v>2014</v>
      </c>
      <c r="D3468">
        <v>3</v>
      </c>
      <c r="E3468" s="4">
        <v>0</v>
      </c>
      <c r="F3468" s="9">
        <v>0</v>
      </c>
      <c r="G3468" s="6">
        <v>873</v>
      </c>
      <c r="H3468" s="9">
        <f t="shared" si="54"/>
        <v>0</v>
      </c>
      <c r="I3468" s="6">
        <v>12000</v>
      </c>
      <c r="J3468" s="6">
        <f>VLOOKUP(Table1[[#This Row],[Province]],[1]Sheet1!$A$3:$K$37,10,FALSE)</f>
        <v>1436800</v>
      </c>
      <c r="K3468">
        <v>0</v>
      </c>
      <c r="L3468" s="4">
        <v>2.8441369999999999</v>
      </c>
      <c r="M3468" s="4">
        <v>119.232078</v>
      </c>
      <c r="N3468" s="6"/>
      <c r="P3468"/>
      <c r="Q3468" s="12"/>
      <c r="R3468" s="12"/>
    </row>
    <row r="3469" spans="1:18" x14ac:dyDescent="0.2">
      <c r="A3469">
        <v>30</v>
      </c>
      <c r="B3469" t="s">
        <v>26</v>
      </c>
      <c r="C3469">
        <v>2014</v>
      </c>
      <c r="D3469">
        <v>4</v>
      </c>
      <c r="E3469" s="4">
        <v>0</v>
      </c>
      <c r="F3469" s="9">
        <v>0</v>
      </c>
      <c r="G3469" s="6">
        <v>1125</v>
      </c>
      <c r="H3469" s="9">
        <f t="shared" si="54"/>
        <v>0</v>
      </c>
      <c r="I3469" s="6">
        <v>12000</v>
      </c>
      <c r="J3469" s="6">
        <f>VLOOKUP(Table1[[#This Row],[Province]],[1]Sheet1!$A$3:$K$37,10,FALSE)</f>
        <v>1436800</v>
      </c>
      <c r="K3469">
        <v>0</v>
      </c>
      <c r="L3469" s="4">
        <v>2.8441369999999999</v>
      </c>
      <c r="M3469" s="4">
        <v>119.232078</v>
      </c>
      <c r="N3469" s="6"/>
      <c r="P3469"/>
      <c r="Q3469" s="12"/>
      <c r="R3469" s="12"/>
    </row>
    <row r="3470" spans="1:18" x14ac:dyDescent="0.2">
      <c r="A3470">
        <v>30</v>
      </c>
      <c r="B3470" t="s">
        <v>26</v>
      </c>
      <c r="C3470">
        <v>2014</v>
      </c>
      <c r="D3470">
        <v>5</v>
      </c>
      <c r="E3470" s="4">
        <v>0</v>
      </c>
      <c r="F3470" s="9">
        <v>0</v>
      </c>
      <c r="G3470" s="6">
        <v>1260</v>
      </c>
      <c r="H3470" s="9">
        <f t="shared" si="54"/>
        <v>0</v>
      </c>
      <c r="I3470" s="6">
        <v>12000</v>
      </c>
      <c r="J3470" s="6">
        <f>VLOOKUP(Table1[[#This Row],[Province]],[1]Sheet1!$A$3:$K$37,10,FALSE)</f>
        <v>1436800</v>
      </c>
      <c r="K3470">
        <v>0</v>
      </c>
      <c r="L3470" s="4">
        <v>2.8441369999999999</v>
      </c>
      <c r="M3470" s="4">
        <v>119.232078</v>
      </c>
      <c r="N3470" s="6"/>
      <c r="P3470"/>
      <c r="Q3470" s="12"/>
      <c r="R3470" s="12"/>
    </row>
    <row r="3471" spans="1:18" x14ac:dyDescent="0.2">
      <c r="A3471">
        <v>30</v>
      </c>
      <c r="B3471" t="s">
        <v>26</v>
      </c>
      <c r="C3471">
        <v>2014</v>
      </c>
      <c r="D3471">
        <v>6</v>
      </c>
      <c r="E3471" s="4">
        <v>0</v>
      </c>
      <c r="F3471" s="9">
        <v>0</v>
      </c>
      <c r="G3471" s="6">
        <v>1793</v>
      </c>
      <c r="H3471" s="9">
        <f t="shared" si="54"/>
        <v>0</v>
      </c>
      <c r="I3471" s="6">
        <v>12000</v>
      </c>
      <c r="J3471" s="6">
        <f>VLOOKUP(Table1[[#This Row],[Province]],[1]Sheet1!$A$3:$K$37,10,FALSE)</f>
        <v>1436800</v>
      </c>
      <c r="K3471">
        <v>1</v>
      </c>
      <c r="L3471" s="4">
        <v>2.8441369999999999</v>
      </c>
      <c r="M3471" s="4">
        <v>119.232078</v>
      </c>
      <c r="N3471" s="6"/>
      <c r="P3471"/>
      <c r="Q3471" s="12"/>
      <c r="R3471" s="12"/>
    </row>
    <row r="3472" spans="1:18" x14ac:dyDescent="0.2">
      <c r="A3472">
        <v>30</v>
      </c>
      <c r="B3472" t="s">
        <v>26</v>
      </c>
      <c r="C3472">
        <v>2014</v>
      </c>
      <c r="D3472">
        <v>7</v>
      </c>
      <c r="E3472" s="4">
        <v>0</v>
      </c>
      <c r="F3472" s="9">
        <v>0</v>
      </c>
      <c r="G3472" s="6">
        <v>1125</v>
      </c>
      <c r="H3472" s="9">
        <f t="shared" si="54"/>
        <v>0</v>
      </c>
      <c r="I3472" s="6">
        <v>12000</v>
      </c>
      <c r="J3472" s="6">
        <f>VLOOKUP(Table1[[#This Row],[Province]],[1]Sheet1!$A$3:$K$37,10,FALSE)</f>
        <v>1436800</v>
      </c>
      <c r="K3472">
        <v>0</v>
      </c>
      <c r="L3472" s="4">
        <v>2.8441369999999999</v>
      </c>
      <c r="M3472" s="4">
        <v>119.232078</v>
      </c>
      <c r="N3472" s="6"/>
      <c r="P3472"/>
      <c r="Q3472" s="12"/>
      <c r="R3472" s="12"/>
    </row>
    <row r="3473" spans="1:18" x14ac:dyDescent="0.2">
      <c r="A3473">
        <v>30</v>
      </c>
      <c r="B3473" t="s">
        <v>26</v>
      </c>
      <c r="C3473">
        <v>2014</v>
      </c>
      <c r="D3473">
        <v>8</v>
      </c>
      <c r="E3473" s="4">
        <v>0</v>
      </c>
      <c r="F3473" s="9">
        <v>0</v>
      </c>
      <c r="G3473" s="6">
        <v>1084</v>
      </c>
      <c r="H3473" s="9">
        <f t="shared" si="54"/>
        <v>0</v>
      </c>
      <c r="I3473" s="6">
        <v>12000</v>
      </c>
      <c r="J3473" s="6">
        <f>VLOOKUP(Table1[[#This Row],[Province]],[1]Sheet1!$A$3:$K$37,10,FALSE)</f>
        <v>1436800</v>
      </c>
      <c r="K3473">
        <v>0</v>
      </c>
      <c r="L3473" s="4">
        <v>2.8441369999999999</v>
      </c>
      <c r="M3473" s="4">
        <v>119.232078</v>
      </c>
      <c r="N3473" s="6"/>
      <c r="P3473"/>
      <c r="Q3473" s="12"/>
      <c r="R3473" s="12"/>
    </row>
    <row r="3474" spans="1:18" x14ac:dyDescent="0.2">
      <c r="A3474">
        <v>30</v>
      </c>
      <c r="B3474" t="s">
        <v>26</v>
      </c>
      <c r="C3474">
        <v>2014</v>
      </c>
      <c r="D3474">
        <v>9</v>
      </c>
      <c r="E3474" s="4">
        <v>0</v>
      </c>
      <c r="F3474" s="9">
        <v>0</v>
      </c>
      <c r="G3474" s="6">
        <v>1091</v>
      </c>
      <c r="H3474" s="9">
        <f t="shared" si="54"/>
        <v>0</v>
      </c>
      <c r="I3474" s="6">
        <v>12000</v>
      </c>
      <c r="J3474" s="6">
        <f>VLOOKUP(Table1[[#This Row],[Province]],[1]Sheet1!$A$3:$K$37,10,FALSE)</f>
        <v>1436800</v>
      </c>
      <c r="K3474">
        <v>0</v>
      </c>
      <c r="L3474" s="4">
        <v>2.8441369999999999</v>
      </c>
      <c r="M3474" s="4">
        <v>119.232078</v>
      </c>
      <c r="N3474" s="6"/>
      <c r="P3474"/>
      <c r="Q3474" s="12"/>
      <c r="R3474" s="12"/>
    </row>
    <row r="3475" spans="1:18" x14ac:dyDescent="0.2">
      <c r="A3475">
        <v>30</v>
      </c>
      <c r="B3475" t="s">
        <v>26</v>
      </c>
      <c r="C3475">
        <v>2014</v>
      </c>
      <c r="D3475">
        <v>10</v>
      </c>
      <c r="E3475" s="4">
        <v>0</v>
      </c>
      <c r="F3475" s="9">
        <v>0</v>
      </c>
      <c r="G3475" s="6">
        <v>1619</v>
      </c>
      <c r="H3475" s="9">
        <f t="shared" si="54"/>
        <v>0</v>
      </c>
      <c r="I3475" s="6">
        <v>12000</v>
      </c>
      <c r="J3475" s="6">
        <f>VLOOKUP(Table1[[#This Row],[Province]],[1]Sheet1!$A$3:$K$37,10,FALSE)</f>
        <v>1436800</v>
      </c>
      <c r="K3475">
        <v>0</v>
      </c>
      <c r="L3475" s="4">
        <v>2.8441369999999999</v>
      </c>
      <c r="M3475" s="4">
        <v>119.232078</v>
      </c>
      <c r="N3475" s="6"/>
      <c r="P3475"/>
      <c r="Q3475" s="12"/>
      <c r="R3475" s="12"/>
    </row>
    <row r="3476" spans="1:18" x14ac:dyDescent="0.2">
      <c r="A3476">
        <v>30</v>
      </c>
      <c r="B3476" t="s">
        <v>26</v>
      </c>
      <c r="C3476">
        <v>2014</v>
      </c>
      <c r="D3476">
        <v>11</v>
      </c>
      <c r="E3476" s="4">
        <v>0</v>
      </c>
      <c r="F3476" s="9">
        <v>0</v>
      </c>
      <c r="G3476" s="6">
        <v>1292</v>
      </c>
      <c r="H3476" s="9">
        <f t="shared" si="54"/>
        <v>0</v>
      </c>
      <c r="I3476" s="6">
        <v>12000</v>
      </c>
      <c r="J3476" s="6">
        <f>VLOOKUP(Table1[[#This Row],[Province]],[1]Sheet1!$A$3:$K$37,10,FALSE)</f>
        <v>1436800</v>
      </c>
      <c r="K3476">
        <v>0</v>
      </c>
      <c r="L3476" s="4">
        <v>2.8441369999999999</v>
      </c>
      <c r="M3476" s="4">
        <v>119.232078</v>
      </c>
      <c r="N3476" s="6"/>
      <c r="P3476"/>
      <c r="Q3476" s="12"/>
      <c r="R3476" s="12"/>
    </row>
    <row r="3477" spans="1:18" x14ac:dyDescent="0.2">
      <c r="A3477">
        <v>30</v>
      </c>
      <c r="B3477" t="s">
        <v>26</v>
      </c>
      <c r="C3477">
        <v>2014</v>
      </c>
      <c r="D3477">
        <v>12</v>
      </c>
      <c r="E3477" s="4">
        <v>0</v>
      </c>
      <c r="F3477" s="9">
        <v>0</v>
      </c>
      <c r="G3477" s="6">
        <v>1506</v>
      </c>
      <c r="H3477" s="9">
        <f t="shared" si="54"/>
        <v>0</v>
      </c>
      <c r="I3477" s="6">
        <v>12000</v>
      </c>
      <c r="J3477" s="6">
        <f>VLOOKUP(Table1[[#This Row],[Province]],[1]Sheet1!$A$3:$K$37,10,FALSE)</f>
        <v>1436800</v>
      </c>
      <c r="K3477">
        <v>1</v>
      </c>
      <c r="L3477" s="4">
        <v>2.8441369999999999</v>
      </c>
      <c r="M3477" s="4">
        <v>119.232078</v>
      </c>
      <c r="N3477" s="6"/>
      <c r="P3477"/>
      <c r="Q3477" s="12"/>
      <c r="R3477" s="12"/>
    </row>
    <row r="3478" spans="1:18" x14ac:dyDescent="0.2">
      <c r="A3478">
        <v>30</v>
      </c>
      <c r="B3478" t="s">
        <v>26</v>
      </c>
      <c r="C3478">
        <v>2015</v>
      </c>
      <c r="D3478">
        <v>1</v>
      </c>
      <c r="E3478" s="4">
        <v>0</v>
      </c>
      <c r="F3478" s="9">
        <v>0</v>
      </c>
      <c r="G3478" s="6">
        <v>740</v>
      </c>
      <c r="H3478" s="9">
        <f t="shared" si="54"/>
        <v>0</v>
      </c>
      <c r="I3478" s="6">
        <v>12000</v>
      </c>
      <c r="J3478" s="6">
        <f>VLOOKUP(Table1[[#This Row],[Province]],[1]Sheet1!$A$3:$K$37,10,FALSE)</f>
        <v>1436800</v>
      </c>
      <c r="K3478">
        <v>0</v>
      </c>
      <c r="L3478" s="4">
        <v>2.8441369999999999</v>
      </c>
      <c r="M3478" s="4">
        <v>119.232078</v>
      </c>
      <c r="N3478" s="6"/>
      <c r="P3478"/>
      <c r="Q3478" s="12"/>
      <c r="R3478" s="12"/>
    </row>
    <row r="3479" spans="1:18" x14ac:dyDescent="0.2">
      <c r="A3479">
        <v>30</v>
      </c>
      <c r="B3479" t="s">
        <v>26</v>
      </c>
      <c r="C3479">
        <v>2015</v>
      </c>
      <c r="D3479">
        <v>2</v>
      </c>
      <c r="E3479" s="4">
        <v>0</v>
      </c>
      <c r="F3479" s="9">
        <v>0</v>
      </c>
      <c r="G3479" s="6">
        <v>1867</v>
      </c>
      <c r="H3479" s="9">
        <f t="shared" si="54"/>
        <v>0</v>
      </c>
      <c r="I3479" s="6">
        <v>12000</v>
      </c>
      <c r="J3479" s="6">
        <f>VLOOKUP(Table1[[#This Row],[Province]],[1]Sheet1!$A$3:$K$37,10,FALSE)</f>
        <v>1436800</v>
      </c>
      <c r="K3479">
        <v>0</v>
      </c>
      <c r="L3479" s="4">
        <v>2.8441369999999999</v>
      </c>
      <c r="M3479" s="4">
        <v>119.232078</v>
      </c>
      <c r="N3479" s="6"/>
      <c r="P3479"/>
      <c r="Q3479" s="12"/>
      <c r="R3479" s="12"/>
    </row>
    <row r="3480" spans="1:18" x14ac:dyDescent="0.2">
      <c r="A3480">
        <v>30</v>
      </c>
      <c r="B3480" t="s">
        <v>26</v>
      </c>
      <c r="C3480">
        <v>2015</v>
      </c>
      <c r="D3480">
        <v>3</v>
      </c>
      <c r="E3480" s="4">
        <v>0</v>
      </c>
      <c r="F3480" s="9">
        <v>0</v>
      </c>
      <c r="G3480" s="6">
        <v>847</v>
      </c>
      <c r="H3480" s="9">
        <f t="shared" si="54"/>
        <v>0</v>
      </c>
      <c r="I3480" s="6">
        <v>11983</v>
      </c>
      <c r="J3480" s="6">
        <f>VLOOKUP(Table1[[#This Row],[Province]],[1]Sheet1!$A$3:$K$37,10,FALSE)</f>
        <v>1436800</v>
      </c>
      <c r="K3480">
        <v>0</v>
      </c>
      <c r="L3480" s="4">
        <v>2.8441369999999999</v>
      </c>
      <c r="M3480" s="4">
        <v>119.232078</v>
      </c>
      <c r="N3480" s="6"/>
      <c r="P3480"/>
      <c r="Q3480" s="12"/>
      <c r="R3480" s="12"/>
    </row>
    <row r="3481" spans="1:18" x14ac:dyDescent="0.2">
      <c r="A3481">
        <v>30</v>
      </c>
      <c r="B3481" t="s">
        <v>26</v>
      </c>
      <c r="C3481">
        <v>2015</v>
      </c>
      <c r="D3481">
        <v>4</v>
      </c>
      <c r="E3481" s="4">
        <v>0</v>
      </c>
      <c r="F3481" s="9">
        <v>0</v>
      </c>
      <c r="G3481" s="6">
        <v>1403</v>
      </c>
      <c r="H3481" s="9">
        <f t="shared" si="54"/>
        <v>0</v>
      </c>
      <c r="I3481" s="6">
        <v>12000</v>
      </c>
      <c r="J3481" s="6">
        <f>VLOOKUP(Table1[[#This Row],[Province]],[1]Sheet1!$A$3:$K$37,10,FALSE)</f>
        <v>1436800</v>
      </c>
      <c r="K3481">
        <v>0</v>
      </c>
      <c r="L3481" s="4">
        <v>2.8441369999999999</v>
      </c>
      <c r="M3481" s="4">
        <v>119.232078</v>
      </c>
      <c r="N3481" s="6"/>
      <c r="P3481"/>
      <c r="Q3481" s="12"/>
      <c r="R3481" s="12"/>
    </row>
    <row r="3482" spans="1:18" x14ac:dyDescent="0.2">
      <c r="A3482">
        <v>30</v>
      </c>
      <c r="B3482" t="s">
        <v>26</v>
      </c>
      <c r="C3482">
        <v>2015</v>
      </c>
      <c r="D3482">
        <v>5</v>
      </c>
      <c r="E3482" s="4">
        <v>0</v>
      </c>
      <c r="F3482" s="9">
        <v>0</v>
      </c>
      <c r="G3482" s="6">
        <v>1345</v>
      </c>
      <c r="H3482" s="9">
        <f t="shared" si="54"/>
        <v>0</v>
      </c>
      <c r="I3482" s="6">
        <v>12000</v>
      </c>
      <c r="J3482" s="6">
        <f>VLOOKUP(Table1[[#This Row],[Province]],[1]Sheet1!$A$3:$K$37,10,FALSE)</f>
        <v>1436800</v>
      </c>
      <c r="K3482">
        <v>0</v>
      </c>
      <c r="L3482" s="4">
        <v>2.8441369999999999</v>
      </c>
      <c r="M3482" s="4">
        <v>119.232078</v>
      </c>
      <c r="N3482" s="6"/>
      <c r="P3482"/>
      <c r="Q3482" s="12"/>
      <c r="R3482" s="12"/>
    </row>
    <row r="3483" spans="1:18" x14ac:dyDescent="0.2">
      <c r="A3483">
        <v>30</v>
      </c>
      <c r="B3483" t="s">
        <v>26</v>
      </c>
      <c r="C3483">
        <v>2015</v>
      </c>
      <c r="D3483">
        <v>6</v>
      </c>
      <c r="E3483" s="4">
        <v>0</v>
      </c>
      <c r="F3483" s="9">
        <v>0</v>
      </c>
      <c r="G3483" s="6">
        <v>1528</v>
      </c>
      <c r="H3483" s="9">
        <f t="shared" si="54"/>
        <v>0</v>
      </c>
      <c r="I3483" s="6">
        <v>13381</v>
      </c>
      <c r="J3483" s="6">
        <f>VLOOKUP(Table1[[#This Row],[Province]],[1]Sheet1!$A$3:$K$37,10,FALSE)</f>
        <v>1436800</v>
      </c>
      <c r="K3483">
        <v>1</v>
      </c>
      <c r="L3483" s="4">
        <v>2.8441369999999999</v>
      </c>
      <c r="M3483" s="4">
        <v>119.232078</v>
      </c>
      <c r="N3483" s="6"/>
      <c r="P3483"/>
      <c r="Q3483" s="12"/>
      <c r="R3483" s="12"/>
    </row>
    <row r="3484" spans="1:18" x14ac:dyDescent="0.2">
      <c r="A3484">
        <v>30</v>
      </c>
      <c r="B3484" t="s">
        <v>26</v>
      </c>
      <c r="C3484">
        <v>2015</v>
      </c>
      <c r="D3484">
        <v>7</v>
      </c>
      <c r="E3484" s="4">
        <v>0</v>
      </c>
      <c r="F3484" s="9">
        <v>0</v>
      </c>
      <c r="G3484" s="6">
        <v>1043</v>
      </c>
      <c r="H3484" s="9">
        <f t="shared" si="54"/>
        <v>0</v>
      </c>
      <c r="I3484" s="6">
        <v>14000</v>
      </c>
      <c r="J3484" s="6">
        <f>VLOOKUP(Table1[[#This Row],[Province]],[1]Sheet1!$A$3:$K$37,10,FALSE)</f>
        <v>1436800</v>
      </c>
      <c r="K3484">
        <v>0</v>
      </c>
      <c r="L3484" s="4">
        <v>2.8441369999999999</v>
      </c>
      <c r="M3484" s="4">
        <v>119.232078</v>
      </c>
      <c r="N3484" s="6"/>
      <c r="P3484"/>
      <c r="Q3484" s="12"/>
      <c r="R3484" s="12"/>
    </row>
    <row r="3485" spans="1:18" x14ac:dyDescent="0.2">
      <c r="A3485">
        <v>30</v>
      </c>
      <c r="B3485" t="s">
        <v>26</v>
      </c>
      <c r="C3485">
        <v>2015</v>
      </c>
      <c r="D3485">
        <v>8</v>
      </c>
      <c r="E3485" s="4">
        <v>0</v>
      </c>
      <c r="F3485" s="9">
        <v>0</v>
      </c>
      <c r="G3485" s="6">
        <v>1032</v>
      </c>
      <c r="H3485" s="9">
        <f t="shared" si="54"/>
        <v>0</v>
      </c>
      <c r="I3485" s="6">
        <v>14000</v>
      </c>
      <c r="J3485" s="6">
        <f>VLOOKUP(Table1[[#This Row],[Province]],[1]Sheet1!$A$3:$K$37,10,FALSE)</f>
        <v>1436800</v>
      </c>
      <c r="K3485">
        <v>0</v>
      </c>
      <c r="L3485" s="4">
        <v>2.8441369999999999</v>
      </c>
      <c r="M3485" s="4">
        <v>119.232078</v>
      </c>
      <c r="N3485" s="6"/>
      <c r="P3485"/>
      <c r="Q3485" s="12"/>
      <c r="R3485" s="12"/>
    </row>
    <row r="3486" spans="1:18" x14ac:dyDescent="0.2">
      <c r="A3486">
        <v>30</v>
      </c>
      <c r="B3486" t="s">
        <v>26</v>
      </c>
      <c r="C3486">
        <v>2015</v>
      </c>
      <c r="D3486">
        <v>9</v>
      </c>
      <c r="E3486" s="4">
        <v>0</v>
      </c>
      <c r="F3486" s="9">
        <v>0</v>
      </c>
      <c r="G3486" s="6">
        <v>1386</v>
      </c>
      <c r="H3486" s="9">
        <f t="shared" si="54"/>
        <v>0</v>
      </c>
      <c r="I3486" s="6">
        <v>14000</v>
      </c>
      <c r="J3486" s="6">
        <f>VLOOKUP(Table1[[#This Row],[Province]],[1]Sheet1!$A$3:$K$37,10,FALSE)</f>
        <v>1436800</v>
      </c>
      <c r="K3486">
        <v>0</v>
      </c>
      <c r="L3486" s="4">
        <v>2.8441369999999999</v>
      </c>
      <c r="M3486" s="4">
        <v>119.232078</v>
      </c>
      <c r="N3486" s="6"/>
      <c r="P3486"/>
      <c r="Q3486" s="12"/>
      <c r="R3486" s="12"/>
    </row>
    <row r="3487" spans="1:18" x14ac:dyDescent="0.2">
      <c r="A3487">
        <v>30</v>
      </c>
      <c r="B3487" t="s">
        <v>26</v>
      </c>
      <c r="C3487">
        <v>2015</v>
      </c>
      <c r="D3487">
        <v>10</v>
      </c>
      <c r="E3487" s="4">
        <v>0</v>
      </c>
      <c r="F3487" s="9">
        <v>0</v>
      </c>
      <c r="G3487" s="6">
        <v>924</v>
      </c>
      <c r="H3487" s="9">
        <f t="shared" si="54"/>
        <v>0</v>
      </c>
      <c r="I3487" s="6">
        <v>14095</v>
      </c>
      <c r="J3487" s="6">
        <f>VLOOKUP(Table1[[#This Row],[Province]],[1]Sheet1!$A$3:$K$37,10,FALSE)</f>
        <v>1436800</v>
      </c>
      <c r="K3487">
        <v>0</v>
      </c>
      <c r="L3487" s="4">
        <v>2.8441369999999999</v>
      </c>
      <c r="M3487" s="4">
        <v>119.232078</v>
      </c>
      <c r="N3487" s="6"/>
      <c r="P3487"/>
      <c r="Q3487" s="12"/>
      <c r="R3487" s="12"/>
    </row>
    <row r="3488" spans="1:18" x14ac:dyDescent="0.2">
      <c r="A3488">
        <v>30</v>
      </c>
      <c r="B3488" t="s">
        <v>26</v>
      </c>
      <c r="C3488">
        <v>2015</v>
      </c>
      <c r="D3488">
        <v>11</v>
      </c>
      <c r="E3488" s="4">
        <v>0</v>
      </c>
      <c r="F3488" s="9">
        <v>0</v>
      </c>
      <c r="G3488" s="6">
        <v>1218</v>
      </c>
      <c r="H3488" s="9">
        <f t="shared" si="54"/>
        <v>0</v>
      </c>
      <c r="I3488" s="6">
        <v>14000</v>
      </c>
      <c r="J3488" s="6">
        <f>VLOOKUP(Table1[[#This Row],[Province]],[1]Sheet1!$A$3:$K$37,10,FALSE)</f>
        <v>1436800</v>
      </c>
      <c r="K3488">
        <v>0</v>
      </c>
      <c r="L3488" s="4">
        <v>2.8441369999999999</v>
      </c>
      <c r="M3488" s="4">
        <v>119.232078</v>
      </c>
      <c r="N3488" s="6"/>
      <c r="P3488"/>
      <c r="Q3488" s="12"/>
      <c r="R3488" s="12"/>
    </row>
    <row r="3489" spans="1:18" x14ac:dyDescent="0.2">
      <c r="A3489">
        <v>30</v>
      </c>
      <c r="B3489" t="s">
        <v>26</v>
      </c>
      <c r="C3489">
        <v>2015</v>
      </c>
      <c r="D3489">
        <v>12</v>
      </c>
      <c r="E3489" s="4">
        <v>0</v>
      </c>
      <c r="F3489" s="9">
        <v>0</v>
      </c>
      <c r="G3489" s="6">
        <v>1305</v>
      </c>
      <c r="H3489" s="9">
        <f t="shared" si="54"/>
        <v>0</v>
      </c>
      <c r="I3489" s="6">
        <v>14000</v>
      </c>
      <c r="J3489" s="6">
        <f>VLOOKUP(Table1[[#This Row],[Province]],[1]Sheet1!$A$3:$K$37,10,FALSE)</f>
        <v>1436800</v>
      </c>
      <c r="K3489">
        <v>1</v>
      </c>
      <c r="L3489" s="4">
        <v>2.8441369999999999</v>
      </c>
      <c r="M3489" s="4">
        <v>119.232078</v>
      </c>
      <c r="N3489" s="6"/>
      <c r="P3489"/>
      <c r="Q3489" s="12"/>
      <c r="R3489" s="12"/>
    </row>
    <row r="3490" spans="1:18" x14ac:dyDescent="0.2">
      <c r="A3490">
        <v>30</v>
      </c>
      <c r="B3490" t="s">
        <v>26</v>
      </c>
      <c r="C3490">
        <v>2016</v>
      </c>
      <c r="D3490">
        <v>1</v>
      </c>
      <c r="E3490" s="4">
        <v>0</v>
      </c>
      <c r="F3490" s="9">
        <v>0</v>
      </c>
      <c r="G3490" s="6">
        <v>1279</v>
      </c>
      <c r="H3490" s="9">
        <f t="shared" si="54"/>
        <v>0</v>
      </c>
      <c r="I3490" s="6">
        <v>14000</v>
      </c>
      <c r="J3490" s="6">
        <f>VLOOKUP(Table1[[#This Row],[Province]],[1]Sheet1!$A$3:$K$37,10,FALSE)</f>
        <v>1436800</v>
      </c>
      <c r="K3490">
        <v>0</v>
      </c>
      <c r="L3490" s="4">
        <v>2.8441369999999999</v>
      </c>
      <c r="M3490" s="4">
        <v>119.232078</v>
      </c>
      <c r="N3490" s="13">
        <v>6.01</v>
      </c>
      <c r="P3490"/>
      <c r="Q3490" s="12"/>
      <c r="R3490" s="12"/>
    </row>
    <row r="3491" spans="1:18" x14ac:dyDescent="0.2">
      <c r="A3491">
        <v>30</v>
      </c>
      <c r="B3491" t="s">
        <v>26</v>
      </c>
      <c r="C3491">
        <v>2016</v>
      </c>
      <c r="D3491">
        <v>2</v>
      </c>
      <c r="E3491" s="4">
        <v>0</v>
      </c>
      <c r="F3491" s="9">
        <v>0</v>
      </c>
      <c r="G3491" s="6">
        <v>1533</v>
      </c>
      <c r="H3491" s="9">
        <f t="shared" si="54"/>
        <v>0</v>
      </c>
      <c r="I3491" s="6">
        <v>14000</v>
      </c>
      <c r="J3491" s="6">
        <f>VLOOKUP(Table1[[#This Row],[Province]],[1]Sheet1!$A$3:$K$37,10,FALSE)</f>
        <v>1436800</v>
      </c>
      <c r="K3491">
        <v>0</v>
      </c>
      <c r="L3491" s="4">
        <v>2.8441369999999999</v>
      </c>
      <c r="M3491" s="4">
        <v>119.232078</v>
      </c>
      <c r="N3491" s="13">
        <v>6.01</v>
      </c>
      <c r="P3491"/>
      <c r="Q3491" s="12"/>
      <c r="R3491" s="12"/>
    </row>
    <row r="3492" spans="1:18" x14ac:dyDescent="0.2">
      <c r="A3492">
        <v>30</v>
      </c>
      <c r="B3492" t="s">
        <v>26</v>
      </c>
      <c r="C3492">
        <v>2016</v>
      </c>
      <c r="D3492">
        <v>3</v>
      </c>
      <c r="E3492" s="4">
        <v>0</v>
      </c>
      <c r="F3492" s="9">
        <v>0</v>
      </c>
      <c r="G3492" s="6">
        <v>849</v>
      </c>
      <c r="H3492" s="9">
        <f t="shared" si="54"/>
        <v>0</v>
      </c>
      <c r="I3492" s="6">
        <v>14000</v>
      </c>
      <c r="J3492" s="6">
        <f>VLOOKUP(Table1[[#This Row],[Province]],[1]Sheet1!$A$3:$K$37,10,FALSE)</f>
        <v>1436800</v>
      </c>
      <c r="K3492">
        <v>0</v>
      </c>
      <c r="L3492" s="4">
        <v>2.8441369999999999</v>
      </c>
      <c r="M3492" s="4">
        <v>119.232078</v>
      </c>
      <c r="N3492" s="13">
        <v>6.01</v>
      </c>
      <c r="P3492"/>
      <c r="Q3492" s="12"/>
      <c r="R3492" s="12"/>
    </row>
    <row r="3493" spans="1:18" x14ac:dyDescent="0.2">
      <c r="A3493">
        <v>30</v>
      </c>
      <c r="B3493" t="s">
        <v>26</v>
      </c>
      <c r="C3493">
        <v>2016</v>
      </c>
      <c r="D3493">
        <v>4</v>
      </c>
      <c r="E3493" s="4">
        <v>0</v>
      </c>
      <c r="F3493" s="9">
        <v>0</v>
      </c>
      <c r="G3493" s="6">
        <v>571</v>
      </c>
      <c r="H3493" s="9">
        <f t="shared" si="54"/>
        <v>0</v>
      </c>
      <c r="I3493" s="6">
        <v>14000</v>
      </c>
      <c r="J3493" s="6">
        <f>VLOOKUP(Table1[[#This Row],[Province]],[1]Sheet1!$A$3:$K$37,10,FALSE)</f>
        <v>1436800</v>
      </c>
      <c r="K3493">
        <v>0</v>
      </c>
      <c r="L3493" s="4">
        <v>2.8441369999999999</v>
      </c>
      <c r="M3493" s="4">
        <v>119.232078</v>
      </c>
      <c r="N3493" s="13">
        <v>6.01</v>
      </c>
      <c r="P3493"/>
      <c r="Q3493" s="12"/>
      <c r="R3493" s="12"/>
    </row>
    <row r="3494" spans="1:18" x14ac:dyDescent="0.2">
      <c r="A3494">
        <v>30</v>
      </c>
      <c r="B3494" t="s">
        <v>26</v>
      </c>
      <c r="C3494">
        <v>2016</v>
      </c>
      <c r="D3494">
        <v>5</v>
      </c>
      <c r="E3494" s="4">
        <v>0</v>
      </c>
      <c r="F3494" s="9">
        <v>0</v>
      </c>
      <c r="G3494" s="6">
        <v>1235</v>
      </c>
      <c r="H3494" s="9">
        <f t="shared" si="54"/>
        <v>0</v>
      </c>
      <c r="I3494" s="6">
        <v>14650</v>
      </c>
      <c r="J3494" s="6">
        <f>VLOOKUP(Table1[[#This Row],[Province]],[1]Sheet1!$A$3:$K$37,10,FALSE)</f>
        <v>1436800</v>
      </c>
      <c r="K3494">
        <v>0</v>
      </c>
      <c r="L3494" s="4">
        <v>2.8441369999999999</v>
      </c>
      <c r="M3494" s="4">
        <v>119.232078</v>
      </c>
      <c r="N3494" s="13">
        <v>6.01</v>
      </c>
      <c r="P3494"/>
      <c r="Q3494" s="12"/>
      <c r="R3494" s="12"/>
    </row>
    <row r="3495" spans="1:18" x14ac:dyDescent="0.2">
      <c r="A3495">
        <v>30</v>
      </c>
      <c r="B3495" t="s">
        <v>26</v>
      </c>
      <c r="C3495">
        <v>2016</v>
      </c>
      <c r="D3495">
        <v>6</v>
      </c>
      <c r="E3495" s="4">
        <v>0</v>
      </c>
      <c r="F3495" s="9">
        <v>0</v>
      </c>
      <c r="G3495" s="6">
        <v>1356</v>
      </c>
      <c r="H3495" s="9">
        <f t="shared" si="54"/>
        <v>0</v>
      </c>
      <c r="I3495" s="6">
        <v>15636</v>
      </c>
      <c r="J3495" s="6">
        <f>VLOOKUP(Table1[[#This Row],[Province]],[1]Sheet1!$A$3:$K$37,10,FALSE)</f>
        <v>1436800</v>
      </c>
      <c r="K3495">
        <v>1</v>
      </c>
      <c r="L3495" s="4">
        <v>2.8441369999999999</v>
      </c>
      <c r="M3495" s="4">
        <v>119.232078</v>
      </c>
      <c r="N3495" s="13">
        <v>6.01</v>
      </c>
      <c r="P3495"/>
      <c r="Q3495" s="12"/>
      <c r="R3495" s="12"/>
    </row>
    <row r="3496" spans="1:18" x14ac:dyDescent="0.2">
      <c r="A3496">
        <v>30</v>
      </c>
      <c r="B3496" t="s">
        <v>26</v>
      </c>
      <c r="C3496">
        <v>2016</v>
      </c>
      <c r="D3496">
        <v>7</v>
      </c>
      <c r="E3496" s="4">
        <v>0</v>
      </c>
      <c r="F3496" s="9">
        <v>0</v>
      </c>
      <c r="G3496" s="6">
        <v>1294</v>
      </c>
      <c r="H3496" s="9">
        <f t="shared" si="54"/>
        <v>0</v>
      </c>
      <c r="I3496" s="6">
        <v>16000</v>
      </c>
      <c r="J3496" s="6">
        <f>VLOOKUP(Table1[[#This Row],[Province]],[1]Sheet1!$A$3:$K$37,10,FALSE)</f>
        <v>1436800</v>
      </c>
      <c r="K3496">
        <v>0</v>
      </c>
      <c r="L3496" s="4">
        <v>2.8441369999999999</v>
      </c>
      <c r="M3496" s="4">
        <v>119.232078</v>
      </c>
      <c r="N3496" s="13">
        <v>6.01</v>
      </c>
      <c r="P3496"/>
      <c r="Q3496" s="12"/>
      <c r="R3496" s="12"/>
    </row>
    <row r="3497" spans="1:18" x14ac:dyDescent="0.2">
      <c r="A3497">
        <v>30</v>
      </c>
      <c r="B3497" t="s">
        <v>26</v>
      </c>
      <c r="C3497">
        <v>2016</v>
      </c>
      <c r="D3497">
        <v>8</v>
      </c>
      <c r="E3497" s="4">
        <v>0</v>
      </c>
      <c r="F3497" s="9">
        <v>0</v>
      </c>
      <c r="G3497" s="6">
        <v>1278</v>
      </c>
      <c r="H3497" s="9">
        <f t="shared" si="54"/>
        <v>0</v>
      </c>
      <c r="I3497" s="6">
        <v>16000</v>
      </c>
      <c r="J3497" s="6">
        <f>VLOOKUP(Table1[[#This Row],[Province]],[1]Sheet1!$A$3:$K$37,10,FALSE)</f>
        <v>1436800</v>
      </c>
      <c r="K3497">
        <v>0</v>
      </c>
      <c r="L3497" s="4">
        <v>2.8441369999999999</v>
      </c>
      <c r="M3497" s="4">
        <v>119.232078</v>
      </c>
      <c r="N3497" s="13">
        <v>6.01</v>
      </c>
      <c r="P3497"/>
      <c r="Q3497" s="12"/>
      <c r="R3497" s="12"/>
    </row>
    <row r="3498" spans="1:18" x14ac:dyDescent="0.2">
      <c r="A3498">
        <v>30</v>
      </c>
      <c r="B3498" t="s">
        <v>26</v>
      </c>
      <c r="C3498">
        <v>2016</v>
      </c>
      <c r="D3498">
        <v>9</v>
      </c>
      <c r="E3498" s="4">
        <v>0</v>
      </c>
      <c r="F3498" s="9">
        <v>0</v>
      </c>
      <c r="G3498" s="6">
        <v>494</v>
      </c>
      <c r="H3498" s="9">
        <f t="shared" si="54"/>
        <v>0</v>
      </c>
      <c r="I3498" s="6">
        <v>15905</v>
      </c>
      <c r="J3498" s="6">
        <f>VLOOKUP(Table1[[#This Row],[Province]],[1]Sheet1!$A$3:$K$37,10,FALSE)</f>
        <v>1436800</v>
      </c>
      <c r="K3498">
        <v>0</v>
      </c>
      <c r="L3498" s="4">
        <v>2.8441369999999999</v>
      </c>
      <c r="M3498" s="4">
        <v>119.232078</v>
      </c>
      <c r="N3498" s="13">
        <v>6.01</v>
      </c>
      <c r="P3498"/>
      <c r="Q3498" s="12"/>
      <c r="R3498" s="12"/>
    </row>
    <row r="3499" spans="1:18" x14ac:dyDescent="0.2">
      <c r="A3499">
        <v>30</v>
      </c>
      <c r="B3499" t="s">
        <v>26</v>
      </c>
      <c r="C3499">
        <v>2016</v>
      </c>
      <c r="D3499">
        <v>10</v>
      </c>
      <c r="E3499" s="4">
        <v>0</v>
      </c>
      <c r="F3499" s="9">
        <v>0</v>
      </c>
      <c r="G3499" s="6">
        <v>2158</v>
      </c>
      <c r="H3499" s="9">
        <f t="shared" si="54"/>
        <v>0</v>
      </c>
      <c r="I3499" s="6">
        <v>15000</v>
      </c>
      <c r="J3499" s="6">
        <f>VLOOKUP(Table1[[#This Row],[Province]],[1]Sheet1!$A$3:$K$37,10,FALSE)</f>
        <v>1436800</v>
      </c>
      <c r="K3499">
        <v>0</v>
      </c>
      <c r="L3499" s="4">
        <v>2.8441369999999999</v>
      </c>
      <c r="M3499" s="4">
        <v>119.232078</v>
      </c>
      <c r="N3499" s="13">
        <v>6.01</v>
      </c>
      <c r="P3499"/>
      <c r="Q3499" s="12"/>
      <c r="R3499" s="12"/>
    </row>
    <row r="3500" spans="1:18" x14ac:dyDescent="0.2">
      <c r="A3500">
        <v>30</v>
      </c>
      <c r="B3500" t="s">
        <v>26</v>
      </c>
      <c r="C3500">
        <v>2016</v>
      </c>
      <c r="D3500">
        <v>11</v>
      </c>
      <c r="E3500" s="4">
        <v>0</v>
      </c>
      <c r="F3500" s="9">
        <v>0</v>
      </c>
      <c r="G3500" s="6">
        <v>611</v>
      </c>
      <c r="H3500" s="9">
        <f t="shared" si="54"/>
        <v>0</v>
      </c>
      <c r="I3500" s="6">
        <v>15000</v>
      </c>
      <c r="J3500" s="6">
        <f>VLOOKUP(Table1[[#This Row],[Province]],[1]Sheet1!$A$3:$K$37,10,FALSE)</f>
        <v>1436800</v>
      </c>
      <c r="K3500">
        <v>0</v>
      </c>
      <c r="L3500" s="4">
        <v>2.8441369999999999</v>
      </c>
      <c r="M3500" s="4">
        <v>119.232078</v>
      </c>
      <c r="N3500" s="13">
        <v>6.01</v>
      </c>
      <c r="P3500"/>
      <c r="Q3500" s="12"/>
      <c r="R3500" s="12"/>
    </row>
    <row r="3501" spans="1:18" x14ac:dyDescent="0.2">
      <c r="A3501">
        <v>30</v>
      </c>
      <c r="B3501" t="s">
        <v>26</v>
      </c>
      <c r="C3501">
        <v>2016</v>
      </c>
      <c r="D3501">
        <v>12</v>
      </c>
      <c r="E3501" s="4">
        <v>0</v>
      </c>
      <c r="F3501" s="9">
        <v>0</v>
      </c>
      <c r="G3501" s="6">
        <v>612</v>
      </c>
      <c r="H3501" s="9">
        <f t="shared" si="54"/>
        <v>0</v>
      </c>
      <c r="I3501" s="6">
        <v>15000</v>
      </c>
      <c r="J3501" s="6">
        <f>VLOOKUP(Table1[[#This Row],[Province]],[1]Sheet1!$A$3:$K$37,10,FALSE)</f>
        <v>1436800</v>
      </c>
      <c r="K3501">
        <v>1</v>
      </c>
      <c r="L3501" s="4">
        <v>2.8441369999999999</v>
      </c>
      <c r="M3501" s="4">
        <v>119.232078</v>
      </c>
      <c r="N3501" s="13">
        <v>6.01</v>
      </c>
      <c r="P3501"/>
      <c r="Q3501" s="12"/>
      <c r="R3501" s="12"/>
    </row>
    <row r="3502" spans="1:18" x14ac:dyDescent="0.2">
      <c r="A3502">
        <v>30</v>
      </c>
      <c r="B3502" t="s">
        <v>26</v>
      </c>
      <c r="C3502">
        <v>2017</v>
      </c>
      <c r="D3502">
        <v>1</v>
      </c>
      <c r="E3502" s="4">
        <v>0</v>
      </c>
      <c r="F3502" s="9">
        <v>0</v>
      </c>
      <c r="G3502" s="6">
        <v>1212</v>
      </c>
      <c r="H3502" s="9">
        <f t="shared" si="54"/>
        <v>0</v>
      </c>
      <c r="I3502" s="6">
        <v>14810</v>
      </c>
      <c r="J3502" s="6">
        <f>VLOOKUP(Table1[[#This Row],[Province]],[1]Sheet1!$A$3:$K$37,10,FALSE)</f>
        <v>1436800</v>
      </c>
      <c r="K3502">
        <v>0</v>
      </c>
      <c r="L3502" s="4">
        <v>2.8441369999999999</v>
      </c>
      <c r="M3502" s="4">
        <v>119.232078</v>
      </c>
      <c r="N3502" s="13">
        <v>6.39</v>
      </c>
      <c r="P3502"/>
      <c r="Q3502" s="12"/>
      <c r="R3502" s="12"/>
    </row>
    <row r="3503" spans="1:18" x14ac:dyDescent="0.2">
      <c r="A3503">
        <v>30</v>
      </c>
      <c r="B3503" t="s">
        <v>26</v>
      </c>
      <c r="C3503">
        <v>2017</v>
      </c>
      <c r="D3503">
        <v>2</v>
      </c>
      <c r="E3503" s="4">
        <v>0</v>
      </c>
      <c r="F3503" s="9">
        <v>0</v>
      </c>
      <c r="G3503" s="6">
        <v>696</v>
      </c>
      <c r="H3503" s="9">
        <f t="shared" si="54"/>
        <v>0</v>
      </c>
      <c r="I3503" s="6">
        <v>14000</v>
      </c>
      <c r="J3503" s="6">
        <f>VLOOKUP(Table1[[#This Row],[Province]],[1]Sheet1!$A$3:$K$37,10,FALSE)</f>
        <v>1436800</v>
      </c>
      <c r="K3503">
        <v>0</v>
      </c>
      <c r="L3503" s="4">
        <v>2.8441369999999999</v>
      </c>
      <c r="M3503" s="4">
        <v>119.232078</v>
      </c>
      <c r="N3503" s="13">
        <v>6.39</v>
      </c>
      <c r="P3503"/>
      <c r="Q3503" s="12"/>
      <c r="R3503" s="12"/>
    </row>
    <row r="3504" spans="1:18" x14ac:dyDescent="0.2">
      <c r="A3504">
        <v>30</v>
      </c>
      <c r="B3504" t="s">
        <v>26</v>
      </c>
      <c r="C3504">
        <v>2017</v>
      </c>
      <c r="D3504">
        <v>3</v>
      </c>
      <c r="E3504" s="4">
        <v>0</v>
      </c>
      <c r="F3504" s="9">
        <v>0</v>
      </c>
      <c r="G3504" s="6">
        <v>544</v>
      </c>
      <c r="H3504" s="9">
        <f t="shared" si="54"/>
        <v>0</v>
      </c>
      <c r="I3504" s="6">
        <v>14000</v>
      </c>
      <c r="J3504" s="6">
        <f>VLOOKUP(Table1[[#This Row],[Province]],[1]Sheet1!$A$3:$K$37,10,FALSE)</f>
        <v>1436800</v>
      </c>
      <c r="K3504">
        <v>0</v>
      </c>
      <c r="L3504" s="4">
        <v>2.8441369999999999</v>
      </c>
      <c r="M3504" s="4">
        <v>119.232078</v>
      </c>
      <c r="N3504" s="13">
        <v>6.39</v>
      </c>
      <c r="P3504"/>
      <c r="Q3504" s="12"/>
      <c r="R3504" s="12"/>
    </row>
    <row r="3505" spans="1:18" x14ac:dyDescent="0.2">
      <c r="A3505">
        <v>30</v>
      </c>
      <c r="B3505" t="s">
        <v>26</v>
      </c>
      <c r="C3505">
        <v>2017</v>
      </c>
      <c r="D3505">
        <v>4</v>
      </c>
      <c r="E3505" s="4">
        <v>0</v>
      </c>
      <c r="F3505" s="9">
        <v>0</v>
      </c>
      <c r="G3505" s="6">
        <v>389</v>
      </c>
      <c r="H3505" s="9">
        <f t="shared" si="54"/>
        <v>0</v>
      </c>
      <c r="I3505" s="6">
        <v>14000</v>
      </c>
      <c r="J3505" s="6">
        <f>VLOOKUP(Table1[[#This Row],[Province]],[1]Sheet1!$A$3:$K$37,10,FALSE)</f>
        <v>1436800</v>
      </c>
      <c r="K3505">
        <v>0</v>
      </c>
      <c r="L3505" s="4">
        <v>2.8441369999999999</v>
      </c>
      <c r="M3505" s="4">
        <v>119.232078</v>
      </c>
      <c r="N3505" s="13">
        <v>6.39</v>
      </c>
      <c r="P3505"/>
      <c r="Q3505" s="12"/>
      <c r="R3505" s="12"/>
    </row>
    <row r="3506" spans="1:18" x14ac:dyDescent="0.2">
      <c r="A3506">
        <v>30</v>
      </c>
      <c r="B3506" t="s">
        <v>26</v>
      </c>
      <c r="C3506">
        <v>2017</v>
      </c>
      <c r="D3506">
        <v>5</v>
      </c>
      <c r="E3506" s="4">
        <v>0</v>
      </c>
      <c r="F3506" s="9">
        <v>0</v>
      </c>
      <c r="G3506" s="6">
        <v>374</v>
      </c>
      <c r="H3506" s="9">
        <f t="shared" si="54"/>
        <v>0</v>
      </c>
      <c r="I3506" s="6">
        <v>14000</v>
      </c>
      <c r="J3506" s="6">
        <f>VLOOKUP(Table1[[#This Row],[Province]],[1]Sheet1!$A$3:$K$37,10,FALSE)</f>
        <v>1436800</v>
      </c>
      <c r="K3506">
        <v>1</v>
      </c>
      <c r="L3506" s="4">
        <v>2.8441369999999999</v>
      </c>
      <c r="M3506" s="4">
        <v>119.232078</v>
      </c>
      <c r="N3506" s="13">
        <v>6.39</v>
      </c>
      <c r="P3506"/>
      <c r="Q3506" s="12"/>
      <c r="R3506" s="12"/>
    </row>
    <row r="3507" spans="1:18" x14ac:dyDescent="0.2">
      <c r="A3507">
        <v>30</v>
      </c>
      <c r="B3507" t="s">
        <v>26</v>
      </c>
      <c r="C3507">
        <v>2017</v>
      </c>
      <c r="D3507">
        <v>6</v>
      </c>
      <c r="E3507" s="4">
        <v>0</v>
      </c>
      <c r="F3507" s="9">
        <v>0</v>
      </c>
      <c r="G3507" s="6">
        <v>693</v>
      </c>
      <c r="H3507" s="9">
        <f t="shared" si="54"/>
        <v>0</v>
      </c>
      <c r="I3507" s="6">
        <v>13667</v>
      </c>
      <c r="J3507" s="6">
        <f>VLOOKUP(Table1[[#This Row],[Province]],[1]Sheet1!$A$3:$K$37,10,FALSE)</f>
        <v>1436800</v>
      </c>
      <c r="K3507">
        <v>0</v>
      </c>
      <c r="L3507" s="4">
        <v>2.8441369999999999</v>
      </c>
      <c r="M3507" s="4">
        <v>119.232078</v>
      </c>
      <c r="N3507" s="13">
        <v>6.39</v>
      </c>
      <c r="P3507"/>
      <c r="Q3507" s="12"/>
      <c r="R3507" s="12"/>
    </row>
    <row r="3508" spans="1:18" x14ac:dyDescent="0.2">
      <c r="A3508">
        <v>30</v>
      </c>
      <c r="B3508" t="s">
        <v>26</v>
      </c>
      <c r="C3508">
        <v>2017</v>
      </c>
      <c r="D3508">
        <v>7</v>
      </c>
      <c r="E3508" s="4">
        <v>0</v>
      </c>
      <c r="F3508" s="9">
        <v>0</v>
      </c>
      <c r="G3508" s="6">
        <v>771</v>
      </c>
      <c r="H3508" s="9">
        <f t="shared" si="54"/>
        <v>0</v>
      </c>
      <c r="I3508" s="6">
        <v>12500</v>
      </c>
      <c r="J3508" s="6">
        <f>VLOOKUP(Table1[[#This Row],[Province]],[1]Sheet1!$A$3:$K$37,10,FALSE)</f>
        <v>1436800</v>
      </c>
      <c r="K3508">
        <v>0</v>
      </c>
      <c r="L3508" s="4">
        <v>2.8441369999999999</v>
      </c>
      <c r="M3508" s="4">
        <v>119.232078</v>
      </c>
      <c r="N3508" s="13">
        <v>6.39</v>
      </c>
      <c r="P3508"/>
      <c r="Q3508" s="12"/>
      <c r="R3508" s="12"/>
    </row>
    <row r="3509" spans="1:18" x14ac:dyDescent="0.2">
      <c r="A3509">
        <v>30</v>
      </c>
      <c r="B3509" t="s">
        <v>26</v>
      </c>
      <c r="C3509">
        <v>2017</v>
      </c>
      <c r="D3509">
        <v>8</v>
      </c>
      <c r="E3509" s="4">
        <v>0</v>
      </c>
      <c r="F3509" s="9">
        <v>0</v>
      </c>
      <c r="G3509" s="6">
        <v>1478</v>
      </c>
      <c r="H3509" s="9">
        <f t="shared" si="54"/>
        <v>0</v>
      </c>
      <c r="I3509" s="6">
        <v>12500</v>
      </c>
      <c r="J3509" s="6">
        <f>VLOOKUP(Table1[[#This Row],[Province]],[1]Sheet1!$A$3:$K$37,10,FALSE)</f>
        <v>1436800</v>
      </c>
      <c r="K3509">
        <v>0</v>
      </c>
      <c r="L3509" s="4">
        <v>2.8441369999999999</v>
      </c>
      <c r="M3509" s="4">
        <v>119.232078</v>
      </c>
      <c r="N3509" s="13">
        <v>6.39</v>
      </c>
      <c r="P3509"/>
      <c r="Q3509" s="12"/>
      <c r="R3509" s="12"/>
    </row>
    <row r="3510" spans="1:18" x14ac:dyDescent="0.2">
      <c r="A3510">
        <v>30</v>
      </c>
      <c r="B3510" t="s">
        <v>26</v>
      </c>
      <c r="C3510">
        <v>2017</v>
      </c>
      <c r="D3510">
        <v>9</v>
      </c>
      <c r="E3510" s="4">
        <v>0</v>
      </c>
      <c r="F3510" s="9">
        <v>0</v>
      </c>
      <c r="G3510" s="6">
        <v>1432</v>
      </c>
      <c r="H3510" s="9">
        <f t="shared" si="54"/>
        <v>0</v>
      </c>
      <c r="I3510" s="6">
        <v>12500</v>
      </c>
      <c r="J3510" s="6">
        <f>VLOOKUP(Table1[[#This Row],[Province]],[1]Sheet1!$A$3:$K$37,10,FALSE)</f>
        <v>1436800</v>
      </c>
      <c r="K3510">
        <v>0</v>
      </c>
      <c r="L3510" s="4">
        <v>2.8441369999999999</v>
      </c>
      <c r="M3510" s="4">
        <v>119.232078</v>
      </c>
      <c r="N3510" s="13">
        <v>6.39</v>
      </c>
      <c r="P3510"/>
      <c r="Q3510" s="12"/>
      <c r="R3510" s="12"/>
    </row>
    <row r="3511" spans="1:18" x14ac:dyDescent="0.2">
      <c r="A3511">
        <v>30</v>
      </c>
      <c r="B3511" t="s">
        <v>26</v>
      </c>
      <c r="C3511">
        <v>2017</v>
      </c>
      <c r="D3511">
        <v>10</v>
      </c>
      <c r="E3511" s="4">
        <v>0</v>
      </c>
      <c r="F3511" s="9">
        <v>0</v>
      </c>
      <c r="G3511" s="6">
        <v>1859</v>
      </c>
      <c r="H3511" s="9">
        <f t="shared" si="54"/>
        <v>0</v>
      </c>
      <c r="I3511" s="6">
        <v>12500</v>
      </c>
      <c r="J3511" s="6">
        <f>VLOOKUP(Table1[[#This Row],[Province]],[1]Sheet1!$A$3:$K$37,10,FALSE)</f>
        <v>1436800</v>
      </c>
      <c r="K3511">
        <v>0</v>
      </c>
      <c r="L3511" s="4">
        <v>2.8441369999999999</v>
      </c>
      <c r="M3511" s="4">
        <v>119.232078</v>
      </c>
      <c r="N3511" s="13">
        <v>6.39</v>
      </c>
      <c r="P3511"/>
      <c r="Q3511" s="12"/>
      <c r="R3511" s="12"/>
    </row>
    <row r="3512" spans="1:18" x14ac:dyDescent="0.2">
      <c r="A3512">
        <v>30</v>
      </c>
      <c r="B3512" t="s">
        <v>26</v>
      </c>
      <c r="C3512">
        <v>2017</v>
      </c>
      <c r="D3512">
        <v>11</v>
      </c>
      <c r="E3512" s="4">
        <v>0</v>
      </c>
      <c r="F3512" s="9">
        <v>0</v>
      </c>
      <c r="G3512" s="6">
        <v>486</v>
      </c>
      <c r="H3512" s="9">
        <f t="shared" si="54"/>
        <v>0</v>
      </c>
      <c r="I3512" s="6">
        <v>12500</v>
      </c>
      <c r="J3512" s="6">
        <f>VLOOKUP(Table1[[#This Row],[Province]],[1]Sheet1!$A$3:$K$37,10,FALSE)</f>
        <v>1436800</v>
      </c>
      <c r="K3512">
        <v>0</v>
      </c>
      <c r="L3512" s="4">
        <v>2.8441369999999999</v>
      </c>
      <c r="M3512" s="4">
        <v>119.232078</v>
      </c>
      <c r="N3512" s="13">
        <v>6.39</v>
      </c>
      <c r="P3512"/>
      <c r="Q3512" s="12"/>
      <c r="R3512" s="12"/>
    </row>
    <row r="3513" spans="1:18" x14ac:dyDescent="0.2">
      <c r="A3513">
        <v>30</v>
      </c>
      <c r="B3513" t="s">
        <v>26</v>
      </c>
      <c r="C3513">
        <v>2017</v>
      </c>
      <c r="D3513">
        <v>12</v>
      </c>
      <c r="E3513" s="4">
        <v>0</v>
      </c>
      <c r="F3513" s="9">
        <v>0</v>
      </c>
      <c r="G3513" s="6">
        <v>905</v>
      </c>
      <c r="H3513" s="9">
        <f t="shared" si="54"/>
        <v>0</v>
      </c>
      <c r="I3513" s="6">
        <v>12639</v>
      </c>
      <c r="J3513" s="6">
        <f>VLOOKUP(Table1[[#This Row],[Province]],[1]Sheet1!$A$3:$K$37,10,FALSE)</f>
        <v>1436800</v>
      </c>
      <c r="K3513">
        <v>1</v>
      </c>
      <c r="L3513" s="4">
        <v>2.8441369999999999</v>
      </c>
      <c r="M3513" s="4">
        <v>119.232078</v>
      </c>
      <c r="N3513" s="13">
        <v>6.39</v>
      </c>
      <c r="P3513"/>
      <c r="Q3513" s="12"/>
      <c r="R3513" s="12"/>
    </row>
    <row r="3514" spans="1:18" x14ac:dyDescent="0.2">
      <c r="A3514">
        <v>30</v>
      </c>
      <c r="B3514" t="s">
        <v>26</v>
      </c>
      <c r="C3514">
        <v>2018</v>
      </c>
      <c r="D3514">
        <v>1</v>
      </c>
      <c r="E3514" s="4">
        <v>0</v>
      </c>
      <c r="F3514" s="9">
        <v>0</v>
      </c>
      <c r="G3514" s="6">
        <v>2072</v>
      </c>
      <c r="H3514" s="9">
        <f t="shared" si="54"/>
        <v>0</v>
      </c>
      <c r="I3514" s="6">
        <v>13894</v>
      </c>
      <c r="J3514" s="6">
        <f>VLOOKUP(Table1[[#This Row],[Province]],[1]Sheet1!$A$3:$K$37,10,FALSE)</f>
        <v>1436800</v>
      </c>
      <c r="K3514">
        <v>0</v>
      </c>
      <c r="L3514" s="4">
        <v>2.8441369999999999</v>
      </c>
      <c r="M3514" s="4">
        <v>119.232078</v>
      </c>
      <c r="N3514" s="13">
        <v>6.26</v>
      </c>
      <c r="P3514"/>
      <c r="Q3514" s="12"/>
      <c r="R3514" s="12"/>
    </row>
    <row r="3515" spans="1:18" x14ac:dyDescent="0.2">
      <c r="A3515">
        <v>30</v>
      </c>
      <c r="B3515" t="s">
        <v>26</v>
      </c>
      <c r="C3515">
        <v>2018</v>
      </c>
      <c r="D3515">
        <v>2</v>
      </c>
      <c r="E3515" s="4">
        <v>0</v>
      </c>
      <c r="F3515" s="9">
        <v>0</v>
      </c>
      <c r="G3515" s="6">
        <v>838</v>
      </c>
      <c r="H3515" s="9">
        <f t="shared" si="54"/>
        <v>0</v>
      </c>
      <c r="I3515" s="6">
        <v>13667</v>
      </c>
      <c r="J3515" s="6">
        <f>VLOOKUP(Table1[[#This Row],[Province]],[1]Sheet1!$A$3:$K$37,10,FALSE)</f>
        <v>1436800</v>
      </c>
      <c r="K3515">
        <v>0</v>
      </c>
      <c r="L3515" s="4">
        <v>2.8441369999999999</v>
      </c>
      <c r="M3515" s="4">
        <v>119.232078</v>
      </c>
      <c r="N3515" s="13">
        <v>6.26</v>
      </c>
      <c r="P3515"/>
      <c r="Q3515" s="12"/>
      <c r="R3515" s="12"/>
    </row>
    <row r="3516" spans="1:18" x14ac:dyDescent="0.2">
      <c r="A3516">
        <v>30</v>
      </c>
      <c r="B3516" t="s">
        <v>26</v>
      </c>
      <c r="C3516">
        <v>2018</v>
      </c>
      <c r="D3516">
        <v>3</v>
      </c>
      <c r="E3516" s="4">
        <v>0</v>
      </c>
      <c r="F3516" s="9">
        <v>0</v>
      </c>
      <c r="G3516" s="6">
        <v>1255</v>
      </c>
      <c r="H3516" s="9">
        <f t="shared" si="54"/>
        <v>0</v>
      </c>
      <c r="I3516" s="6">
        <v>13667</v>
      </c>
      <c r="J3516" s="6">
        <f>VLOOKUP(Table1[[#This Row],[Province]],[1]Sheet1!$A$3:$K$37,10,FALSE)</f>
        <v>1436800</v>
      </c>
      <c r="K3516">
        <v>0</v>
      </c>
      <c r="L3516" s="4">
        <v>2.8441369999999999</v>
      </c>
      <c r="M3516" s="4">
        <v>119.232078</v>
      </c>
      <c r="N3516" s="13">
        <v>6.26</v>
      </c>
      <c r="P3516"/>
      <c r="Q3516" s="12"/>
      <c r="R3516" s="12"/>
    </row>
    <row r="3517" spans="1:18" x14ac:dyDescent="0.2">
      <c r="A3517">
        <v>30</v>
      </c>
      <c r="B3517" t="s">
        <v>26</v>
      </c>
      <c r="C3517">
        <v>2018</v>
      </c>
      <c r="D3517">
        <v>4</v>
      </c>
      <c r="E3517" s="4">
        <v>0</v>
      </c>
      <c r="F3517" s="9">
        <v>0</v>
      </c>
      <c r="G3517" s="6">
        <v>1461</v>
      </c>
      <c r="H3517" s="9">
        <f t="shared" si="54"/>
        <v>0</v>
      </c>
      <c r="I3517" s="6">
        <v>13667</v>
      </c>
      <c r="J3517" s="6">
        <f>VLOOKUP(Table1[[#This Row],[Province]],[1]Sheet1!$A$3:$K$37,10,FALSE)</f>
        <v>1436800</v>
      </c>
      <c r="K3517">
        <v>0</v>
      </c>
      <c r="L3517" s="4">
        <v>2.8441369999999999</v>
      </c>
      <c r="M3517" s="4">
        <v>119.232078</v>
      </c>
      <c r="N3517" s="13">
        <v>6.26</v>
      </c>
      <c r="P3517"/>
      <c r="Q3517" s="12"/>
      <c r="R3517" s="12"/>
    </row>
    <row r="3518" spans="1:18" x14ac:dyDescent="0.2">
      <c r="A3518">
        <v>30</v>
      </c>
      <c r="B3518" t="s">
        <v>26</v>
      </c>
      <c r="C3518">
        <v>2018</v>
      </c>
      <c r="D3518">
        <v>5</v>
      </c>
      <c r="E3518" s="4">
        <v>0</v>
      </c>
      <c r="F3518" s="9">
        <v>0</v>
      </c>
      <c r="G3518" s="6">
        <v>1279</v>
      </c>
      <c r="H3518" s="9">
        <f t="shared" si="54"/>
        <v>0</v>
      </c>
      <c r="I3518" s="6">
        <v>13000</v>
      </c>
      <c r="J3518" s="6">
        <f>VLOOKUP(Table1[[#This Row],[Province]],[1]Sheet1!$A$3:$K$37,10,FALSE)</f>
        <v>1436800</v>
      </c>
      <c r="K3518">
        <v>1</v>
      </c>
      <c r="L3518" s="4">
        <v>2.8441369999999999</v>
      </c>
      <c r="M3518" s="4">
        <v>119.232078</v>
      </c>
      <c r="N3518" s="13">
        <v>6.26</v>
      </c>
      <c r="P3518"/>
      <c r="Q3518" s="12"/>
      <c r="R3518" s="12"/>
    </row>
    <row r="3519" spans="1:18" x14ac:dyDescent="0.2">
      <c r="A3519">
        <v>30</v>
      </c>
      <c r="B3519" t="s">
        <v>26</v>
      </c>
      <c r="C3519">
        <v>2018</v>
      </c>
      <c r="D3519">
        <v>6</v>
      </c>
      <c r="E3519" s="4">
        <v>0</v>
      </c>
      <c r="F3519" s="9">
        <v>0</v>
      </c>
      <c r="G3519" s="6">
        <v>1662</v>
      </c>
      <c r="H3519" s="9">
        <f t="shared" si="54"/>
        <v>0</v>
      </c>
      <c r="I3519" s="6">
        <v>13000</v>
      </c>
      <c r="J3519" s="6">
        <f>VLOOKUP(Table1[[#This Row],[Province]],[1]Sheet1!$A$3:$K$37,10,FALSE)</f>
        <v>1436800</v>
      </c>
      <c r="K3519">
        <v>0</v>
      </c>
      <c r="L3519" s="4">
        <v>2.8441369999999999</v>
      </c>
      <c r="M3519" s="4">
        <v>119.232078</v>
      </c>
      <c r="N3519" s="13">
        <v>6.26</v>
      </c>
      <c r="P3519"/>
      <c r="Q3519" s="12"/>
      <c r="R3519" s="12"/>
    </row>
    <row r="3520" spans="1:18" x14ac:dyDescent="0.2">
      <c r="A3520">
        <v>30</v>
      </c>
      <c r="B3520" t="s">
        <v>26</v>
      </c>
      <c r="C3520">
        <v>2018</v>
      </c>
      <c r="D3520">
        <v>7</v>
      </c>
      <c r="E3520" s="4">
        <v>0</v>
      </c>
      <c r="F3520" s="9">
        <v>0</v>
      </c>
      <c r="G3520" s="6">
        <v>1754</v>
      </c>
      <c r="H3520" s="9">
        <f t="shared" si="54"/>
        <v>0</v>
      </c>
      <c r="I3520" s="6">
        <v>12690</v>
      </c>
      <c r="J3520" s="6">
        <f>VLOOKUP(Table1[[#This Row],[Province]],[1]Sheet1!$A$3:$K$37,10,FALSE)</f>
        <v>1436800</v>
      </c>
      <c r="K3520">
        <v>0</v>
      </c>
      <c r="L3520" s="4">
        <v>2.8441369999999999</v>
      </c>
      <c r="M3520" s="4">
        <v>119.232078</v>
      </c>
      <c r="N3520" s="13">
        <v>6.26</v>
      </c>
      <c r="P3520"/>
      <c r="Q3520" s="12"/>
      <c r="R3520" s="12"/>
    </row>
    <row r="3521" spans="1:18" x14ac:dyDescent="0.2">
      <c r="A3521">
        <v>30</v>
      </c>
      <c r="B3521" t="s">
        <v>26</v>
      </c>
      <c r="C3521">
        <v>2018</v>
      </c>
      <c r="D3521">
        <v>8</v>
      </c>
      <c r="E3521" s="4">
        <v>0</v>
      </c>
      <c r="F3521" s="9">
        <v>0</v>
      </c>
      <c r="G3521" s="6">
        <v>849</v>
      </c>
      <c r="H3521" s="9">
        <f t="shared" si="54"/>
        <v>0</v>
      </c>
      <c r="I3521" s="6">
        <v>13000</v>
      </c>
      <c r="J3521" s="6">
        <f>VLOOKUP(Table1[[#This Row],[Province]],[1]Sheet1!$A$3:$K$37,10,FALSE)</f>
        <v>1436800</v>
      </c>
      <c r="K3521">
        <v>0</v>
      </c>
      <c r="L3521" s="4">
        <v>2.8441369999999999</v>
      </c>
      <c r="M3521" s="4">
        <v>119.232078</v>
      </c>
      <c r="N3521" s="13">
        <v>6.26</v>
      </c>
      <c r="P3521"/>
      <c r="Q3521" s="12"/>
      <c r="R3521" s="12"/>
    </row>
    <row r="3522" spans="1:18" x14ac:dyDescent="0.2">
      <c r="A3522">
        <v>30</v>
      </c>
      <c r="B3522" t="s">
        <v>26</v>
      </c>
      <c r="C3522">
        <v>2018</v>
      </c>
      <c r="D3522">
        <v>9</v>
      </c>
      <c r="E3522" s="4">
        <v>0</v>
      </c>
      <c r="F3522" s="9">
        <v>0</v>
      </c>
      <c r="G3522" s="6">
        <v>999</v>
      </c>
      <c r="H3522" s="9">
        <f t="shared" ref="H3522:H3585" si="55">F3522+E3522</f>
        <v>0</v>
      </c>
      <c r="I3522" s="6">
        <v>12554</v>
      </c>
      <c r="J3522" s="6">
        <f>VLOOKUP(Table1[[#This Row],[Province]],[1]Sheet1!$A$3:$K$37,10,FALSE)</f>
        <v>1436800</v>
      </c>
      <c r="K3522">
        <v>0</v>
      </c>
      <c r="L3522" s="4">
        <v>2.8441369999999999</v>
      </c>
      <c r="M3522" s="4">
        <v>119.232078</v>
      </c>
      <c r="N3522" s="13">
        <v>6.26</v>
      </c>
      <c r="P3522"/>
      <c r="Q3522" s="12"/>
      <c r="R3522" s="12"/>
    </row>
    <row r="3523" spans="1:18" x14ac:dyDescent="0.2">
      <c r="A3523">
        <v>30</v>
      </c>
      <c r="B3523" t="s">
        <v>26</v>
      </c>
      <c r="C3523">
        <v>2018</v>
      </c>
      <c r="D3523">
        <v>10</v>
      </c>
      <c r="E3523" s="4">
        <v>0</v>
      </c>
      <c r="F3523" s="9">
        <v>0</v>
      </c>
      <c r="G3523" s="6">
        <v>1396</v>
      </c>
      <c r="H3523" s="9">
        <f t="shared" si="55"/>
        <v>0</v>
      </c>
      <c r="I3523" s="6">
        <v>13000</v>
      </c>
      <c r="J3523" s="6">
        <f>VLOOKUP(Table1[[#This Row],[Province]],[1]Sheet1!$A$3:$K$37,10,FALSE)</f>
        <v>1436800</v>
      </c>
      <c r="K3523">
        <v>0</v>
      </c>
      <c r="L3523" s="4">
        <v>2.8441369999999999</v>
      </c>
      <c r="M3523" s="4">
        <v>119.232078</v>
      </c>
      <c r="N3523" s="13">
        <v>6.26</v>
      </c>
      <c r="P3523"/>
      <c r="Q3523" s="12"/>
      <c r="R3523" s="12"/>
    </row>
    <row r="3524" spans="1:18" x14ac:dyDescent="0.2">
      <c r="A3524">
        <v>30</v>
      </c>
      <c r="B3524" t="s">
        <v>26</v>
      </c>
      <c r="C3524">
        <v>2018</v>
      </c>
      <c r="D3524">
        <v>11</v>
      </c>
      <c r="E3524" s="4">
        <v>0</v>
      </c>
      <c r="F3524" s="9">
        <v>0</v>
      </c>
      <c r="G3524" s="6">
        <v>1235</v>
      </c>
      <c r="H3524" s="9">
        <f t="shared" si="55"/>
        <v>0</v>
      </c>
      <c r="I3524" s="6">
        <v>13000</v>
      </c>
      <c r="J3524" s="6">
        <f>VLOOKUP(Table1[[#This Row],[Province]],[1]Sheet1!$A$3:$K$37,10,FALSE)</f>
        <v>1436800</v>
      </c>
      <c r="K3524">
        <v>0</v>
      </c>
      <c r="L3524" s="4">
        <v>2.8441369999999999</v>
      </c>
      <c r="M3524" s="4">
        <v>119.232078</v>
      </c>
      <c r="N3524" s="13">
        <v>6.26</v>
      </c>
      <c r="P3524"/>
      <c r="Q3524" s="12"/>
      <c r="R3524" s="12"/>
    </row>
    <row r="3525" spans="1:18" x14ac:dyDescent="0.2">
      <c r="A3525">
        <v>30</v>
      </c>
      <c r="B3525" t="s">
        <v>26</v>
      </c>
      <c r="C3525">
        <v>2018</v>
      </c>
      <c r="D3525">
        <v>12</v>
      </c>
      <c r="E3525" s="4">
        <v>0</v>
      </c>
      <c r="F3525" s="9">
        <v>0</v>
      </c>
      <c r="G3525" s="6">
        <v>771</v>
      </c>
      <c r="H3525" s="9">
        <f t="shared" si="55"/>
        <v>0</v>
      </c>
      <c r="I3525" s="6">
        <v>13205</v>
      </c>
      <c r="J3525" s="6">
        <f>VLOOKUP(Table1[[#This Row],[Province]],[1]Sheet1!$A$3:$K$37,10,FALSE)</f>
        <v>1436800</v>
      </c>
      <c r="K3525">
        <v>1</v>
      </c>
      <c r="L3525" s="4">
        <v>2.8441369999999999</v>
      </c>
      <c r="M3525" s="4">
        <v>119.232078</v>
      </c>
      <c r="N3525" s="13">
        <v>6.26</v>
      </c>
      <c r="P3525"/>
      <c r="Q3525" s="12"/>
      <c r="R3525" s="12"/>
    </row>
    <row r="3526" spans="1:18" x14ac:dyDescent="0.2">
      <c r="A3526">
        <v>30</v>
      </c>
      <c r="B3526" t="s">
        <v>26</v>
      </c>
      <c r="C3526">
        <v>2019</v>
      </c>
      <c r="D3526">
        <v>1</v>
      </c>
      <c r="E3526" s="4">
        <v>0</v>
      </c>
      <c r="F3526" s="9">
        <v>0</v>
      </c>
      <c r="G3526" s="6">
        <v>893</v>
      </c>
      <c r="H3526" s="9">
        <f t="shared" si="55"/>
        <v>0</v>
      </c>
      <c r="I3526" s="6">
        <v>12808</v>
      </c>
      <c r="J3526" s="6">
        <f>VLOOKUP(Table1[[#This Row],[Province]],[1]Sheet1!$A$3:$K$37,10,FALSE)</f>
        <v>1436800</v>
      </c>
      <c r="K3526">
        <v>0</v>
      </c>
      <c r="L3526" s="4">
        <v>2.8441369999999999</v>
      </c>
      <c r="M3526" s="4">
        <v>119.232078</v>
      </c>
      <c r="N3526" s="13">
        <v>5.56</v>
      </c>
      <c r="P3526"/>
      <c r="Q3526" s="12"/>
      <c r="R3526" s="12"/>
    </row>
    <row r="3527" spans="1:18" x14ac:dyDescent="0.2">
      <c r="A3527">
        <v>30</v>
      </c>
      <c r="B3527" t="s">
        <v>26</v>
      </c>
      <c r="C3527">
        <v>2019</v>
      </c>
      <c r="D3527">
        <v>2</v>
      </c>
      <c r="E3527" s="4">
        <v>0</v>
      </c>
      <c r="F3527" s="9">
        <v>0</v>
      </c>
      <c r="G3527" s="6">
        <v>727</v>
      </c>
      <c r="H3527" s="9">
        <f t="shared" si="55"/>
        <v>0</v>
      </c>
      <c r="I3527" s="6">
        <v>12822</v>
      </c>
      <c r="J3527" s="6">
        <f>VLOOKUP(Table1[[#This Row],[Province]],[1]Sheet1!$A$3:$K$37,10,FALSE)</f>
        <v>1436800</v>
      </c>
      <c r="K3527">
        <v>0</v>
      </c>
      <c r="L3527" s="4">
        <v>2.8441369999999999</v>
      </c>
      <c r="M3527" s="4">
        <v>119.232078</v>
      </c>
      <c r="N3527" s="13">
        <v>5.56</v>
      </c>
      <c r="P3527"/>
      <c r="Q3527" s="12"/>
      <c r="R3527" s="12"/>
    </row>
    <row r="3528" spans="1:18" x14ac:dyDescent="0.2">
      <c r="A3528">
        <v>30</v>
      </c>
      <c r="B3528" t="s">
        <v>26</v>
      </c>
      <c r="C3528">
        <v>2019</v>
      </c>
      <c r="D3528">
        <v>4</v>
      </c>
      <c r="E3528" s="4">
        <v>0</v>
      </c>
      <c r="F3528" s="9">
        <v>0</v>
      </c>
      <c r="G3528" s="6">
        <v>948</v>
      </c>
      <c r="H3528" s="9">
        <f t="shared" si="55"/>
        <v>0</v>
      </c>
      <c r="I3528" s="6">
        <v>12853</v>
      </c>
      <c r="J3528" s="6">
        <f>VLOOKUP(Table1[[#This Row],[Province]],[1]Sheet1!$A$3:$K$37,10,FALSE)</f>
        <v>1436800</v>
      </c>
      <c r="K3528">
        <v>0</v>
      </c>
      <c r="L3528" s="4">
        <v>2.8441369999999999</v>
      </c>
      <c r="M3528" s="4">
        <v>119.232078</v>
      </c>
      <c r="N3528" s="13">
        <v>5.56</v>
      </c>
      <c r="P3528"/>
      <c r="Q3528" s="12"/>
      <c r="R3528" s="12"/>
    </row>
    <row r="3529" spans="1:18" x14ac:dyDescent="0.2">
      <c r="A3529">
        <v>30</v>
      </c>
      <c r="B3529" t="s">
        <v>26</v>
      </c>
      <c r="C3529">
        <v>2019</v>
      </c>
      <c r="D3529">
        <v>5</v>
      </c>
      <c r="E3529" s="4">
        <v>0</v>
      </c>
      <c r="F3529" s="9">
        <v>0</v>
      </c>
      <c r="G3529" s="6">
        <v>1131</v>
      </c>
      <c r="H3529" s="9">
        <f t="shared" si="55"/>
        <v>0</v>
      </c>
      <c r="I3529" s="6">
        <v>14790</v>
      </c>
      <c r="J3529" s="6">
        <f>VLOOKUP(Table1[[#This Row],[Province]],[1]Sheet1!$A$3:$K$37,10,FALSE)</f>
        <v>1436800</v>
      </c>
      <c r="K3529">
        <v>1</v>
      </c>
      <c r="L3529" s="4">
        <v>2.8441369999999999</v>
      </c>
      <c r="M3529" s="4">
        <v>119.232078</v>
      </c>
      <c r="N3529" s="13">
        <v>5.56</v>
      </c>
      <c r="P3529"/>
      <c r="Q3529" s="12"/>
      <c r="R3529" s="12"/>
    </row>
    <row r="3530" spans="1:18" x14ac:dyDescent="0.2">
      <c r="A3530">
        <v>30</v>
      </c>
      <c r="B3530" t="s">
        <v>26</v>
      </c>
      <c r="C3530">
        <v>2019</v>
      </c>
      <c r="D3530">
        <v>5</v>
      </c>
      <c r="E3530" s="4">
        <v>0</v>
      </c>
      <c r="F3530" s="9">
        <v>0</v>
      </c>
      <c r="G3530" s="6">
        <v>699</v>
      </c>
      <c r="H3530" s="9">
        <f t="shared" si="55"/>
        <v>0</v>
      </c>
      <c r="I3530" s="6">
        <v>13370</v>
      </c>
      <c r="J3530" s="6">
        <f>VLOOKUP(Table1[[#This Row],[Province]],[1]Sheet1!$A$3:$K$37,10,FALSE)</f>
        <v>1436800</v>
      </c>
      <c r="K3530">
        <v>1</v>
      </c>
      <c r="L3530" s="4">
        <v>2.8441369999999999</v>
      </c>
      <c r="M3530" s="4">
        <v>119.232078</v>
      </c>
      <c r="N3530" s="13">
        <v>5.56</v>
      </c>
      <c r="P3530"/>
      <c r="Q3530" s="12"/>
      <c r="R3530" s="12"/>
    </row>
    <row r="3531" spans="1:18" x14ac:dyDescent="0.2">
      <c r="A3531">
        <v>30</v>
      </c>
      <c r="B3531" t="s">
        <v>26</v>
      </c>
      <c r="C3531">
        <v>2019</v>
      </c>
      <c r="D3531">
        <v>6</v>
      </c>
      <c r="E3531" s="4">
        <v>0</v>
      </c>
      <c r="F3531" s="9">
        <v>0</v>
      </c>
      <c r="G3531" s="6">
        <v>841</v>
      </c>
      <c r="H3531" s="9">
        <f t="shared" si="55"/>
        <v>0</v>
      </c>
      <c r="I3531" s="6">
        <v>14000</v>
      </c>
      <c r="J3531" s="6">
        <f>VLOOKUP(Table1[[#This Row],[Province]],[1]Sheet1!$A$3:$K$37,10,FALSE)</f>
        <v>1436800</v>
      </c>
      <c r="K3531">
        <v>0</v>
      </c>
      <c r="L3531" s="4">
        <v>2.8441369999999999</v>
      </c>
      <c r="M3531" s="4">
        <v>119.232078</v>
      </c>
      <c r="N3531" s="13">
        <v>5.56</v>
      </c>
      <c r="P3531"/>
      <c r="Q3531" s="12"/>
      <c r="R3531" s="12"/>
    </row>
    <row r="3532" spans="1:18" x14ac:dyDescent="0.2">
      <c r="A3532">
        <v>30</v>
      </c>
      <c r="B3532" t="s">
        <v>26</v>
      </c>
      <c r="C3532">
        <v>2019</v>
      </c>
      <c r="D3532">
        <v>7</v>
      </c>
      <c r="E3532" s="4">
        <v>0</v>
      </c>
      <c r="F3532" s="9">
        <v>0</v>
      </c>
      <c r="G3532" s="6">
        <v>652</v>
      </c>
      <c r="H3532" s="9">
        <f t="shared" si="55"/>
        <v>0</v>
      </c>
      <c r="I3532" s="6">
        <v>14051</v>
      </c>
      <c r="J3532" s="6">
        <f>VLOOKUP(Table1[[#This Row],[Province]],[1]Sheet1!$A$3:$K$37,10,FALSE)</f>
        <v>1436800</v>
      </c>
      <c r="K3532">
        <v>0</v>
      </c>
      <c r="L3532" s="4">
        <v>2.8441369999999999</v>
      </c>
      <c r="M3532" s="4">
        <v>119.232078</v>
      </c>
      <c r="N3532" s="13">
        <v>5.56</v>
      </c>
      <c r="P3532"/>
      <c r="Q3532" s="12"/>
      <c r="R3532" s="12"/>
    </row>
    <row r="3533" spans="1:18" x14ac:dyDescent="0.2">
      <c r="A3533">
        <v>30</v>
      </c>
      <c r="B3533" t="s">
        <v>26</v>
      </c>
      <c r="C3533">
        <v>2019</v>
      </c>
      <c r="D3533">
        <v>8</v>
      </c>
      <c r="E3533" s="4">
        <v>0</v>
      </c>
      <c r="F3533" s="9">
        <v>0</v>
      </c>
      <c r="G3533" s="6">
        <v>124</v>
      </c>
      <c r="H3533" s="9">
        <f t="shared" si="55"/>
        <v>0</v>
      </c>
      <c r="I3533" s="6">
        <v>14042</v>
      </c>
      <c r="J3533" s="6">
        <f>VLOOKUP(Table1[[#This Row],[Province]],[1]Sheet1!$A$3:$K$37,10,FALSE)</f>
        <v>1436800</v>
      </c>
      <c r="K3533">
        <v>0</v>
      </c>
      <c r="L3533" s="4">
        <v>2.8441369999999999</v>
      </c>
      <c r="M3533" s="4">
        <v>119.232078</v>
      </c>
      <c r="N3533" s="13">
        <v>5.56</v>
      </c>
      <c r="P3533"/>
      <c r="Q3533" s="12"/>
      <c r="R3533" s="12"/>
    </row>
    <row r="3534" spans="1:18" x14ac:dyDescent="0.2">
      <c r="A3534">
        <v>30</v>
      </c>
      <c r="B3534" t="s">
        <v>26</v>
      </c>
      <c r="C3534">
        <v>2019</v>
      </c>
      <c r="D3534">
        <v>9</v>
      </c>
      <c r="E3534" s="4">
        <v>0</v>
      </c>
      <c r="F3534" s="9">
        <v>0</v>
      </c>
      <c r="G3534" s="6">
        <v>790</v>
      </c>
      <c r="H3534" s="9">
        <f t="shared" si="55"/>
        <v>0</v>
      </c>
      <c r="I3534" s="6">
        <v>14000</v>
      </c>
      <c r="J3534" s="6">
        <f>VLOOKUP(Table1[[#This Row],[Province]],[1]Sheet1!$A$3:$K$37,10,FALSE)</f>
        <v>1436800</v>
      </c>
      <c r="K3534">
        <v>0</v>
      </c>
      <c r="L3534" s="4">
        <v>2.8441369999999999</v>
      </c>
      <c r="M3534" s="4">
        <v>119.232078</v>
      </c>
      <c r="N3534" s="13">
        <v>5.56</v>
      </c>
      <c r="P3534"/>
      <c r="Q3534" s="12"/>
      <c r="R3534" s="12"/>
    </row>
    <row r="3535" spans="1:18" x14ac:dyDescent="0.2">
      <c r="A3535">
        <v>30</v>
      </c>
      <c r="B3535" t="s">
        <v>26</v>
      </c>
      <c r="C3535">
        <v>2019</v>
      </c>
      <c r="D3535">
        <v>10</v>
      </c>
      <c r="E3535" s="4">
        <v>0</v>
      </c>
      <c r="F3535" s="9">
        <v>0</v>
      </c>
      <c r="G3535" s="6">
        <v>1107</v>
      </c>
      <c r="H3535" s="9">
        <f t="shared" si="55"/>
        <v>0</v>
      </c>
      <c r="I3535" s="6">
        <v>13200</v>
      </c>
      <c r="J3535" s="6">
        <f>VLOOKUP(Table1[[#This Row],[Province]],[1]Sheet1!$A$3:$K$37,10,FALSE)</f>
        <v>1436800</v>
      </c>
      <c r="K3535">
        <v>0</v>
      </c>
      <c r="L3535" s="4">
        <v>2.8441369999999999</v>
      </c>
      <c r="M3535" s="4">
        <v>119.232078</v>
      </c>
      <c r="N3535" s="13">
        <v>5.56</v>
      </c>
      <c r="P3535"/>
      <c r="Q3535" s="12"/>
      <c r="R3535" s="12"/>
    </row>
    <row r="3536" spans="1:18" x14ac:dyDescent="0.2">
      <c r="A3536">
        <v>30</v>
      </c>
      <c r="B3536" t="s">
        <v>26</v>
      </c>
      <c r="C3536">
        <v>2019</v>
      </c>
      <c r="D3536">
        <v>11</v>
      </c>
      <c r="E3536" s="4">
        <v>0</v>
      </c>
      <c r="F3536" s="9">
        <v>0</v>
      </c>
      <c r="G3536" s="6">
        <v>1618</v>
      </c>
      <c r="H3536" s="9">
        <f t="shared" si="55"/>
        <v>0</v>
      </c>
      <c r="I3536" s="6">
        <v>13072</v>
      </c>
      <c r="J3536" s="6">
        <f>VLOOKUP(Table1[[#This Row],[Province]],[1]Sheet1!$A$3:$K$37,10,FALSE)</f>
        <v>1436800</v>
      </c>
      <c r="K3536">
        <v>0</v>
      </c>
      <c r="L3536" s="4">
        <v>2.8441369999999999</v>
      </c>
      <c r="M3536" s="4">
        <v>119.232078</v>
      </c>
      <c r="N3536" s="13">
        <v>5.56</v>
      </c>
      <c r="P3536"/>
      <c r="Q3536" s="12"/>
      <c r="R3536" s="12"/>
    </row>
    <row r="3537" spans="1:18" x14ac:dyDescent="0.2">
      <c r="A3537">
        <v>30</v>
      </c>
      <c r="B3537" t="s">
        <v>26</v>
      </c>
      <c r="C3537">
        <v>2019</v>
      </c>
      <c r="D3537">
        <v>12</v>
      </c>
      <c r="E3537" s="4">
        <v>0</v>
      </c>
      <c r="F3537" s="9">
        <v>0</v>
      </c>
      <c r="G3537" s="6">
        <v>985</v>
      </c>
      <c r="H3537" s="9">
        <f t="shared" si="55"/>
        <v>0</v>
      </c>
      <c r="I3537" s="6">
        <v>13080</v>
      </c>
      <c r="J3537" s="6">
        <f>VLOOKUP(Table1[[#This Row],[Province]],[1]Sheet1!$A$3:$K$37,10,FALSE)</f>
        <v>1436800</v>
      </c>
      <c r="K3537">
        <v>1</v>
      </c>
      <c r="L3537" s="4">
        <v>2.8441369999999999</v>
      </c>
      <c r="M3537" s="4">
        <v>119.232078</v>
      </c>
      <c r="N3537" s="13">
        <v>5.56</v>
      </c>
      <c r="P3537"/>
      <c r="Q3537" s="12"/>
      <c r="R3537" s="12"/>
    </row>
    <row r="3538" spans="1:18" x14ac:dyDescent="0.2">
      <c r="A3538">
        <v>30</v>
      </c>
      <c r="B3538" t="s">
        <v>26</v>
      </c>
      <c r="C3538">
        <v>2020</v>
      </c>
      <c r="D3538">
        <v>1</v>
      </c>
      <c r="E3538" s="4">
        <v>0</v>
      </c>
      <c r="F3538" s="9">
        <v>0</v>
      </c>
      <c r="G3538" s="6">
        <v>1023</v>
      </c>
      <c r="H3538" s="9">
        <f t="shared" si="55"/>
        <v>0</v>
      </c>
      <c r="I3538" s="6">
        <v>13436</v>
      </c>
      <c r="J3538" s="6">
        <f>VLOOKUP(Table1[[#This Row],[Province]],[1]Sheet1!$A$3:$K$37,10,FALSE)</f>
        <v>1436800</v>
      </c>
      <c r="K3538">
        <v>0</v>
      </c>
      <c r="L3538" s="4">
        <v>2.8441369999999999</v>
      </c>
      <c r="M3538" s="4">
        <v>119.232078</v>
      </c>
      <c r="N3538" s="13">
        <v>-2.34</v>
      </c>
      <c r="P3538"/>
      <c r="Q3538" s="12"/>
      <c r="R3538" s="12"/>
    </row>
    <row r="3539" spans="1:18" x14ac:dyDescent="0.2">
      <c r="A3539">
        <v>30</v>
      </c>
      <c r="B3539" t="s">
        <v>26</v>
      </c>
      <c r="C3539">
        <v>2020</v>
      </c>
      <c r="D3539">
        <v>2</v>
      </c>
      <c r="E3539" s="4">
        <v>0</v>
      </c>
      <c r="F3539" s="9">
        <v>0</v>
      </c>
      <c r="G3539" s="6">
        <v>779</v>
      </c>
      <c r="H3539" s="9">
        <f t="shared" si="55"/>
        <v>0</v>
      </c>
      <c r="I3539" s="6">
        <v>14131</v>
      </c>
      <c r="J3539" s="6">
        <f>VLOOKUP(Table1[[#This Row],[Province]],[1]Sheet1!$A$3:$K$37,10,FALSE)</f>
        <v>1436800</v>
      </c>
      <c r="K3539">
        <v>0</v>
      </c>
      <c r="L3539" s="4">
        <v>2.8441369999999999</v>
      </c>
      <c r="M3539" s="4">
        <v>119.232078</v>
      </c>
      <c r="N3539" s="13">
        <v>-2.34</v>
      </c>
      <c r="P3539"/>
      <c r="Q3539" s="12"/>
      <c r="R3539" s="12"/>
    </row>
    <row r="3540" spans="1:18" x14ac:dyDescent="0.2">
      <c r="A3540">
        <v>30</v>
      </c>
      <c r="B3540" t="s">
        <v>26</v>
      </c>
      <c r="C3540">
        <v>2020</v>
      </c>
      <c r="D3540">
        <v>3</v>
      </c>
      <c r="E3540" s="4">
        <v>0</v>
      </c>
      <c r="F3540" s="9">
        <v>0</v>
      </c>
      <c r="G3540" s="6">
        <v>1231</v>
      </c>
      <c r="H3540" s="9">
        <f t="shared" si="55"/>
        <v>0</v>
      </c>
      <c r="I3540" s="6">
        <v>17060</v>
      </c>
      <c r="J3540" s="6">
        <f>VLOOKUP(Table1[[#This Row],[Province]],[1]Sheet1!$A$3:$K$37,10,FALSE)</f>
        <v>1436800</v>
      </c>
      <c r="K3540">
        <v>0</v>
      </c>
      <c r="L3540" s="4">
        <v>2.8441369999999999</v>
      </c>
      <c r="M3540" s="4">
        <v>119.232078</v>
      </c>
      <c r="N3540" s="13">
        <v>-2.34</v>
      </c>
      <c r="P3540"/>
      <c r="Q3540" s="12"/>
      <c r="R3540" s="12"/>
    </row>
    <row r="3541" spans="1:18" x14ac:dyDescent="0.2">
      <c r="A3541">
        <v>30</v>
      </c>
      <c r="B3541" t="s">
        <v>26</v>
      </c>
      <c r="C3541">
        <v>2020</v>
      </c>
      <c r="D3541">
        <v>4</v>
      </c>
      <c r="E3541" s="4">
        <v>0</v>
      </c>
      <c r="F3541" s="9">
        <v>0</v>
      </c>
      <c r="G3541" s="6">
        <v>697</v>
      </c>
      <c r="H3541" s="9">
        <f t="shared" si="55"/>
        <v>0</v>
      </c>
      <c r="I3541" s="6">
        <v>20685</v>
      </c>
      <c r="J3541" s="6">
        <f>VLOOKUP(Table1[[#This Row],[Province]],[1]Sheet1!$A$3:$K$37,10,FALSE)</f>
        <v>1436800</v>
      </c>
      <c r="K3541">
        <v>1</v>
      </c>
      <c r="L3541" s="4">
        <v>2.8441369999999999</v>
      </c>
      <c r="M3541" s="4">
        <v>119.232078</v>
      </c>
      <c r="N3541" s="13">
        <v>-2.34</v>
      </c>
      <c r="P3541"/>
      <c r="Q3541" s="12"/>
      <c r="R3541" s="12"/>
    </row>
    <row r="3542" spans="1:18" x14ac:dyDescent="0.2">
      <c r="A3542">
        <v>30</v>
      </c>
      <c r="B3542" t="s">
        <v>26</v>
      </c>
      <c r="C3542">
        <v>2020</v>
      </c>
      <c r="D3542">
        <v>5</v>
      </c>
      <c r="E3542" s="4">
        <v>0</v>
      </c>
      <c r="F3542" s="9">
        <v>0</v>
      </c>
      <c r="G3542" s="6">
        <v>851</v>
      </c>
      <c r="H3542" s="9">
        <f t="shared" si="55"/>
        <v>0</v>
      </c>
      <c r="I3542" s="6">
        <v>19211</v>
      </c>
      <c r="J3542" s="6">
        <f>VLOOKUP(Table1[[#This Row],[Province]],[1]Sheet1!$A$3:$K$37,10,FALSE)</f>
        <v>1436800</v>
      </c>
      <c r="K3542">
        <v>0</v>
      </c>
      <c r="L3542" s="4">
        <v>2.8441369999999999</v>
      </c>
      <c r="M3542" s="4">
        <v>119.232078</v>
      </c>
      <c r="N3542" s="13">
        <v>-2.34</v>
      </c>
      <c r="P3542"/>
      <c r="Q3542" s="12"/>
      <c r="R3542" s="12"/>
    </row>
    <row r="3543" spans="1:18" x14ac:dyDescent="0.2">
      <c r="A3543">
        <v>30</v>
      </c>
      <c r="B3543" t="s">
        <v>26</v>
      </c>
      <c r="C3543">
        <v>2020</v>
      </c>
      <c r="D3543">
        <v>6</v>
      </c>
      <c r="E3543" s="4">
        <v>0</v>
      </c>
      <c r="F3543" s="9">
        <v>0</v>
      </c>
      <c r="G3543" s="6">
        <v>1391</v>
      </c>
      <c r="H3543" s="9">
        <f t="shared" si="55"/>
        <v>0</v>
      </c>
      <c r="I3543" s="6">
        <v>18000</v>
      </c>
      <c r="J3543" s="6">
        <f>VLOOKUP(Table1[[#This Row],[Province]],[1]Sheet1!$A$3:$K$37,10,FALSE)</f>
        <v>1436800</v>
      </c>
      <c r="K3543">
        <v>0</v>
      </c>
      <c r="L3543" s="4">
        <v>2.8441369999999999</v>
      </c>
      <c r="M3543" s="4">
        <v>119.232078</v>
      </c>
      <c r="N3543" s="13">
        <v>-2.34</v>
      </c>
      <c r="P3543"/>
      <c r="Q3543" s="12"/>
      <c r="R3543" s="12"/>
    </row>
    <row r="3544" spans="1:18" x14ac:dyDescent="0.2">
      <c r="A3544">
        <v>30</v>
      </c>
      <c r="B3544" t="s">
        <v>26</v>
      </c>
      <c r="C3544">
        <v>2020</v>
      </c>
      <c r="D3544">
        <v>7</v>
      </c>
      <c r="E3544" s="4">
        <v>0</v>
      </c>
      <c r="F3544" s="9">
        <v>0</v>
      </c>
      <c r="G3544" s="6">
        <v>778</v>
      </c>
      <c r="H3544" s="9">
        <f t="shared" si="55"/>
        <v>0</v>
      </c>
      <c r="I3544" s="6">
        <v>14762</v>
      </c>
      <c r="J3544" s="6">
        <f>VLOOKUP(Table1[[#This Row],[Province]],[1]Sheet1!$A$3:$K$37,10,FALSE)</f>
        <v>1436800</v>
      </c>
      <c r="K3544">
        <v>0</v>
      </c>
      <c r="L3544" s="4">
        <v>2.8441369999999999</v>
      </c>
      <c r="M3544" s="4">
        <v>119.232078</v>
      </c>
      <c r="N3544" s="13">
        <v>-2.34</v>
      </c>
      <c r="P3544"/>
      <c r="Q3544" s="12"/>
      <c r="R3544" s="12"/>
    </row>
    <row r="3545" spans="1:18" x14ac:dyDescent="0.2">
      <c r="A3545">
        <v>30</v>
      </c>
      <c r="B3545" t="s">
        <v>26</v>
      </c>
      <c r="C3545">
        <v>2020</v>
      </c>
      <c r="D3545">
        <v>8</v>
      </c>
      <c r="E3545" s="4">
        <v>0</v>
      </c>
      <c r="F3545" s="9">
        <v>0</v>
      </c>
      <c r="G3545" s="6">
        <v>974</v>
      </c>
      <c r="H3545" s="9">
        <f t="shared" si="55"/>
        <v>0</v>
      </c>
      <c r="I3545" s="6">
        <v>14637</v>
      </c>
      <c r="J3545" s="6">
        <f>VLOOKUP(Table1[[#This Row],[Province]],[1]Sheet1!$A$3:$K$37,10,FALSE)</f>
        <v>1436800</v>
      </c>
      <c r="K3545">
        <v>0</v>
      </c>
      <c r="L3545" s="4">
        <v>2.8441369999999999</v>
      </c>
      <c r="M3545" s="4">
        <v>119.232078</v>
      </c>
      <c r="N3545" s="13">
        <v>-2.34</v>
      </c>
      <c r="P3545"/>
      <c r="Q3545" s="12"/>
      <c r="R3545" s="12"/>
    </row>
    <row r="3546" spans="1:18" x14ac:dyDescent="0.2">
      <c r="A3546">
        <v>30</v>
      </c>
      <c r="B3546" t="s">
        <v>26</v>
      </c>
      <c r="C3546">
        <v>2020</v>
      </c>
      <c r="D3546">
        <v>9</v>
      </c>
      <c r="E3546" s="4">
        <v>0</v>
      </c>
      <c r="F3546" s="9">
        <v>0</v>
      </c>
      <c r="G3546" s="6">
        <v>1279</v>
      </c>
      <c r="H3546" s="9">
        <f t="shared" si="55"/>
        <v>0</v>
      </c>
      <c r="I3546" s="6">
        <v>13914</v>
      </c>
      <c r="J3546" s="6">
        <f>VLOOKUP(Table1[[#This Row],[Province]],[1]Sheet1!$A$3:$K$37,10,FALSE)</f>
        <v>1436800</v>
      </c>
      <c r="K3546">
        <v>0</v>
      </c>
      <c r="L3546" s="4">
        <v>2.8441369999999999</v>
      </c>
      <c r="M3546" s="4">
        <v>119.232078</v>
      </c>
      <c r="N3546" s="13">
        <v>-2.34</v>
      </c>
      <c r="P3546"/>
      <c r="Q3546" s="12"/>
      <c r="R3546" s="12"/>
    </row>
    <row r="3547" spans="1:18" x14ac:dyDescent="0.2">
      <c r="A3547">
        <v>30</v>
      </c>
      <c r="B3547" t="s">
        <v>26</v>
      </c>
      <c r="C3547">
        <v>2020</v>
      </c>
      <c r="D3547">
        <v>10</v>
      </c>
      <c r="E3547" s="4">
        <v>0</v>
      </c>
      <c r="F3547" s="9">
        <v>0</v>
      </c>
      <c r="G3547" s="6">
        <v>836</v>
      </c>
      <c r="H3547" s="9">
        <f t="shared" si="55"/>
        <v>0</v>
      </c>
      <c r="I3547" s="6">
        <v>14000</v>
      </c>
      <c r="J3547" s="6">
        <f>VLOOKUP(Table1[[#This Row],[Province]],[1]Sheet1!$A$3:$K$37,10,FALSE)</f>
        <v>1436800</v>
      </c>
      <c r="K3547">
        <v>0</v>
      </c>
      <c r="L3547" s="4">
        <v>2.8441369999999999</v>
      </c>
      <c r="M3547" s="4">
        <v>119.232078</v>
      </c>
      <c r="N3547" s="13">
        <v>-2.34</v>
      </c>
      <c r="P3547"/>
      <c r="Q3547" s="12"/>
      <c r="R3547" s="12"/>
    </row>
    <row r="3548" spans="1:18" x14ac:dyDescent="0.2">
      <c r="A3548">
        <v>30</v>
      </c>
      <c r="B3548" t="s">
        <v>26</v>
      </c>
      <c r="C3548">
        <v>2020</v>
      </c>
      <c r="D3548">
        <v>11</v>
      </c>
      <c r="E3548" s="4">
        <v>0</v>
      </c>
      <c r="F3548" s="9">
        <v>0</v>
      </c>
      <c r="G3548" s="6">
        <v>2120</v>
      </c>
      <c r="H3548" s="9">
        <f t="shared" si="55"/>
        <v>0</v>
      </c>
      <c r="I3548" s="6">
        <v>14000</v>
      </c>
      <c r="J3548" s="6">
        <f>VLOOKUP(Table1[[#This Row],[Province]],[1]Sheet1!$A$3:$K$37,10,FALSE)</f>
        <v>1436800</v>
      </c>
      <c r="K3548">
        <v>0</v>
      </c>
      <c r="L3548" s="4">
        <v>2.8441369999999999</v>
      </c>
      <c r="M3548" s="4">
        <v>119.232078</v>
      </c>
      <c r="N3548" s="13">
        <v>-2.34</v>
      </c>
      <c r="P3548"/>
      <c r="Q3548" s="12"/>
      <c r="R3548" s="12"/>
    </row>
    <row r="3549" spans="1:18" x14ac:dyDescent="0.2">
      <c r="A3549">
        <v>30</v>
      </c>
      <c r="B3549" t="s">
        <v>26</v>
      </c>
      <c r="C3549">
        <v>2020</v>
      </c>
      <c r="D3549">
        <v>12</v>
      </c>
      <c r="E3549" s="4">
        <v>0</v>
      </c>
      <c r="F3549" s="9">
        <v>0</v>
      </c>
      <c r="G3549" s="6">
        <v>815</v>
      </c>
      <c r="H3549" s="9">
        <f t="shared" si="55"/>
        <v>0</v>
      </c>
      <c r="I3549" s="6">
        <v>14000</v>
      </c>
      <c r="J3549" s="6">
        <f>VLOOKUP(Table1[[#This Row],[Province]],[1]Sheet1!$A$3:$K$37,10,FALSE)</f>
        <v>1436800</v>
      </c>
      <c r="K3549">
        <v>1</v>
      </c>
      <c r="L3549" s="4">
        <v>2.8441369999999999</v>
      </c>
      <c r="M3549" s="4">
        <v>119.232078</v>
      </c>
      <c r="N3549" s="13">
        <v>-2.34</v>
      </c>
      <c r="P3549"/>
      <c r="Q3549" s="12"/>
      <c r="R3549" s="12"/>
    </row>
    <row r="3550" spans="1:18" x14ac:dyDescent="0.2">
      <c r="A3550">
        <v>30</v>
      </c>
      <c r="B3550" t="s">
        <v>26</v>
      </c>
      <c r="C3550">
        <v>2021</v>
      </c>
      <c r="D3550">
        <v>1</v>
      </c>
      <c r="E3550" s="4">
        <v>0</v>
      </c>
      <c r="F3550" s="9">
        <v>0</v>
      </c>
      <c r="G3550" s="6">
        <v>1758</v>
      </c>
      <c r="H3550" s="9">
        <f t="shared" si="55"/>
        <v>0</v>
      </c>
      <c r="I3550" s="6">
        <v>13700</v>
      </c>
      <c r="J3550" s="6">
        <f>VLOOKUP(Table1[[#This Row],[Province]],[1]Sheet1!$A$3:$K$37,10,FALSE)</f>
        <v>1436800</v>
      </c>
      <c r="K3550">
        <v>0</v>
      </c>
      <c r="L3550" s="4">
        <v>2.8441369999999999</v>
      </c>
      <c r="M3550" s="4">
        <v>119.232078</v>
      </c>
      <c r="N3550" s="13">
        <v>2.57</v>
      </c>
      <c r="P3550"/>
      <c r="Q3550" s="12"/>
      <c r="R3550" s="12"/>
    </row>
    <row r="3551" spans="1:18" x14ac:dyDescent="0.2">
      <c r="A3551">
        <v>30</v>
      </c>
      <c r="B3551" t="s">
        <v>26</v>
      </c>
      <c r="C3551">
        <v>2021</v>
      </c>
      <c r="D3551">
        <v>2</v>
      </c>
      <c r="E3551" s="4">
        <v>0</v>
      </c>
      <c r="F3551" s="9">
        <v>0</v>
      </c>
      <c r="G3551" s="6">
        <v>841</v>
      </c>
      <c r="H3551" s="9">
        <f t="shared" si="55"/>
        <v>0</v>
      </c>
      <c r="I3551" s="6">
        <v>13700</v>
      </c>
      <c r="J3551" s="6">
        <f>VLOOKUP(Table1[[#This Row],[Province]],[1]Sheet1!$A$3:$K$37,10,FALSE)</f>
        <v>1436800</v>
      </c>
      <c r="K3551">
        <v>0</v>
      </c>
      <c r="L3551" s="4">
        <v>2.8441369999999999</v>
      </c>
      <c r="M3551" s="4">
        <v>119.232078</v>
      </c>
      <c r="N3551" s="13">
        <v>2.57</v>
      </c>
      <c r="P3551"/>
      <c r="Q3551" s="12"/>
      <c r="R3551" s="12"/>
    </row>
    <row r="3552" spans="1:18" x14ac:dyDescent="0.2">
      <c r="A3552">
        <v>30</v>
      </c>
      <c r="B3552" t="s">
        <v>26</v>
      </c>
      <c r="C3552">
        <v>2021</v>
      </c>
      <c r="D3552">
        <v>3</v>
      </c>
      <c r="E3552" s="4">
        <v>0</v>
      </c>
      <c r="F3552" s="9">
        <v>0</v>
      </c>
      <c r="G3552" s="6">
        <v>1593</v>
      </c>
      <c r="H3552" s="9">
        <f t="shared" si="55"/>
        <v>0</v>
      </c>
      <c r="I3552" s="6">
        <v>13700</v>
      </c>
      <c r="J3552" s="6">
        <f>VLOOKUP(Table1[[#This Row],[Province]],[1]Sheet1!$A$3:$K$37,10,FALSE)</f>
        <v>1436800</v>
      </c>
      <c r="K3552">
        <v>0</v>
      </c>
      <c r="L3552" s="4">
        <v>2.8441369999999999</v>
      </c>
      <c r="M3552" s="4">
        <v>119.232078</v>
      </c>
      <c r="N3552" s="13">
        <v>2.57</v>
      </c>
      <c r="P3552"/>
      <c r="Q3552" s="12"/>
      <c r="R3552" s="12"/>
    </row>
    <row r="3553" spans="1:18" x14ac:dyDescent="0.2">
      <c r="A3553">
        <v>30</v>
      </c>
      <c r="B3553" t="s">
        <v>26</v>
      </c>
      <c r="C3553">
        <v>2021</v>
      </c>
      <c r="D3553">
        <v>4</v>
      </c>
      <c r="E3553" s="4">
        <v>0</v>
      </c>
      <c r="F3553" s="9">
        <v>0</v>
      </c>
      <c r="G3553" s="6">
        <v>1149</v>
      </c>
      <c r="H3553" s="9">
        <f t="shared" si="55"/>
        <v>0</v>
      </c>
      <c r="I3553" s="6">
        <v>13213</v>
      </c>
      <c r="J3553" s="6">
        <f>VLOOKUP(Table1[[#This Row],[Province]],[1]Sheet1!$A$3:$K$37,10,FALSE)</f>
        <v>1436800</v>
      </c>
      <c r="K3553">
        <v>1</v>
      </c>
      <c r="L3553" s="4">
        <v>2.8441369999999999</v>
      </c>
      <c r="M3553" s="4">
        <v>119.232078</v>
      </c>
      <c r="N3553" s="13">
        <v>2.57</v>
      </c>
      <c r="P3553"/>
      <c r="Q3553" s="12"/>
      <c r="R3553" s="12"/>
    </row>
    <row r="3554" spans="1:18" x14ac:dyDescent="0.2">
      <c r="A3554">
        <v>30</v>
      </c>
      <c r="B3554" t="s">
        <v>26</v>
      </c>
      <c r="C3554">
        <v>2021</v>
      </c>
      <c r="D3554">
        <v>5</v>
      </c>
      <c r="E3554" s="4">
        <v>0</v>
      </c>
      <c r="F3554" s="9">
        <v>0</v>
      </c>
      <c r="G3554" s="6">
        <v>680</v>
      </c>
      <c r="H3554" s="9">
        <f t="shared" si="55"/>
        <v>0</v>
      </c>
      <c r="I3554" s="6">
        <v>13150</v>
      </c>
      <c r="J3554" s="6">
        <f>VLOOKUP(Table1[[#This Row],[Province]],[1]Sheet1!$A$3:$K$37,10,FALSE)</f>
        <v>1436800</v>
      </c>
      <c r="K3554">
        <v>0</v>
      </c>
      <c r="L3554" s="4">
        <v>2.8441369999999999</v>
      </c>
      <c r="M3554" s="4">
        <v>119.232078</v>
      </c>
      <c r="N3554" s="13">
        <v>2.57</v>
      </c>
      <c r="P3554"/>
      <c r="Q3554" s="12"/>
      <c r="R3554" s="12"/>
    </row>
    <row r="3555" spans="1:18" x14ac:dyDescent="0.2">
      <c r="A3555">
        <v>30</v>
      </c>
      <c r="B3555" t="s">
        <v>26</v>
      </c>
      <c r="C3555">
        <v>2021</v>
      </c>
      <c r="D3555">
        <v>6</v>
      </c>
      <c r="E3555" s="4">
        <v>0</v>
      </c>
      <c r="F3555" s="9">
        <v>0</v>
      </c>
      <c r="G3555" s="6">
        <v>593</v>
      </c>
      <c r="H3555" s="9">
        <f t="shared" si="55"/>
        <v>0</v>
      </c>
      <c r="I3555" s="6">
        <v>13138</v>
      </c>
      <c r="J3555" s="6">
        <f>VLOOKUP(Table1[[#This Row],[Province]],[1]Sheet1!$A$3:$K$37,10,FALSE)</f>
        <v>1436800</v>
      </c>
      <c r="K3555">
        <v>0</v>
      </c>
      <c r="L3555" s="4">
        <v>2.8441369999999999</v>
      </c>
      <c r="M3555" s="4">
        <v>119.232078</v>
      </c>
      <c r="N3555" s="13">
        <v>2.57</v>
      </c>
      <c r="P3555"/>
      <c r="Q3555" s="12"/>
      <c r="R3555" s="12"/>
    </row>
    <row r="3556" spans="1:18" x14ac:dyDescent="0.2">
      <c r="A3556">
        <v>30</v>
      </c>
      <c r="B3556" t="s">
        <v>26</v>
      </c>
      <c r="C3556">
        <v>2021</v>
      </c>
      <c r="D3556">
        <v>7</v>
      </c>
      <c r="E3556" s="4">
        <v>0</v>
      </c>
      <c r="F3556" s="9">
        <v>0</v>
      </c>
      <c r="G3556" s="6">
        <v>376</v>
      </c>
      <c r="H3556" s="9">
        <f t="shared" si="55"/>
        <v>0</v>
      </c>
      <c r="I3556" s="6">
        <v>13200</v>
      </c>
      <c r="J3556" s="6">
        <f>VLOOKUP(Table1[[#This Row],[Province]],[1]Sheet1!$A$3:$K$37,10,FALSE)</f>
        <v>1436800</v>
      </c>
      <c r="K3556">
        <v>0</v>
      </c>
      <c r="L3556" s="4">
        <v>2.8441369999999999</v>
      </c>
      <c r="M3556" s="4">
        <v>119.232078</v>
      </c>
      <c r="N3556" s="13">
        <v>2.57</v>
      </c>
      <c r="P3556"/>
      <c r="Q3556" s="12"/>
      <c r="R3556" s="12"/>
    </row>
    <row r="3557" spans="1:18" x14ac:dyDescent="0.2">
      <c r="A3557">
        <v>30</v>
      </c>
      <c r="B3557" t="s">
        <v>26</v>
      </c>
      <c r="C3557">
        <v>2021</v>
      </c>
      <c r="D3557">
        <v>8</v>
      </c>
      <c r="E3557" s="4">
        <v>0</v>
      </c>
      <c r="F3557" s="9">
        <v>0</v>
      </c>
      <c r="G3557" s="6">
        <v>117</v>
      </c>
      <c r="H3557" s="9">
        <f t="shared" si="55"/>
        <v>0</v>
      </c>
      <c r="I3557" s="6">
        <v>13300</v>
      </c>
      <c r="J3557" s="6">
        <f>VLOOKUP(Table1[[#This Row],[Province]],[1]Sheet1!$A$3:$K$37,10,FALSE)</f>
        <v>1436800</v>
      </c>
      <c r="K3557">
        <v>0</v>
      </c>
      <c r="L3557" s="4">
        <v>2.8441369999999999</v>
      </c>
      <c r="M3557" s="4">
        <v>119.232078</v>
      </c>
      <c r="N3557" s="13">
        <v>2.57</v>
      </c>
      <c r="P3557"/>
      <c r="Q3557" s="12"/>
      <c r="R3557" s="12"/>
    </row>
    <row r="3558" spans="1:18" x14ac:dyDescent="0.2">
      <c r="A3558">
        <v>30</v>
      </c>
      <c r="B3558" t="s">
        <v>26</v>
      </c>
      <c r="C3558">
        <v>2021</v>
      </c>
      <c r="D3558">
        <v>9</v>
      </c>
      <c r="E3558" s="4">
        <v>0</v>
      </c>
      <c r="F3558" s="9">
        <v>0</v>
      </c>
      <c r="G3558" s="6">
        <v>784</v>
      </c>
      <c r="H3558" s="9">
        <f t="shared" si="55"/>
        <v>0</v>
      </c>
      <c r="I3558" s="6">
        <v>13030</v>
      </c>
      <c r="J3558" s="6">
        <f>VLOOKUP(Table1[[#This Row],[Province]],[1]Sheet1!$A$3:$K$37,10,FALSE)</f>
        <v>1436800</v>
      </c>
      <c r="K3558">
        <v>0</v>
      </c>
      <c r="L3558" s="4">
        <v>2.8441369999999999</v>
      </c>
      <c r="M3558" s="4">
        <v>119.232078</v>
      </c>
      <c r="N3558" s="13">
        <v>2.57</v>
      </c>
      <c r="P3558"/>
      <c r="Q3558" s="12"/>
      <c r="R3558" s="12"/>
    </row>
    <row r="3559" spans="1:18" x14ac:dyDescent="0.2">
      <c r="A3559">
        <v>30</v>
      </c>
      <c r="B3559" t="s">
        <v>26</v>
      </c>
      <c r="C3559">
        <v>2021</v>
      </c>
      <c r="D3559">
        <v>10</v>
      </c>
      <c r="E3559" s="4">
        <v>0</v>
      </c>
      <c r="F3559" s="9">
        <v>0</v>
      </c>
      <c r="G3559" s="6">
        <v>174</v>
      </c>
      <c r="H3559" s="9">
        <f t="shared" si="55"/>
        <v>0</v>
      </c>
      <c r="I3559" s="6">
        <v>12950</v>
      </c>
      <c r="J3559" s="6">
        <f>VLOOKUP(Table1[[#This Row],[Province]],[1]Sheet1!$A$3:$K$37,10,FALSE)</f>
        <v>1436800</v>
      </c>
      <c r="K3559">
        <v>0</v>
      </c>
      <c r="L3559" s="4">
        <v>2.8441369999999999</v>
      </c>
      <c r="M3559" s="4">
        <v>119.232078</v>
      </c>
      <c r="N3559" s="13">
        <v>2.57</v>
      </c>
      <c r="P3559"/>
      <c r="Q3559" s="12"/>
      <c r="R3559" s="12"/>
    </row>
    <row r="3560" spans="1:18" x14ac:dyDescent="0.2">
      <c r="A3560">
        <v>30</v>
      </c>
      <c r="B3560" t="s">
        <v>26</v>
      </c>
      <c r="C3560">
        <v>2021</v>
      </c>
      <c r="D3560">
        <v>11</v>
      </c>
      <c r="E3560" s="4">
        <v>0</v>
      </c>
      <c r="F3560" s="9">
        <v>0</v>
      </c>
      <c r="G3560" s="6">
        <v>347</v>
      </c>
      <c r="H3560" s="9">
        <f t="shared" si="55"/>
        <v>0</v>
      </c>
      <c r="I3560" s="6">
        <v>12950</v>
      </c>
      <c r="J3560" s="6">
        <f>VLOOKUP(Table1[[#This Row],[Province]],[1]Sheet1!$A$3:$K$37,10,FALSE)</f>
        <v>1436800</v>
      </c>
      <c r="K3560">
        <v>0</v>
      </c>
      <c r="L3560" s="4">
        <v>2.8441369999999999</v>
      </c>
      <c r="M3560" s="4">
        <v>119.232078</v>
      </c>
      <c r="N3560" s="13">
        <v>2.57</v>
      </c>
      <c r="P3560"/>
      <c r="Q3560" s="12"/>
      <c r="R3560" s="12"/>
    </row>
    <row r="3561" spans="1:18" x14ac:dyDescent="0.2">
      <c r="A3561">
        <v>30</v>
      </c>
      <c r="B3561" t="s">
        <v>26</v>
      </c>
      <c r="C3561">
        <v>2021</v>
      </c>
      <c r="D3561">
        <v>12</v>
      </c>
      <c r="E3561" s="4">
        <v>0</v>
      </c>
      <c r="F3561" s="9">
        <v>0</v>
      </c>
      <c r="G3561" s="6">
        <v>1073</v>
      </c>
      <c r="H3561" s="9">
        <f t="shared" si="55"/>
        <v>0</v>
      </c>
      <c r="I3561" s="6">
        <v>12950</v>
      </c>
      <c r="J3561" s="6">
        <f>VLOOKUP(Table1[[#This Row],[Province]],[1]Sheet1!$A$3:$K$37,10,FALSE)</f>
        <v>1436800</v>
      </c>
      <c r="K3561">
        <v>1</v>
      </c>
      <c r="L3561" s="4">
        <v>2.8441369999999999</v>
      </c>
      <c r="M3561" s="4">
        <v>119.232078</v>
      </c>
      <c r="N3561" s="13">
        <v>2.57</v>
      </c>
      <c r="P3561"/>
      <c r="Q3561" s="12"/>
      <c r="R3561" s="12"/>
    </row>
    <row r="3562" spans="1:18" x14ac:dyDescent="0.2">
      <c r="A3562">
        <v>30</v>
      </c>
      <c r="B3562" t="s">
        <v>26</v>
      </c>
      <c r="C3562">
        <v>2022</v>
      </c>
      <c r="D3562">
        <v>1</v>
      </c>
      <c r="E3562" s="6">
        <v>0</v>
      </c>
      <c r="F3562" s="9">
        <v>0</v>
      </c>
      <c r="G3562" s="6">
        <v>563</v>
      </c>
      <c r="H3562" s="9">
        <f t="shared" si="55"/>
        <v>0</v>
      </c>
      <c r="I3562" s="6">
        <v>13240</v>
      </c>
      <c r="J3562" s="6">
        <f>VLOOKUP(Table1[[#This Row],[Province]],[1]Sheet1!$A$3:$K$37,10,FALSE)</f>
        <v>1436800</v>
      </c>
      <c r="K3562">
        <v>0</v>
      </c>
      <c r="L3562" s="4">
        <v>2.8441369999999999</v>
      </c>
      <c r="M3562" s="4">
        <v>119.232078</v>
      </c>
      <c r="N3562" s="13">
        <v>2.31</v>
      </c>
      <c r="P3562"/>
      <c r="Q3562" s="12"/>
      <c r="R3562" s="12"/>
    </row>
    <row r="3563" spans="1:18" x14ac:dyDescent="0.2">
      <c r="A3563">
        <v>30</v>
      </c>
      <c r="B3563" t="s">
        <v>26</v>
      </c>
      <c r="C3563">
        <v>2022</v>
      </c>
      <c r="D3563">
        <v>2</v>
      </c>
      <c r="E3563" s="6">
        <v>0</v>
      </c>
      <c r="F3563" s="9">
        <v>0</v>
      </c>
      <c r="G3563" s="6">
        <v>1871</v>
      </c>
      <c r="H3563" s="9">
        <f t="shared" si="55"/>
        <v>0</v>
      </c>
      <c r="I3563" s="6">
        <v>13400</v>
      </c>
      <c r="J3563" s="6">
        <f>VLOOKUP(Table1[[#This Row],[Province]],[1]Sheet1!$A$3:$K$37,10,FALSE)</f>
        <v>1436800</v>
      </c>
      <c r="K3563">
        <v>0</v>
      </c>
      <c r="L3563" s="4">
        <v>2.8441369999999999</v>
      </c>
      <c r="M3563" s="4">
        <v>119.232078</v>
      </c>
      <c r="N3563" s="13">
        <v>2.31</v>
      </c>
      <c r="P3563"/>
      <c r="Q3563" s="12"/>
      <c r="R3563" s="12"/>
    </row>
    <row r="3564" spans="1:18" x14ac:dyDescent="0.2">
      <c r="A3564">
        <v>30</v>
      </c>
      <c r="B3564" t="s">
        <v>26</v>
      </c>
      <c r="C3564">
        <v>2022</v>
      </c>
      <c r="D3564">
        <v>3</v>
      </c>
      <c r="E3564" s="6">
        <v>0</v>
      </c>
      <c r="F3564" s="9">
        <v>0</v>
      </c>
      <c r="G3564" s="6">
        <v>1040</v>
      </c>
      <c r="H3564" s="9">
        <f t="shared" si="55"/>
        <v>0</v>
      </c>
      <c r="I3564" s="6">
        <v>13555</v>
      </c>
      <c r="J3564" s="6">
        <f>VLOOKUP(Table1[[#This Row],[Province]],[1]Sheet1!$A$3:$K$37,10,FALSE)</f>
        <v>1436800</v>
      </c>
      <c r="K3564">
        <v>0</v>
      </c>
      <c r="L3564" s="4">
        <v>2.8441369999999999</v>
      </c>
      <c r="M3564" s="4">
        <v>119.232078</v>
      </c>
      <c r="N3564" s="13">
        <v>2.31</v>
      </c>
      <c r="P3564"/>
      <c r="Q3564" s="12"/>
      <c r="R3564" s="12"/>
    </row>
    <row r="3565" spans="1:18" x14ac:dyDescent="0.2">
      <c r="A3565">
        <v>30</v>
      </c>
      <c r="B3565" t="s">
        <v>26</v>
      </c>
      <c r="C3565">
        <v>2022</v>
      </c>
      <c r="D3565">
        <v>4</v>
      </c>
      <c r="E3565" s="6">
        <v>0</v>
      </c>
      <c r="F3565" s="9">
        <v>0</v>
      </c>
      <c r="G3565" s="6">
        <v>1440</v>
      </c>
      <c r="H3565" s="9">
        <f t="shared" si="55"/>
        <v>0</v>
      </c>
      <c r="I3565" s="6">
        <v>13553</v>
      </c>
      <c r="J3565" s="6">
        <f>VLOOKUP(Table1[[#This Row],[Province]],[1]Sheet1!$A$3:$K$37,10,FALSE)</f>
        <v>1436800</v>
      </c>
      <c r="K3565">
        <v>1</v>
      </c>
      <c r="L3565" s="4">
        <v>2.8441369999999999</v>
      </c>
      <c r="M3565" s="4">
        <v>119.232078</v>
      </c>
      <c r="N3565" s="13">
        <v>2.31</v>
      </c>
      <c r="P3565"/>
      <c r="Q3565" s="12"/>
      <c r="R3565" s="12"/>
    </row>
    <row r="3566" spans="1:18" x14ac:dyDescent="0.2">
      <c r="A3566">
        <v>30</v>
      </c>
      <c r="B3566" t="s">
        <v>26</v>
      </c>
      <c r="C3566">
        <v>2022</v>
      </c>
      <c r="D3566">
        <v>5</v>
      </c>
      <c r="E3566" s="6">
        <v>0</v>
      </c>
      <c r="F3566" s="9">
        <v>0</v>
      </c>
      <c r="G3566" s="6">
        <v>1870</v>
      </c>
      <c r="H3566" s="9">
        <f t="shared" si="55"/>
        <v>0</v>
      </c>
      <c r="I3566" s="6">
        <v>13600</v>
      </c>
      <c r="J3566" s="6">
        <f>VLOOKUP(Table1[[#This Row],[Province]],[1]Sheet1!$A$3:$K$37,10,FALSE)</f>
        <v>1436800</v>
      </c>
      <c r="K3566">
        <v>0</v>
      </c>
      <c r="L3566" s="4">
        <v>2.8441369999999999</v>
      </c>
      <c r="M3566" s="4">
        <v>119.232078</v>
      </c>
      <c r="N3566" s="13">
        <v>2.31</v>
      </c>
      <c r="P3566"/>
      <c r="Q3566" s="12"/>
      <c r="R3566" s="12"/>
    </row>
    <row r="3567" spans="1:18" x14ac:dyDescent="0.2">
      <c r="A3567">
        <v>30</v>
      </c>
      <c r="B3567" t="s">
        <v>26</v>
      </c>
      <c r="C3567">
        <v>2022</v>
      </c>
      <c r="D3567">
        <v>6</v>
      </c>
      <c r="E3567" s="6">
        <v>0</v>
      </c>
      <c r="F3567" s="9">
        <v>0</v>
      </c>
      <c r="G3567" s="6">
        <v>1535</v>
      </c>
      <c r="H3567" s="9">
        <f t="shared" si="55"/>
        <v>0</v>
      </c>
      <c r="I3567" s="6">
        <v>13600</v>
      </c>
      <c r="J3567" s="6">
        <f>VLOOKUP(Table1[[#This Row],[Province]],[1]Sheet1!$A$3:$K$37,10,FALSE)</f>
        <v>1436800</v>
      </c>
      <c r="K3567">
        <v>0</v>
      </c>
      <c r="L3567" s="4">
        <v>2.8441369999999999</v>
      </c>
      <c r="M3567" s="4">
        <v>119.232078</v>
      </c>
      <c r="N3567" s="13">
        <v>2.31</v>
      </c>
      <c r="P3567"/>
      <c r="Q3567" s="12"/>
      <c r="R3567" s="12"/>
    </row>
    <row r="3568" spans="1:18" x14ac:dyDescent="0.2">
      <c r="A3568">
        <v>30</v>
      </c>
      <c r="B3568" t="s">
        <v>26</v>
      </c>
      <c r="C3568">
        <v>2022</v>
      </c>
      <c r="D3568">
        <v>7</v>
      </c>
      <c r="E3568" s="6">
        <v>0</v>
      </c>
      <c r="F3568" s="9">
        <v>0</v>
      </c>
      <c r="G3568" s="6">
        <v>1694</v>
      </c>
      <c r="H3568" s="9">
        <f t="shared" si="55"/>
        <v>0</v>
      </c>
      <c r="I3568" s="6">
        <v>13600</v>
      </c>
      <c r="J3568" s="6">
        <f>VLOOKUP(Table1[[#This Row],[Province]],[1]Sheet1!$A$3:$K$37,10,FALSE)</f>
        <v>1436800</v>
      </c>
      <c r="K3568">
        <v>0</v>
      </c>
      <c r="L3568" s="4">
        <v>2.8441369999999999</v>
      </c>
      <c r="M3568" s="4">
        <v>119.232078</v>
      </c>
      <c r="N3568" s="13">
        <v>2.31</v>
      </c>
      <c r="P3568"/>
      <c r="Q3568" s="12"/>
      <c r="R3568" s="12"/>
    </row>
    <row r="3569" spans="1:18" x14ac:dyDescent="0.2">
      <c r="A3569">
        <v>30</v>
      </c>
      <c r="B3569" t="s">
        <v>26</v>
      </c>
      <c r="C3569">
        <v>2022</v>
      </c>
      <c r="D3569">
        <v>8</v>
      </c>
      <c r="E3569" s="6">
        <v>0</v>
      </c>
      <c r="F3569" s="9">
        <v>0</v>
      </c>
      <c r="G3569" s="6">
        <v>1578</v>
      </c>
      <c r="H3569" s="9">
        <f t="shared" si="55"/>
        <v>0</v>
      </c>
      <c r="I3569" s="6">
        <v>13600</v>
      </c>
      <c r="J3569" s="6">
        <f>VLOOKUP(Table1[[#This Row],[Province]],[1]Sheet1!$A$3:$K$37,10,FALSE)</f>
        <v>1436800</v>
      </c>
      <c r="K3569">
        <v>0</v>
      </c>
      <c r="L3569" s="4">
        <v>2.8441369999999999</v>
      </c>
      <c r="M3569" s="4">
        <v>119.232078</v>
      </c>
      <c r="N3569" s="13">
        <v>2.31</v>
      </c>
      <c r="P3569"/>
      <c r="Q3569" s="12"/>
      <c r="R3569" s="12"/>
    </row>
    <row r="3570" spans="1:18" x14ac:dyDescent="0.2">
      <c r="A3570">
        <v>30</v>
      </c>
      <c r="B3570" t="s">
        <v>26</v>
      </c>
      <c r="C3570">
        <v>2022</v>
      </c>
      <c r="D3570">
        <v>9</v>
      </c>
      <c r="E3570" s="6">
        <v>0</v>
      </c>
      <c r="F3570" s="9">
        <v>0</v>
      </c>
      <c r="G3570" s="6">
        <v>1746</v>
      </c>
      <c r="H3570" s="9">
        <f t="shared" si="55"/>
        <v>0</v>
      </c>
      <c r="I3570" s="6">
        <v>13009</v>
      </c>
      <c r="J3570" s="6">
        <f>VLOOKUP(Table1[[#This Row],[Province]],[1]Sheet1!$A$3:$K$37,10,FALSE)</f>
        <v>1436800</v>
      </c>
      <c r="K3570">
        <v>0</v>
      </c>
      <c r="L3570" s="4">
        <v>2.8441369999999999</v>
      </c>
      <c r="M3570" s="4">
        <v>119.232078</v>
      </c>
      <c r="N3570" s="13">
        <v>2.31</v>
      </c>
      <c r="P3570"/>
      <c r="Q3570" s="12"/>
      <c r="R3570" s="12"/>
    </row>
    <row r="3571" spans="1:18" x14ac:dyDescent="0.2">
      <c r="A3571">
        <v>30</v>
      </c>
      <c r="B3571" t="s">
        <v>26</v>
      </c>
      <c r="C3571">
        <v>2022</v>
      </c>
      <c r="D3571">
        <v>10</v>
      </c>
      <c r="E3571" s="6">
        <v>0</v>
      </c>
      <c r="F3571" s="9">
        <v>0</v>
      </c>
      <c r="G3571" s="6">
        <v>1138</v>
      </c>
      <c r="H3571" s="9">
        <f t="shared" si="55"/>
        <v>0</v>
      </c>
      <c r="I3571" s="6">
        <v>13600</v>
      </c>
      <c r="J3571" s="6">
        <f>VLOOKUP(Table1[[#This Row],[Province]],[1]Sheet1!$A$3:$K$37,10,FALSE)</f>
        <v>1436800</v>
      </c>
      <c r="K3571">
        <v>0</v>
      </c>
      <c r="L3571" s="4">
        <v>2.8441369999999999</v>
      </c>
      <c r="M3571" s="4">
        <v>119.232078</v>
      </c>
      <c r="N3571" s="13">
        <v>2.31</v>
      </c>
      <c r="P3571"/>
      <c r="Q3571" s="12"/>
      <c r="R3571" s="12"/>
    </row>
    <row r="3572" spans="1:18" x14ac:dyDescent="0.2">
      <c r="A3572">
        <v>30</v>
      </c>
      <c r="B3572" t="s">
        <v>26</v>
      </c>
      <c r="C3572">
        <v>2022</v>
      </c>
      <c r="D3572">
        <v>11</v>
      </c>
      <c r="E3572" s="6">
        <v>0</v>
      </c>
      <c r="F3572" s="9">
        <v>0</v>
      </c>
      <c r="G3572" s="6">
        <v>1582</v>
      </c>
      <c r="H3572" s="9">
        <f t="shared" si="55"/>
        <v>0</v>
      </c>
      <c r="I3572" s="6">
        <v>13532</v>
      </c>
      <c r="J3572" s="6">
        <f>VLOOKUP(Table1[[#This Row],[Province]],[1]Sheet1!$A$3:$K$37,10,FALSE)</f>
        <v>1436800</v>
      </c>
      <c r="K3572">
        <v>0</v>
      </c>
      <c r="L3572" s="4">
        <v>2.8441369999999999</v>
      </c>
      <c r="M3572" s="4">
        <v>119.232078</v>
      </c>
      <c r="N3572" s="13">
        <v>2.31</v>
      </c>
      <c r="P3572"/>
      <c r="Q3572" s="12"/>
      <c r="R3572" s="12"/>
    </row>
    <row r="3573" spans="1:18" x14ac:dyDescent="0.2">
      <c r="A3573">
        <v>30</v>
      </c>
      <c r="B3573" t="s">
        <v>26</v>
      </c>
      <c r="C3573">
        <v>2022</v>
      </c>
      <c r="D3573">
        <v>12</v>
      </c>
      <c r="E3573" s="6">
        <v>0</v>
      </c>
      <c r="F3573" s="9">
        <v>0</v>
      </c>
      <c r="G3573" s="6">
        <v>1271</v>
      </c>
      <c r="H3573" s="9">
        <f t="shared" si="55"/>
        <v>0</v>
      </c>
      <c r="I3573" s="6">
        <v>13532</v>
      </c>
      <c r="J3573" s="6">
        <f>VLOOKUP(Table1[[#This Row],[Province]],[1]Sheet1!$A$3:$K$37,10,FALSE)</f>
        <v>1436800</v>
      </c>
      <c r="K3573">
        <v>1</v>
      </c>
      <c r="L3573" s="4">
        <v>2.8441369999999999</v>
      </c>
      <c r="M3573" s="4">
        <v>119.232078</v>
      </c>
      <c r="N3573" s="13">
        <v>2.31</v>
      </c>
      <c r="P3573"/>
      <c r="Q3573" s="12"/>
      <c r="R3573" s="12"/>
    </row>
    <row r="3574" spans="1:18" x14ac:dyDescent="0.2">
      <c r="A3574">
        <v>31</v>
      </c>
      <c r="B3574" t="s">
        <v>19</v>
      </c>
      <c r="C3574">
        <v>2013</v>
      </c>
      <c r="D3574">
        <v>1</v>
      </c>
      <c r="E3574" s="4">
        <v>0</v>
      </c>
      <c r="F3574" s="9">
        <v>0</v>
      </c>
      <c r="G3574" s="6">
        <v>1099</v>
      </c>
      <c r="H3574" s="9">
        <f t="shared" si="55"/>
        <v>0</v>
      </c>
      <c r="I3574" s="6">
        <v>13333</v>
      </c>
      <c r="J3574" s="6">
        <f>VLOOKUP(Table1[[#This Row],[Province]],[1]Sheet1!$A$3:$K$37,10,FALSE)</f>
        <v>1862600</v>
      </c>
      <c r="K3574">
        <v>0</v>
      </c>
      <c r="L3574" s="4">
        <v>3.2384620000000002</v>
      </c>
      <c r="M3574" s="4">
        <v>130.145273</v>
      </c>
      <c r="N3574" s="6"/>
      <c r="P3574"/>
      <c r="Q3574" s="12"/>
      <c r="R3574" s="12"/>
    </row>
    <row r="3575" spans="1:18" x14ac:dyDescent="0.2">
      <c r="A3575">
        <v>31</v>
      </c>
      <c r="B3575" t="s">
        <v>19</v>
      </c>
      <c r="C3575">
        <v>2013</v>
      </c>
      <c r="D3575">
        <v>2</v>
      </c>
      <c r="E3575" s="4">
        <v>0</v>
      </c>
      <c r="F3575" s="9">
        <v>0</v>
      </c>
      <c r="G3575" s="6">
        <v>1053</v>
      </c>
      <c r="H3575" s="9">
        <f t="shared" si="55"/>
        <v>0</v>
      </c>
      <c r="I3575" s="6">
        <v>13500</v>
      </c>
      <c r="J3575" s="6">
        <f>VLOOKUP(Table1[[#This Row],[Province]],[1]Sheet1!$A$3:$K$37,10,FALSE)</f>
        <v>1862600</v>
      </c>
      <c r="K3575">
        <v>0</v>
      </c>
      <c r="L3575" s="4">
        <v>3.2384620000000002</v>
      </c>
      <c r="M3575" s="4">
        <v>130.145273</v>
      </c>
      <c r="N3575" s="6"/>
      <c r="P3575"/>
      <c r="Q3575" s="12"/>
      <c r="R3575" s="12"/>
    </row>
    <row r="3576" spans="1:18" x14ac:dyDescent="0.2">
      <c r="A3576">
        <v>31</v>
      </c>
      <c r="B3576" t="s">
        <v>19</v>
      </c>
      <c r="C3576">
        <v>2013</v>
      </c>
      <c r="D3576">
        <v>3</v>
      </c>
      <c r="E3576" s="4">
        <v>0</v>
      </c>
      <c r="F3576" s="9">
        <v>0</v>
      </c>
      <c r="G3576" s="6">
        <v>1086</v>
      </c>
      <c r="H3576" s="9">
        <f t="shared" si="55"/>
        <v>0</v>
      </c>
      <c r="I3576" s="6">
        <v>13500</v>
      </c>
      <c r="J3576" s="6">
        <f>VLOOKUP(Table1[[#This Row],[Province]],[1]Sheet1!$A$3:$K$37,10,FALSE)</f>
        <v>1862600</v>
      </c>
      <c r="K3576">
        <v>0</v>
      </c>
      <c r="L3576" s="4">
        <v>3.2384620000000002</v>
      </c>
      <c r="M3576" s="4">
        <v>130.145273</v>
      </c>
      <c r="N3576" s="6"/>
      <c r="P3576"/>
      <c r="Q3576" s="12"/>
      <c r="R3576" s="12"/>
    </row>
    <row r="3577" spans="1:18" x14ac:dyDescent="0.2">
      <c r="A3577">
        <v>31</v>
      </c>
      <c r="B3577" t="s">
        <v>19</v>
      </c>
      <c r="C3577">
        <v>2013</v>
      </c>
      <c r="D3577">
        <v>4</v>
      </c>
      <c r="E3577" s="4">
        <v>0</v>
      </c>
      <c r="F3577" s="9">
        <v>0</v>
      </c>
      <c r="G3577" s="6">
        <v>1411</v>
      </c>
      <c r="H3577" s="9">
        <f t="shared" si="55"/>
        <v>0</v>
      </c>
      <c r="I3577" s="6">
        <v>13500</v>
      </c>
      <c r="J3577" s="6">
        <f>VLOOKUP(Table1[[#This Row],[Province]],[1]Sheet1!$A$3:$K$37,10,FALSE)</f>
        <v>1862600</v>
      </c>
      <c r="K3577">
        <v>0</v>
      </c>
      <c r="L3577" s="4">
        <v>3.2384620000000002</v>
      </c>
      <c r="M3577" s="4">
        <v>130.145273</v>
      </c>
      <c r="N3577" s="6"/>
      <c r="P3577"/>
      <c r="Q3577" s="12"/>
      <c r="R3577" s="12"/>
    </row>
    <row r="3578" spans="1:18" x14ac:dyDescent="0.2">
      <c r="A3578">
        <v>31</v>
      </c>
      <c r="B3578" t="s">
        <v>19</v>
      </c>
      <c r="C3578">
        <v>2013</v>
      </c>
      <c r="D3578">
        <v>5</v>
      </c>
      <c r="E3578" s="4">
        <v>0</v>
      </c>
      <c r="F3578" s="9">
        <v>0</v>
      </c>
      <c r="G3578" s="6">
        <v>1710</v>
      </c>
      <c r="H3578" s="9">
        <f t="shared" si="55"/>
        <v>0</v>
      </c>
      <c r="I3578" s="6">
        <v>13500</v>
      </c>
      <c r="J3578" s="6">
        <f>VLOOKUP(Table1[[#This Row],[Province]],[1]Sheet1!$A$3:$K$37,10,FALSE)</f>
        <v>1862600</v>
      </c>
      <c r="K3578">
        <v>0</v>
      </c>
      <c r="L3578" s="4">
        <v>3.2384620000000002</v>
      </c>
      <c r="M3578" s="4">
        <v>130.145273</v>
      </c>
      <c r="N3578" s="6"/>
      <c r="P3578"/>
      <c r="Q3578" s="12"/>
      <c r="R3578" s="12"/>
    </row>
    <row r="3579" spans="1:18" x14ac:dyDescent="0.2">
      <c r="A3579">
        <v>31</v>
      </c>
      <c r="B3579" t="s">
        <v>19</v>
      </c>
      <c r="C3579">
        <v>2013</v>
      </c>
      <c r="D3579">
        <v>6</v>
      </c>
      <c r="E3579" s="4">
        <v>0</v>
      </c>
      <c r="F3579" s="9">
        <v>0</v>
      </c>
      <c r="G3579" s="6">
        <v>1424</v>
      </c>
      <c r="H3579" s="9">
        <f t="shared" si="55"/>
        <v>0</v>
      </c>
      <c r="I3579" s="6">
        <v>13684</v>
      </c>
      <c r="J3579" s="6">
        <f>VLOOKUP(Table1[[#This Row],[Province]],[1]Sheet1!$A$3:$K$37,10,FALSE)</f>
        <v>1862600</v>
      </c>
      <c r="K3579">
        <v>0</v>
      </c>
      <c r="L3579" s="4">
        <v>3.2384620000000002</v>
      </c>
      <c r="M3579" s="4">
        <v>130.145273</v>
      </c>
      <c r="N3579" s="6"/>
      <c r="P3579"/>
      <c r="Q3579" s="12"/>
      <c r="R3579" s="12"/>
    </row>
    <row r="3580" spans="1:18" x14ac:dyDescent="0.2">
      <c r="A3580">
        <v>31</v>
      </c>
      <c r="B3580" t="s">
        <v>19</v>
      </c>
      <c r="C3580">
        <v>2013</v>
      </c>
      <c r="D3580">
        <v>7</v>
      </c>
      <c r="E3580" s="4">
        <v>0</v>
      </c>
      <c r="F3580" s="9">
        <v>0</v>
      </c>
      <c r="G3580" s="6">
        <v>2470</v>
      </c>
      <c r="H3580" s="9">
        <f t="shared" si="55"/>
        <v>0</v>
      </c>
      <c r="I3580" s="6">
        <v>15273</v>
      </c>
      <c r="J3580" s="6">
        <f>VLOOKUP(Table1[[#This Row],[Province]],[1]Sheet1!$A$3:$K$37,10,FALSE)</f>
        <v>1862600</v>
      </c>
      <c r="K3580">
        <v>1</v>
      </c>
      <c r="L3580" s="4">
        <v>3.2384620000000002</v>
      </c>
      <c r="M3580" s="4">
        <v>130.145273</v>
      </c>
      <c r="N3580" s="6"/>
      <c r="P3580"/>
      <c r="Q3580" s="12"/>
      <c r="R3580" s="12"/>
    </row>
    <row r="3581" spans="1:18" x14ac:dyDescent="0.2">
      <c r="A3581">
        <v>31</v>
      </c>
      <c r="B3581" t="s">
        <v>19</v>
      </c>
      <c r="C3581">
        <v>2013</v>
      </c>
      <c r="D3581">
        <v>8</v>
      </c>
      <c r="E3581" s="4">
        <v>0</v>
      </c>
      <c r="F3581" s="9">
        <v>0</v>
      </c>
      <c r="G3581" s="6">
        <v>904</v>
      </c>
      <c r="H3581" s="9">
        <f t="shared" si="55"/>
        <v>0</v>
      </c>
      <c r="I3581" s="6">
        <v>14000</v>
      </c>
      <c r="J3581" s="6">
        <f>VLOOKUP(Table1[[#This Row],[Province]],[1]Sheet1!$A$3:$K$37,10,FALSE)</f>
        <v>1862600</v>
      </c>
      <c r="K3581">
        <v>0</v>
      </c>
      <c r="L3581" s="4">
        <v>3.2384620000000002</v>
      </c>
      <c r="M3581" s="4">
        <v>130.145273</v>
      </c>
      <c r="N3581" s="6"/>
      <c r="P3581"/>
      <c r="Q3581" s="12"/>
      <c r="R3581" s="12"/>
    </row>
    <row r="3582" spans="1:18" x14ac:dyDescent="0.2">
      <c r="A3582">
        <v>31</v>
      </c>
      <c r="B3582" t="s">
        <v>19</v>
      </c>
      <c r="C3582">
        <v>2013</v>
      </c>
      <c r="D3582">
        <v>9</v>
      </c>
      <c r="E3582" s="4">
        <v>0</v>
      </c>
      <c r="F3582" s="9">
        <v>0</v>
      </c>
      <c r="G3582" s="6">
        <v>1931</v>
      </c>
      <c r="H3582" s="9">
        <f t="shared" si="55"/>
        <v>0</v>
      </c>
      <c r="I3582" s="6">
        <v>13452</v>
      </c>
      <c r="J3582" s="6">
        <f>VLOOKUP(Table1[[#This Row],[Province]],[1]Sheet1!$A$3:$K$37,10,FALSE)</f>
        <v>1862600</v>
      </c>
      <c r="K3582">
        <v>0</v>
      </c>
      <c r="L3582" s="4">
        <v>3.2384620000000002</v>
      </c>
      <c r="M3582" s="4">
        <v>130.145273</v>
      </c>
      <c r="N3582" s="6"/>
      <c r="P3582"/>
      <c r="Q3582" s="12"/>
      <c r="R3582" s="12"/>
    </row>
    <row r="3583" spans="1:18" x14ac:dyDescent="0.2">
      <c r="A3583">
        <v>31</v>
      </c>
      <c r="B3583" t="s">
        <v>19</v>
      </c>
      <c r="C3583">
        <v>2013</v>
      </c>
      <c r="D3583">
        <v>10</v>
      </c>
      <c r="E3583" s="4">
        <v>0</v>
      </c>
      <c r="F3583" s="9">
        <v>0</v>
      </c>
      <c r="G3583" s="6">
        <v>1580</v>
      </c>
      <c r="H3583" s="9">
        <f t="shared" si="55"/>
        <v>0</v>
      </c>
      <c r="I3583" s="6">
        <v>13000</v>
      </c>
      <c r="J3583" s="6">
        <f>VLOOKUP(Table1[[#This Row],[Province]],[1]Sheet1!$A$3:$K$37,10,FALSE)</f>
        <v>1862600</v>
      </c>
      <c r="K3583">
        <v>0</v>
      </c>
      <c r="L3583" s="4">
        <v>3.2384620000000002</v>
      </c>
      <c r="M3583" s="4">
        <v>130.145273</v>
      </c>
      <c r="N3583" s="6"/>
      <c r="P3583"/>
      <c r="Q3583" s="12"/>
      <c r="R3583" s="12"/>
    </row>
    <row r="3584" spans="1:18" x14ac:dyDescent="0.2">
      <c r="A3584">
        <v>31</v>
      </c>
      <c r="B3584" t="s">
        <v>19</v>
      </c>
      <c r="C3584">
        <v>2013</v>
      </c>
      <c r="D3584">
        <v>11</v>
      </c>
      <c r="E3584" s="4">
        <v>0</v>
      </c>
      <c r="F3584" s="9">
        <v>0</v>
      </c>
      <c r="G3584" s="6">
        <v>1164</v>
      </c>
      <c r="H3584" s="9">
        <f t="shared" si="55"/>
        <v>0</v>
      </c>
      <c r="I3584" s="6">
        <v>13000</v>
      </c>
      <c r="J3584" s="6">
        <f>VLOOKUP(Table1[[#This Row],[Province]],[1]Sheet1!$A$3:$K$37,10,FALSE)</f>
        <v>1862600</v>
      </c>
      <c r="K3584">
        <v>0</v>
      </c>
      <c r="L3584" s="4">
        <v>3.2384620000000002</v>
      </c>
      <c r="M3584" s="4">
        <v>130.145273</v>
      </c>
      <c r="N3584" s="6"/>
      <c r="P3584"/>
      <c r="Q3584" s="12"/>
      <c r="R3584" s="12"/>
    </row>
    <row r="3585" spans="1:18" x14ac:dyDescent="0.2">
      <c r="A3585">
        <v>31</v>
      </c>
      <c r="B3585" t="s">
        <v>19</v>
      </c>
      <c r="C3585">
        <v>2013</v>
      </c>
      <c r="D3585">
        <v>12</v>
      </c>
      <c r="E3585" s="4">
        <v>0</v>
      </c>
      <c r="F3585" s="9">
        <v>0</v>
      </c>
      <c r="G3585" s="6">
        <v>1619</v>
      </c>
      <c r="H3585" s="9">
        <f t="shared" si="55"/>
        <v>0</v>
      </c>
      <c r="I3585" s="6">
        <v>13000</v>
      </c>
      <c r="J3585" s="6">
        <f>VLOOKUP(Table1[[#This Row],[Province]],[1]Sheet1!$A$3:$K$37,10,FALSE)</f>
        <v>1862600</v>
      </c>
      <c r="K3585">
        <v>1</v>
      </c>
      <c r="L3585" s="4">
        <v>3.2384620000000002</v>
      </c>
      <c r="M3585" s="4">
        <v>130.145273</v>
      </c>
      <c r="N3585" s="6"/>
      <c r="P3585"/>
      <c r="Q3585" s="12"/>
      <c r="R3585" s="12"/>
    </row>
    <row r="3586" spans="1:18" x14ac:dyDescent="0.2">
      <c r="A3586">
        <v>31</v>
      </c>
      <c r="B3586" t="s">
        <v>19</v>
      </c>
      <c r="C3586">
        <v>2014</v>
      </c>
      <c r="D3586">
        <v>1</v>
      </c>
      <c r="E3586" s="4">
        <v>0</v>
      </c>
      <c r="F3586" s="9">
        <v>0</v>
      </c>
      <c r="G3586" s="6">
        <v>1150</v>
      </c>
      <c r="H3586" s="9">
        <f t="shared" ref="H3586:H3649" si="56">F3586+E3586</f>
        <v>0</v>
      </c>
      <c r="I3586" s="6">
        <v>13000</v>
      </c>
      <c r="J3586" s="6">
        <f>VLOOKUP(Table1[[#This Row],[Province]],[1]Sheet1!$A$3:$K$37,10,FALSE)</f>
        <v>1862600</v>
      </c>
      <c r="K3586">
        <v>0</v>
      </c>
      <c r="L3586" s="4">
        <v>3.2384620000000002</v>
      </c>
      <c r="M3586" s="4">
        <v>130.145273</v>
      </c>
      <c r="N3586" s="6"/>
      <c r="P3586"/>
      <c r="Q3586" s="12"/>
      <c r="R3586" s="12"/>
    </row>
    <row r="3587" spans="1:18" x14ac:dyDescent="0.2">
      <c r="A3587">
        <v>31</v>
      </c>
      <c r="B3587" t="s">
        <v>19</v>
      </c>
      <c r="C3587">
        <v>2014</v>
      </c>
      <c r="D3587">
        <v>2</v>
      </c>
      <c r="E3587" s="4">
        <v>0</v>
      </c>
      <c r="F3587" s="9">
        <v>0</v>
      </c>
      <c r="G3587" s="6">
        <v>1026</v>
      </c>
      <c r="H3587" s="9">
        <f t="shared" si="56"/>
        <v>0</v>
      </c>
      <c r="I3587" s="6">
        <v>13000</v>
      </c>
      <c r="J3587" s="6">
        <f>VLOOKUP(Table1[[#This Row],[Province]],[1]Sheet1!$A$3:$K$37,10,FALSE)</f>
        <v>1862600</v>
      </c>
      <c r="K3587">
        <v>0</v>
      </c>
      <c r="L3587" s="4">
        <v>3.2384620000000002</v>
      </c>
      <c r="M3587" s="4">
        <v>130.145273</v>
      </c>
      <c r="N3587" s="6"/>
      <c r="P3587"/>
      <c r="Q3587" s="12"/>
      <c r="R3587" s="12"/>
    </row>
    <row r="3588" spans="1:18" x14ac:dyDescent="0.2">
      <c r="A3588">
        <v>31</v>
      </c>
      <c r="B3588" t="s">
        <v>19</v>
      </c>
      <c r="C3588">
        <v>2014</v>
      </c>
      <c r="D3588">
        <v>3</v>
      </c>
      <c r="E3588" s="4">
        <v>0</v>
      </c>
      <c r="F3588" s="9">
        <v>0</v>
      </c>
      <c r="G3588" s="6">
        <v>1152</v>
      </c>
      <c r="H3588" s="9">
        <f t="shared" si="56"/>
        <v>0</v>
      </c>
      <c r="I3588" s="6">
        <v>12217</v>
      </c>
      <c r="J3588" s="6">
        <f>VLOOKUP(Table1[[#This Row],[Province]],[1]Sheet1!$A$3:$K$37,10,FALSE)</f>
        <v>1862600</v>
      </c>
      <c r="K3588">
        <v>0</v>
      </c>
      <c r="L3588" s="4">
        <v>3.2384620000000002</v>
      </c>
      <c r="M3588" s="4">
        <v>130.145273</v>
      </c>
      <c r="N3588" s="6"/>
      <c r="P3588"/>
      <c r="Q3588" s="12"/>
      <c r="R3588" s="12"/>
    </row>
    <row r="3589" spans="1:18" x14ac:dyDescent="0.2">
      <c r="A3589">
        <v>31</v>
      </c>
      <c r="B3589" t="s">
        <v>19</v>
      </c>
      <c r="C3589">
        <v>2014</v>
      </c>
      <c r="D3589">
        <v>4</v>
      </c>
      <c r="E3589" s="4">
        <v>0</v>
      </c>
      <c r="F3589" s="9">
        <v>0</v>
      </c>
      <c r="G3589" s="6">
        <v>1484</v>
      </c>
      <c r="H3589" s="9">
        <f t="shared" si="56"/>
        <v>0</v>
      </c>
      <c r="I3589" s="6">
        <v>12000</v>
      </c>
      <c r="J3589" s="6">
        <f>VLOOKUP(Table1[[#This Row],[Province]],[1]Sheet1!$A$3:$K$37,10,FALSE)</f>
        <v>1862600</v>
      </c>
      <c r="K3589">
        <v>0</v>
      </c>
      <c r="L3589" s="4">
        <v>3.2384620000000002</v>
      </c>
      <c r="M3589" s="4">
        <v>130.145273</v>
      </c>
      <c r="N3589" s="6"/>
      <c r="P3589"/>
      <c r="Q3589" s="12"/>
      <c r="R3589" s="12"/>
    </row>
    <row r="3590" spans="1:18" x14ac:dyDescent="0.2">
      <c r="A3590">
        <v>31</v>
      </c>
      <c r="B3590" t="s">
        <v>19</v>
      </c>
      <c r="C3590">
        <v>2014</v>
      </c>
      <c r="D3590">
        <v>5</v>
      </c>
      <c r="E3590" s="4">
        <v>0</v>
      </c>
      <c r="F3590" s="9">
        <v>0</v>
      </c>
      <c r="G3590" s="6">
        <v>1663</v>
      </c>
      <c r="H3590" s="9">
        <f t="shared" si="56"/>
        <v>0</v>
      </c>
      <c r="I3590" s="6">
        <v>12000</v>
      </c>
      <c r="J3590" s="6">
        <f>VLOOKUP(Table1[[#This Row],[Province]],[1]Sheet1!$A$3:$K$37,10,FALSE)</f>
        <v>1862600</v>
      </c>
      <c r="K3590">
        <v>0</v>
      </c>
      <c r="L3590" s="4">
        <v>3.2384620000000002</v>
      </c>
      <c r="M3590" s="4">
        <v>130.145273</v>
      </c>
      <c r="N3590" s="6"/>
      <c r="P3590"/>
      <c r="Q3590" s="12"/>
      <c r="R3590" s="12"/>
    </row>
    <row r="3591" spans="1:18" x14ac:dyDescent="0.2">
      <c r="A3591">
        <v>31</v>
      </c>
      <c r="B3591" t="s">
        <v>19</v>
      </c>
      <c r="C3591">
        <v>2014</v>
      </c>
      <c r="D3591">
        <v>6</v>
      </c>
      <c r="E3591" s="4">
        <v>0</v>
      </c>
      <c r="F3591" s="9">
        <v>0</v>
      </c>
      <c r="G3591" s="6">
        <v>2366</v>
      </c>
      <c r="H3591" s="9">
        <f t="shared" si="56"/>
        <v>0</v>
      </c>
      <c r="I3591" s="6">
        <v>12000</v>
      </c>
      <c r="J3591" s="6">
        <f>VLOOKUP(Table1[[#This Row],[Province]],[1]Sheet1!$A$3:$K$37,10,FALSE)</f>
        <v>1862600</v>
      </c>
      <c r="K3591">
        <v>1</v>
      </c>
      <c r="L3591" s="4">
        <v>3.2384620000000002</v>
      </c>
      <c r="M3591" s="4">
        <v>130.145273</v>
      </c>
      <c r="N3591" s="6"/>
      <c r="P3591"/>
      <c r="Q3591" s="12"/>
      <c r="R3591" s="12"/>
    </row>
    <row r="3592" spans="1:18" x14ac:dyDescent="0.2">
      <c r="A3592">
        <v>31</v>
      </c>
      <c r="B3592" t="s">
        <v>19</v>
      </c>
      <c r="C3592">
        <v>2014</v>
      </c>
      <c r="D3592">
        <v>7</v>
      </c>
      <c r="E3592" s="4">
        <v>0</v>
      </c>
      <c r="F3592" s="9">
        <v>0</v>
      </c>
      <c r="G3592" s="6">
        <v>1484</v>
      </c>
      <c r="H3592" s="9">
        <f t="shared" si="56"/>
        <v>0</v>
      </c>
      <c r="I3592" s="6">
        <v>12000</v>
      </c>
      <c r="J3592" s="6">
        <f>VLOOKUP(Table1[[#This Row],[Province]],[1]Sheet1!$A$3:$K$37,10,FALSE)</f>
        <v>1862600</v>
      </c>
      <c r="K3592">
        <v>0</v>
      </c>
      <c r="L3592" s="4">
        <v>3.2384620000000002</v>
      </c>
      <c r="M3592" s="4">
        <v>130.145273</v>
      </c>
      <c r="N3592" s="6"/>
      <c r="P3592"/>
      <c r="Q3592" s="12"/>
      <c r="R3592" s="12"/>
    </row>
    <row r="3593" spans="1:18" x14ac:dyDescent="0.2">
      <c r="A3593">
        <v>31</v>
      </c>
      <c r="B3593" t="s">
        <v>19</v>
      </c>
      <c r="C3593">
        <v>2014</v>
      </c>
      <c r="D3593">
        <v>8</v>
      </c>
      <c r="E3593" s="4">
        <v>0</v>
      </c>
      <c r="F3593" s="9">
        <v>0</v>
      </c>
      <c r="G3593" s="6">
        <v>1431</v>
      </c>
      <c r="H3593" s="9">
        <f t="shared" si="56"/>
        <v>0</v>
      </c>
      <c r="I3593" s="6">
        <v>12000</v>
      </c>
      <c r="J3593" s="6">
        <f>VLOOKUP(Table1[[#This Row],[Province]],[1]Sheet1!$A$3:$K$37,10,FALSE)</f>
        <v>1862600</v>
      </c>
      <c r="K3593">
        <v>0</v>
      </c>
      <c r="L3593" s="4">
        <v>3.2384620000000002</v>
      </c>
      <c r="M3593" s="4">
        <v>130.145273</v>
      </c>
      <c r="N3593" s="6"/>
      <c r="P3593"/>
      <c r="Q3593" s="12"/>
      <c r="R3593" s="12"/>
    </row>
    <row r="3594" spans="1:18" x14ac:dyDescent="0.2">
      <c r="A3594">
        <v>31</v>
      </c>
      <c r="B3594" t="s">
        <v>19</v>
      </c>
      <c r="C3594">
        <v>2014</v>
      </c>
      <c r="D3594">
        <v>9</v>
      </c>
      <c r="E3594" s="4">
        <v>0</v>
      </c>
      <c r="F3594" s="9">
        <v>0</v>
      </c>
      <c r="G3594" s="6">
        <v>1440</v>
      </c>
      <c r="H3594" s="9">
        <f t="shared" si="56"/>
        <v>0</v>
      </c>
      <c r="I3594" s="6">
        <v>12000</v>
      </c>
      <c r="J3594" s="6">
        <f>VLOOKUP(Table1[[#This Row],[Province]],[1]Sheet1!$A$3:$K$37,10,FALSE)</f>
        <v>1862600</v>
      </c>
      <c r="K3594">
        <v>0</v>
      </c>
      <c r="L3594" s="4">
        <v>3.2384620000000002</v>
      </c>
      <c r="M3594" s="4">
        <v>130.145273</v>
      </c>
      <c r="N3594" s="6"/>
      <c r="P3594"/>
      <c r="Q3594" s="12"/>
      <c r="R3594" s="12"/>
    </row>
    <row r="3595" spans="1:18" x14ac:dyDescent="0.2">
      <c r="A3595">
        <v>31</v>
      </c>
      <c r="B3595" t="s">
        <v>19</v>
      </c>
      <c r="C3595">
        <v>2014</v>
      </c>
      <c r="D3595">
        <v>10</v>
      </c>
      <c r="E3595" s="4">
        <v>0</v>
      </c>
      <c r="F3595" s="9">
        <v>0</v>
      </c>
      <c r="G3595" s="6">
        <v>2136</v>
      </c>
      <c r="H3595" s="9">
        <f t="shared" si="56"/>
        <v>0</v>
      </c>
      <c r="I3595" s="6">
        <v>12000</v>
      </c>
      <c r="J3595" s="6">
        <f>VLOOKUP(Table1[[#This Row],[Province]],[1]Sheet1!$A$3:$K$37,10,FALSE)</f>
        <v>1862600</v>
      </c>
      <c r="K3595">
        <v>0</v>
      </c>
      <c r="L3595" s="4">
        <v>3.2384620000000002</v>
      </c>
      <c r="M3595" s="4">
        <v>130.145273</v>
      </c>
      <c r="N3595" s="6"/>
      <c r="P3595"/>
      <c r="Q3595" s="12"/>
      <c r="R3595" s="12"/>
    </row>
    <row r="3596" spans="1:18" x14ac:dyDescent="0.2">
      <c r="A3596">
        <v>31</v>
      </c>
      <c r="B3596" t="s">
        <v>19</v>
      </c>
      <c r="C3596">
        <v>2014</v>
      </c>
      <c r="D3596">
        <v>11</v>
      </c>
      <c r="E3596" s="4">
        <v>0</v>
      </c>
      <c r="F3596" s="9">
        <v>0</v>
      </c>
      <c r="G3596" s="6">
        <v>1705</v>
      </c>
      <c r="H3596" s="9">
        <f t="shared" si="56"/>
        <v>0</v>
      </c>
      <c r="I3596" s="6">
        <v>12000</v>
      </c>
      <c r="J3596" s="6">
        <f>VLOOKUP(Table1[[#This Row],[Province]],[1]Sheet1!$A$3:$K$37,10,FALSE)</f>
        <v>1862600</v>
      </c>
      <c r="K3596">
        <v>0</v>
      </c>
      <c r="L3596" s="4">
        <v>3.2384620000000002</v>
      </c>
      <c r="M3596" s="4">
        <v>130.145273</v>
      </c>
      <c r="N3596" s="6"/>
      <c r="P3596"/>
      <c r="Q3596" s="12"/>
      <c r="R3596" s="12"/>
    </row>
    <row r="3597" spans="1:18" x14ac:dyDescent="0.2">
      <c r="A3597">
        <v>31</v>
      </c>
      <c r="B3597" t="s">
        <v>19</v>
      </c>
      <c r="C3597">
        <v>2014</v>
      </c>
      <c r="D3597">
        <v>12</v>
      </c>
      <c r="E3597" s="4">
        <v>0</v>
      </c>
      <c r="F3597" s="9">
        <v>0</v>
      </c>
      <c r="G3597" s="6">
        <v>1988</v>
      </c>
      <c r="H3597" s="9">
        <f t="shared" si="56"/>
        <v>0</v>
      </c>
      <c r="I3597" s="6">
        <v>12000</v>
      </c>
      <c r="J3597" s="6">
        <f>VLOOKUP(Table1[[#This Row],[Province]],[1]Sheet1!$A$3:$K$37,10,FALSE)</f>
        <v>1862600</v>
      </c>
      <c r="K3597">
        <v>1</v>
      </c>
      <c r="L3597" s="4">
        <v>3.2384620000000002</v>
      </c>
      <c r="M3597" s="4">
        <v>130.145273</v>
      </c>
      <c r="N3597" s="6"/>
      <c r="P3597"/>
      <c r="Q3597" s="12"/>
      <c r="R3597" s="12"/>
    </row>
    <row r="3598" spans="1:18" x14ac:dyDescent="0.2">
      <c r="A3598">
        <v>31</v>
      </c>
      <c r="B3598" t="s">
        <v>19</v>
      </c>
      <c r="C3598">
        <v>2015</v>
      </c>
      <c r="D3598">
        <v>1</v>
      </c>
      <c r="E3598" s="4">
        <v>0</v>
      </c>
      <c r="F3598" s="9">
        <v>0</v>
      </c>
      <c r="G3598" s="6">
        <v>977</v>
      </c>
      <c r="H3598" s="9">
        <f t="shared" si="56"/>
        <v>0</v>
      </c>
      <c r="I3598" s="6">
        <v>12000</v>
      </c>
      <c r="J3598" s="6">
        <f>VLOOKUP(Table1[[#This Row],[Province]],[1]Sheet1!$A$3:$K$37,10,FALSE)</f>
        <v>1862600</v>
      </c>
      <c r="K3598">
        <v>0</v>
      </c>
      <c r="L3598" s="4">
        <v>3.2384620000000002</v>
      </c>
      <c r="M3598" s="4">
        <v>130.145273</v>
      </c>
      <c r="N3598" s="6"/>
      <c r="P3598"/>
      <c r="Q3598" s="12"/>
      <c r="R3598" s="12"/>
    </row>
    <row r="3599" spans="1:18" x14ac:dyDescent="0.2">
      <c r="A3599">
        <v>31</v>
      </c>
      <c r="B3599" t="s">
        <v>19</v>
      </c>
      <c r="C3599">
        <v>2015</v>
      </c>
      <c r="D3599">
        <v>2</v>
      </c>
      <c r="E3599" s="4">
        <v>0</v>
      </c>
      <c r="F3599" s="9">
        <v>0</v>
      </c>
      <c r="G3599" s="6">
        <v>2464</v>
      </c>
      <c r="H3599" s="9">
        <f t="shared" si="56"/>
        <v>0</v>
      </c>
      <c r="I3599" s="6">
        <v>11789</v>
      </c>
      <c r="J3599" s="6">
        <f>VLOOKUP(Table1[[#This Row],[Province]],[1]Sheet1!$A$3:$K$37,10,FALSE)</f>
        <v>1862600</v>
      </c>
      <c r="K3599">
        <v>0</v>
      </c>
      <c r="L3599" s="4">
        <v>3.2384620000000002</v>
      </c>
      <c r="M3599" s="4">
        <v>130.145273</v>
      </c>
      <c r="N3599" s="6"/>
      <c r="P3599"/>
      <c r="Q3599" s="12"/>
      <c r="R3599" s="12"/>
    </row>
    <row r="3600" spans="1:18" x14ac:dyDescent="0.2">
      <c r="A3600">
        <v>31</v>
      </c>
      <c r="B3600" t="s">
        <v>19</v>
      </c>
      <c r="C3600">
        <v>2015</v>
      </c>
      <c r="D3600">
        <v>3</v>
      </c>
      <c r="E3600" s="4">
        <v>0</v>
      </c>
      <c r="F3600" s="9">
        <v>0</v>
      </c>
      <c r="G3600" s="6">
        <v>1118</v>
      </c>
      <c r="H3600" s="9">
        <f t="shared" si="56"/>
        <v>0</v>
      </c>
      <c r="I3600" s="6">
        <v>11091</v>
      </c>
      <c r="J3600" s="6">
        <f>VLOOKUP(Table1[[#This Row],[Province]],[1]Sheet1!$A$3:$K$37,10,FALSE)</f>
        <v>1862600</v>
      </c>
      <c r="K3600">
        <v>0</v>
      </c>
      <c r="L3600" s="4">
        <v>3.2384620000000002</v>
      </c>
      <c r="M3600" s="4">
        <v>130.145273</v>
      </c>
      <c r="N3600" s="6"/>
      <c r="P3600"/>
      <c r="Q3600" s="12"/>
      <c r="R3600" s="12"/>
    </row>
    <row r="3601" spans="1:18" x14ac:dyDescent="0.2">
      <c r="A3601">
        <v>31</v>
      </c>
      <c r="B3601" t="s">
        <v>19</v>
      </c>
      <c r="C3601">
        <v>2015</v>
      </c>
      <c r="D3601">
        <v>4</v>
      </c>
      <c r="E3601" s="4">
        <v>0</v>
      </c>
      <c r="F3601" s="9">
        <v>0</v>
      </c>
      <c r="G3601" s="6">
        <v>1852</v>
      </c>
      <c r="H3601" s="9">
        <f t="shared" si="56"/>
        <v>0</v>
      </c>
      <c r="I3601" s="6">
        <v>12302</v>
      </c>
      <c r="J3601" s="6">
        <f>VLOOKUP(Table1[[#This Row],[Province]],[1]Sheet1!$A$3:$K$37,10,FALSE)</f>
        <v>1862600</v>
      </c>
      <c r="K3601">
        <v>0</v>
      </c>
      <c r="L3601" s="4">
        <v>3.2384620000000002</v>
      </c>
      <c r="M3601" s="4">
        <v>130.145273</v>
      </c>
      <c r="N3601" s="6"/>
      <c r="P3601"/>
      <c r="Q3601" s="12"/>
      <c r="R3601" s="12"/>
    </row>
    <row r="3602" spans="1:18" x14ac:dyDescent="0.2">
      <c r="A3602">
        <v>31</v>
      </c>
      <c r="B3602" t="s">
        <v>19</v>
      </c>
      <c r="C3602">
        <v>2015</v>
      </c>
      <c r="D3602">
        <v>5</v>
      </c>
      <c r="E3602" s="4">
        <v>0</v>
      </c>
      <c r="F3602" s="9">
        <v>0</v>
      </c>
      <c r="G3602" s="6">
        <v>1775</v>
      </c>
      <c r="H3602" s="9">
        <f t="shared" si="56"/>
        <v>0</v>
      </c>
      <c r="I3602" s="6">
        <v>13105</v>
      </c>
      <c r="J3602" s="6">
        <f>VLOOKUP(Table1[[#This Row],[Province]],[1]Sheet1!$A$3:$K$37,10,FALSE)</f>
        <v>1862600</v>
      </c>
      <c r="K3602">
        <v>0</v>
      </c>
      <c r="L3602" s="4">
        <v>3.2384620000000002</v>
      </c>
      <c r="M3602" s="4">
        <v>130.145273</v>
      </c>
      <c r="N3602" s="6"/>
      <c r="P3602"/>
      <c r="Q3602" s="12"/>
      <c r="R3602" s="12"/>
    </row>
    <row r="3603" spans="1:18" x14ac:dyDescent="0.2">
      <c r="A3603">
        <v>31</v>
      </c>
      <c r="B3603" t="s">
        <v>19</v>
      </c>
      <c r="C3603">
        <v>2015</v>
      </c>
      <c r="D3603">
        <v>6</v>
      </c>
      <c r="E3603" s="4">
        <v>0</v>
      </c>
      <c r="F3603" s="9">
        <v>0</v>
      </c>
      <c r="G3603" s="6">
        <v>2017</v>
      </c>
      <c r="H3603" s="9">
        <f t="shared" si="56"/>
        <v>0</v>
      </c>
      <c r="I3603" s="6">
        <v>14000</v>
      </c>
      <c r="J3603" s="6">
        <f>VLOOKUP(Table1[[#This Row],[Province]],[1]Sheet1!$A$3:$K$37,10,FALSE)</f>
        <v>1862600</v>
      </c>
      <c r="K3603">
        <v>1</v>
      </c>
      <c r="L3603" s="4">
        <v>3.2384620000000002</v>
      </c>
      <c r="M3603" s="4">
        <v>130.145273</v>
      </c>
      <c r="N3603" s="6"/>
      <c r="P3603"/>
      <c r="Q3603" s="12"/>
      <c r="R3603" s="12"/>
    </row>
    <row r="3604" spans="1:18" x14ac:dyDescent="0.2">
      <c r="A3604">
        <v>31</v>
      </c>
      <c r="B3604" t="s">
        <v>19</v>
      </c>
      <c r="C3604">
        <v>2015</v>
      </c>
      <c r="D3604">
        <v>7</v>
      </c>
      <c r="E3604" s="4">
        <v>0</v>
      </c>
      <c r="F3604" s="9">
        <v>0</v>
      </c>
      <c r="G3604" s="6">
        <v>1377</v>
      </c>
      <c r="H3604" s="9">
        <f t="shared" si="56"/>
        <v>0</v>
      </c>
      <c r="I3604" s="6">
        <v>13789</v>
      </c>
      <c r="J3604" s="6">
        <f>VLOOKUP(Table1[[#This Row],[Province]],[1]Sheet1!$A$3:$K$37,10,FALSE)</f>
        <v>1862600</v>
      </c>
      <c r="K3604">
        <v>0</v>
      </c>
      <c r="L3604" s="4">
        <v>3.2384620000000002</v>
      </c>
      <c r="M3604" s="4">
        <v>130.145273</v>
      </c>
      <c r="N3604" s="6"/>
      <c r="P3604"/>
      <c r="Q3604" s="12"/>
      <c r="R3604" s="12"/>
    </row>
    <row r="3605" spans="1:18" x14ac:dyDescent="0.2">
      <c r="A3605">
        <v>31</v>
      </c>
      <c r="B3605" t="s">
        <v>19</v>
      </c>
      <c r="C3605">
        <v>2015</v>
      </c>
      <c r="D3605">
        <v>8</v>
      </c>
      <c r="E3605" s="4">
        <v>0</v>
      </c>
      <c r="F3605" s="9">
        <v>0</v>
      </c>
      <c r="G3605" s="6">
        <v>1363</v>
      </c>
      <c r="H3605" s="9">
        <f t="shared" si="56"/>
        <v>0</v>
      </c>
      <c r="I3605" s="6">
        <v>13000</v>
      </c>
      <c r="J3605" s="6">
        <f>VLOOKUP(Table1[[#This Row],[Province]],[1]Sheet1!$A$3:$K$37,10,FALSE)</f>
        <v>1862600</v>
      </c>
      <c r="K3605">
        <v>0</v>
      </c>
      <c r="L3605" s="4">
        <v>3.2384620000000002</v>
      </c>
      <c r="M3605" s="4">
        <v>130.145273</v>
      </c>
      <c r="N3605" s="6"/>
      <c r="P3605"/>
      <c r="Q3605" s="12"/>
      <c r="R3605" s="12"/>
    </row>
    <row r="3606" spans="1:18" x14ac:dyDescent="0.2">
      <c r="A3606">
        <v>31</v>
      </c>
      <c r="B3606" t="s">
        <v>19</v>
      </c>
      <c r="C3606">
        <v>2015</v>
      </c>
      <c r="D3606">
        <v>9</v>
      </c>
      <c r="E3606" s="4">
        <v>0</v>
      </c>
      <c r="F3606" s="9">
        <v>0</v>
      </c>
      <c r="G3606" s="6">
        <v>1829</v>
      </c>
      <c r="H3606" s="9">
        <f t="shared" si="56"/>
        <v>0</v>
      </c>
      <c r="I3606" s="6">
        <v>12373</v>
      </c>
      <c r="J3606" s="6">
        <f>VLOOKUP(Table1[[#This Row],[Province]],[1]Sheet1!$A$3:$K$37,10,FALSE)</f>
        <v>1862600</v>
      </c>
      <c r="K3606">
        <v>0</v>
      </c>
      <c r="L3606" s="4">
        <v>3.2384620000000002</v>
      </c>
      <c r="M3606" s="4">
        <v>130.145273</v>
      </c>
      <c r="N3606" s="6"/>
      <c r="P3606"/>
      <c r="Q3606" s="12"/>
      <c r="R3606" s="12"/>
    </row>
    <row r="3607" spans="1:18" x14ac:dyDescent="0.2">
      <c r="A3607">
        <v>31</v>
      </c>
      <c r="B3607" t="s">
        <v>19</v>
      </c>
      <c r="C3607">
        <v>2015</v>
      </c>
      <c r="D3607">
        <v>10</v>
      </c>
      <c r="E3607" s="4">
        <v>0</v>
      </c>
      <c r="F3607" s="9">
        <v>0</v>
      </c>
      <c r="G3607" s="6">
        <v>1219</v>
      </c>
      <c r="H3607" s="9">
        <f t="shared" si="56"/>
        <v>0</v>
      </c>
      <c r="I3607" s="6">
        <v>12452</v>
      </c>
      <c r="J3607" s="6">
        <f>VLOOKUP(Table1[[#This Row],[Province]],[1]Sheet1!$A$3:$K$37,10,FALSE)</f>
        <v>1862600</v>
      </c>
      <c r="K3607">
        <v>0</v>
      </c>
      <c r="L3607" s="4">
        <v>3.2384620000000002</v>
      </c>
      <c r="M3607" s="4">
        <v>130.145273</v>
      </c>
      <c r="N3607" s="6"/>
      <c r="P3607"/>
      <c r="Q3607" s="12"/>
      <c r="R3607" s="12"/>
    </row>
    <row r="3608" spans="1:18" x14ac:dyDescent="0.2">
      <c r="A3608">
        <v>31</v>
      </c>
      <c r="B3608" t="s">
        <v>19</v>
      </c>
      <c r="C3608">
        <v>2015</v>
      </c>
      <c r="D3608">
        <v>11</v>
      </c>
      <c r="E3608" s="4">
        <v>0</v>
      </c>
      <c r="F3608" s="9">
        <v>0</v>
      </c>
      <c r="G3608" s="6">
        <v>1607</v>
      </c>
      <c r="H3608" s="9">
        <f t="shared" si="56"/>
        <v>0</v>
      </c>
      <c r="I3608" s="6">
        <v>12976</v>
      </c>
      <c r="J3608" s="6">
        <f>VLOOKUP(Table1[[#This Row],[Province]],[1]Sheet1!$A$3:$K$37,10,FALSE)</f>
        <v>1862600</v>
      </c>
      <c r="K3608">
        <v>0</v>
      </c>
      <c r="L3608" s="4">
        <v>3.2384620000000002</v>
      </c>
      <c r="M3608" s="4">
        <v>130.145273</v>
      </c>
      <c r="N3608" s="6"/>
      <c r="P3608"/>
      <c r="Q3608" s="12"/>
      <c r="R3608" s="12"/>
    </row>
    <row r="3609" spans="1:18" x14ac:dyDescent="0.2">
      <c r="A3609">
        <v>31</v>
      </c>
      <c r="B3609" t="s">
        <v>19</v>
      </c>
      <c r="C3609">
        <v>2015</v>
      </c>
      <c r="D3609">
        <v>12</v>
      </c>
      <c r="E3609" s="4">
        <v>0</v>
      </c>
      <c r="F3609" s="9">
        <v>0</v>
      </c>
      <c r="G3609" s="6">
        <v>1723</v>
      </c>
      <c r="H3609" s="9">
        <f t="shared" si="56"/>
        <v>0</v>
      </c>
      <c r="I3609" s="6">
        <v>13000</v>
      </c>
      <c r="J3609" s="6">
        <f>VLOOKUP(Table1[[#This Row],[Province]],[1]Sheet1!$A$3:$K$37,10,FALSE)</f>
        <v>1862600</v>
      </c>
      <c r="K3609">
        <v>1</v>
      </c>
      <c r="L3609" s="4">
        <v>3.2384620000000002</v>
      </c>
      <c r="M3609" s="4">
        <v>130.145273</v>
      </c>
      <c r="N3609" s="6"/>
      <c r="P3609"/>
      <c r="Q3609" s="12"/>
      <c r="R3609" s="12"/>
    </row>
    <row r="3610" spans="1:18" x14ac:dyDescent="0.2">
      <c r="A3610">
        <v>31</v>
      </c>
      <c r="B3610" t="s">
        <v>19</v>
      </c>
      <c r="C3610">
        <v>2016</v>
      </c>
      <c r="D3610">
        <v>1</v>
      </c>
      <c r="E3610" s="4">
        <v>0</v>
      </c>
      <c r="F3610" s="9">
        <v>0</v>
      </c>
      <c r="G3610" s="6">
        <v>2150</v>
      </c>
      <c r="H3610" s="9">
        <f t="shared" si="56"/>
        <v>0</v>
      </c>
      <c r="I3610" s="6">
        <v>13733</v>
      </c>
      <c r="J3610" s="6">
        <f>VLOOKUP(Table1[[#This Row],[Province]],[1]Sheet1!$A$3:$K$37,10,FALSE)</f>
        <v>1862600</v>
      </c>
      <c r="K3610">
        <v>0</v>
      </c>
      <c r="L3610" s="4">
        <v>3.2384620000000002</v>
      </c>
      <c r="M3610" s="4">
        <v>130.145273</v>
      </c>
      <c r="N3610" s="13">
        <v>5.73</v>
      </c>
      <c r="P3610"/>
      <c r="Q3610" s="12"/>
      <c r="R3610" s="12"/>
    </row>
    <row r="3611" spans="1:18" x14ac:dyDescent="0.2">
      <c r="A3611">
        <v>31</v>
      </c>
      <c r="B3611" t="s">
        <v>19</v>
      </c>
      <c r="C3611">
        <v>2016</v>
      </c>
      <c r="D3611">
        <v>2</v>
      </c>
      <c r="E3611" s="4">
        <v>0</v>
      </c>
      <c r="F3611" s="9">
        <v>0</v>
      </c>
      <c r="G3611" s="6">
        <v>1431</v>
      </c>
      <c r="H3611" s="9">
        <f t="shared" si="56"/>
        <v>0</v>
      </c>
      <c r="I3611" s="6">
        <v>13892</v>
      </c>
      <c r="J3611" s="6">
        <f>VLOOKUP(Table1[[#This Row],[Province]],[1]Sheet1!$A$3:$K$37,10,FALSE)</f>
        <v>1862600</v>
      </c>
      <c r="K3611">
        <v>0</v>
      </c>
      <c r="L3611" s="4">
        <v>3.2384620000000002</v>
      </c>
      <c r="M3611" s="4">
        <v>130.145273</v>
      </c>
      <c r="N3611" s="13">
        <v>5.73</v>
      </c>
      <c r="P3611"/>
      <c r="Q3611" s="12"/>
      <c r="R3611" s="12"/>
    </row>
    <row r="3612" spans="1:18" x14ac:dyDescent="0.2">
      <c r="A3612">
        <v>31</v>
      </c>
      <c r="B3612" t="s">
        <v>19</v>
      </c>
      <c r="C3612">
        <v>2016</v>
      </c>
      <c r="D3612">
        <v>3</v>
      </c>
      <c r="E3612" s="4">
        <v>0</v>
      </c>
      <c r="F3612" s="9">
        <v>0</v>
      </c>
      <c r="G3612" s="6">
        <v>1292</v>
      </c>
      <c r="H3612" s="9">
        <f t="shared" si="56"/>
        <v>0</v>
      </c>
      <c r="I3612" s="6">
        <v>13159</v>
      </c>
      <c r="J3612" s="6">
        <f>VLOOKUP(Table1[[#This Row],[Province]],[1]Sheet1!$A$3:$K$37,10,FALSE)</f>
        <v>1862600</v>
      </c>
      <c r="K3612">
        <v>0</v>
      </c>
      <c r="L3612" s="4">
        <v>3.2384620000000002</v>
      </c>
      <c r="M3612" s="4">
        <v>130.145273</v>
      </c>
      <c r="N3612" s="13">
        <v>5.73</v>
      </c>
      <c r="P3612"/>
      <c r="Q3612" s="12"/>
      <c r="R3612" s="12"/>
    </row>
    <row r="3613" spans="1:18" x14ac:dyDescent="0.2">
      <c r="A3613">
        <v>31</v>
      </c>
      <c r="B3613" t="s">
        <v>19</v>
      </c>
      <c r="C3613">
        <v>2016</v>
      </c>
      <c r="D3613">
        <v>4</v>
      </c>
      <c r="E3613" s="4">
        <v>0</v>
      </c>
      <c r="F3613" s="9">
        <v>0</v>
      </c>
      <c r="G3613" s="6">
        <v>468</v>
      </c>
      <c r="H3613" s="9">
        <f t="shared" si="56"/>
        <v>0</v>
      </c>
      <c r="I3613" s="6">
        <v>14048</v>
      </c>
      <c r="J3613" s="6">
        <f>VLOOKUP(Table1[[#This Row],[Province]],[1]Sheet1!$A$3:$K$37,10,FALSE)</f>
        <v>1862600</v>
      </c>
      <c r="K3613">
        <v>0</v>
      </c>
      <c r="L3613" s="4">
        <v>3.2384620000000002</v>
      </c>
      <c r="M3613" s="4">
        <v>130.145273</v>
      </c>
      <c r="N3613" s="13">
        <v>5.73</v>
      </c>
      <c r="P3613"/>
      <c r="Q3613" s="12"/>
      <c r="R3613" s="12"/>
    </row>
    <row r="3614" spans="1:18" x14ac:dyDescent="0.2">
      <c r="A3614">
        <v>31</v>
      </c>
      <c r="B3614" t="s">
        <v>19</v>
      </c>
      <c r="C3614">
        <v>2016</v>
      </c>
      <c r="D3614">
        <v>5</v>
      </c>
      <c r="E3614" s="4">
        <v>0</v>
      </c>
      <c r="F3614" s="9">
        <v>0</v>
      </c>
      <c r="G3614" s="6">
        <v>998</v>
      </c>
      <c r="H3614" s="9">
        <f t="shared" si="56"/>
        <v>0</v>
      </c>
      <c r="I3614" s="6">
        <v>17033</v>
      </c>
      <c r="J3614" s="6">
        <f>VLOOKUP(Table1[[#This Row],[Province]],[1]Sheet1!$A$3:$K$37,10,FALSE)</f>
        <v>1862600</v>
      </c>
      <c r="K3614">
        <v>0</v>
      </c>
      <c r="L3614" s="4">
        <v>3.2384620000000002</v>
      </c>
      <c r="M3614" s="4">
        <v>130.145273</v>
      </c>
      <c r="N3614" s="13">
        <v>5.73</v>
      </c>
      <c r="P3614"/>
      <c r="Q3614" s="12"/>
      <c r="R3614" s="12"/>
    </row>
    <row r="3615" spans="1:18" x14ac:dyDescent="0.2">
      <c r="A3615">
        <v>31</v>
      </c>
      <c r="B3615" t="s">
        <v>19</v>
      </c>
      <c r="C3615">
        <v>2016</v>
      </c>
      <c r="D3615">
        <v>6</v>
      </c>
      <c r="E3615" s="4">
        <v>0</v>
      </c>
      <c r="F3615" s="9">
        <v>0</v>
      </c>
      <c r="G3615" s="6">
        <v>1755</v>
      </c>
      <c r="H3615" s="9">
        <f t="shared" si="56"/>
        <v>0</v>
      </c>
      <c r="I3615" s="6">
        <v>17970</v>
      </c>
      <c r="J3615" s="6">
        <f>VLOOKUP(Table1[[#This Row],[Province]],[1]Sheet1!$A$3:$K$37,10,FALSE)</f>
        <v>1862600</v>
      </c>
      <c r="K3615">
        <v>1</v>
      </c>
      <c r="L3615" s="4">
        <v>3.2384620000000002</v>
      </c>
      <c r="M3615" s="4">
        <v>130.145273</v>
      </c>
      <c r="N3615" s="13">
        <v>5.73</v>
      </c>
      <c r="P3615"/>
      <c r="Q3615" s="12"/>
      <c r="R3615" s="12"/>
    </row>
    <row r="3616" spans="1:18" x14ac:dyDescent="0.2">
      <c r="A3616">
        <v>31</v>
      </c>
      <c r="B3616" t="s">
        <v>19</v>
      </c>
      <c r="C3616">
        <v>2016</v>
      </c>
      <c r="D3616">
        <v>7</v>
      </c>
      <c r="E3616" s="4">
        <v>0</v>
      </c>
      <c r="F3616" s="9">
        <v>0</v>
      </c>
      <c r="G3616" s="6">
        <v>1674</v>
      </c>
      <c r="H3616" s="9">
        <f t="shared" si="56"/>
        <v>0</v>
      </c>
      <c r="I3616" s="6">
        <v>18000</v>
      </c>
      <c r="J3616" s="6">
        <f>VLOOKUP(Table1[[#This Row],[Province]],[1]Sheet1!$A$3:$K$37,10,FALSE)</f>
        <v>1862600</v>
      </c>
      <c r="K3616">
        <v>0</v>
      </c>
      <c r="L3616" s="4">
        <v>3.2384620000000002</v>
      </c>
      <c r="M3616" s="4">
        <v>130.145273</v>
      </c>
      <c r="N3616" s="13">
        <v>5.73</v>
      </c>
      <c r="P3616"/>
      <c r="Q3616" s="12"/>
      <c r="R3616" s="12"/>
    </row>
    <row r="3617" spans="1:18" x14ac:dyDescent="0.2">
      <c r="A3617">
        <v>31</v>
      </c>
      <c r="B3617" t="s">
        <v>19</v>
      </c>
      <c r="C3617">
        <v>2016</v>
      </c>
      <c r="D3617">
        <v>8</v>
      </c>
      <c r="E3617" s="4">
        <v>0</v>
      </c>
      <c r="F3617" s="9">
        <v>0</v>
      </c>
      <c r="G3617" s="6">
        <v>1654</v>
      </c>
      <c r="H3617" s="9">
        <f t="shared" si="56"/>
        <v>0</v>
      </c>
      <c r="I3617" s="6">
        <v>16697</v>
      </c>
      <c r="J3617" s="6">
        <f>VLOOKUP(Table1[[#This Row],[Province]],[1]Sheet1!$A$3:$K$37,10,FALSE)</f>
        <v>1862600</v>
      </c>
      <c r="K3617">
        <v>0</v>
      </c>
      <c r="L3617" s="4">
        <v>3.2384620000000002</v>
      </c>
      <c r="M3617" s="4">
        <v>130.145273</v>
      </c>
      <c r="N3617" s="13">
        <v>5.73</v>
      </c>
      <c r="P3617"/>
      <c r="Q3617" s="12"/>
      <c r="R3617" s="12"/>
    </row>
    <row r="3618" spans="1:18" x14ac:dyDescent="0.2">
      <c r="A3618">
        <v>31</v>
      </c>
      <c r="B3618" t="s">
        <v>19</v>
      </c>
      <c r="C3618">
        <v>2016</v>
      </c>
      <c r="D3618">
        <v>9</v>
      </c>
      <c r="E3618" s="4">
        <v>0</v>
      </c>
      <c r="F3618" s="9">
        <v>0</v>
      </c>
      <c r="G3618" s="6">
        <v>639</v>
      </c>
      <c r="H3618" s="9">
        <f t="shared" si="56"/>
        <v>0</v>
      </c>
      <c r="I3618" s="6">
        <v>14992</v>
      </c>
      <c r="J3618" s="6">
        <f>VLOOKUP(Table1[[#This Row],[Province]],[1]Sheet1!$A$3:$K$37,10,FALSE)</f>
        <v>1862600</v>
      </c>
      <c r="K3618">
        <v>0</v>
      </c>
      <c r="L3618" s="4">
        <v>3.2384620000000002</v>
      </c>
      <c r="M3618" s="4">
        <v>130.145273</v>
      </c>
      <c r="N3618" s="13">
        <v>5.73</v>
      </c>
      <c r="P3618"/>
      <c r="Q3618" s="12"/>
      <c r="R3618" s="12"/>
    </row>
    <row r="3619" spans="1:18" x14ac:dyDescent="0.2">
      <c r="A3619">
        <v>31</v>
      </c>
      <c r="B3619" t="s">
        <v>19</v>
      </c>
      <c r="C3619">
        <v>2016</v>
      </c>
      <c r="D3619">
        <v>10</v>
      </c>
      <c r="E3619" s="4">
        <v>0</v>
      </c>
      <c r="F3619" s="9">
        <v>0</v>
      </c>
      <c r="G3619" s="6">
        <v>2793</v>
      </c>
      <c r="H3619" s="9">
        <f t="shared" si="56"/>
        <v>0</v>
      </c>
      <c r="I3619" s="6">
        <v>14714</v>
      </c>
      <c r="J3619" s="6">
        <f>VLOOKUP(Table1[[#This Row],[Province]],[1]Sheet1!$A$3:$K$37,10,FALSE)</f>
        <v>1862600</v>
      </c>
      <c r="K3619">
        <v>0</v>
      </c>
      <c r="L3619" s="4">
        <v>3.2384620000000002</v>
      </c>
      <c r="M3619" s="4">
        <v>130.145273</v>
      </c>
      <c r="N3619" s="13">
        <v>5.73</v>
      </c>
      <c r="P3619"/>
      <c r="Q3619" s="12"/>
      <c r="R3619" s="12"/>
    </row>
    <row r="3620" spans="1:18" x14ac:dyDescent="0.2">
      <c r="A3620">
        <v>31</v>
      </c>
      <c r="B3620" t="s">
        <v>19</v>
      </c>
      <c r="C3620">
        <v>2016</v>
      </c>
      <c r="D3620">
        <v>11</v>
      </c>
      <c r="E3620" s="4">
        <v>0</v>
      </c>
      <c r="F3620" s="9">
        <v>0</v>
      </c>
      <c r="G3620" s="6">
        <v>791</v>
      </c>
      <c r="H3620" s="9">
        <f t="shared" si="56"/>
        <v>0</v>
      </c>
      <c r="I3620" s="6">
        <v>14333</v>
      </c>
      <c r="J3620" s="6">
        <f>VLOOKUP(Table1[[#This Row],[Province]],[1]Sheet1!$A$3:$K$37,10,FALSE)</f>
        <v>1862600</v>
      </c>
      <c r="K3620">
        <v>0</v>
      </c>
      <c r="L3620" s="4">
        <v>3.2384620000000002</v>
      </c>
      <c r="M3620" s="4">
        <v>130.145273</v>
      </c>
      <c r="N3620" s="13">
        <v>5.73</v>
      </c>
      <c r="P3620"/>
      <c r="Q3620" s="12"/>
      <c r="R3620" s="12"/>
    </row>
    <row r="3621" spans="1:18" x14ac:dyDescent="0.2">
      <c r="A3621">
        <v>31</v>
      </c>
      <c r="B3621" t="s">
        <v>19</v>
      </c>
      <c r="C3621">
        <v>2016</v>
      </c>
      <c r="D3621">
        <v>12</v>
      </c>
      <c r="E3621" s="4">
        <v>0</v>
      </c>
      <c r="F3621" s="9">
        <v>0</v>
      </c>
      <c r="G3621" s="6">
        <v>791</v>
      </c>
      <c r="H3621" s="9">
        <f t="shared" si="56"/>
        <v>0</v>
      </c>
      <c r="I3621" s="6">
        <v>14392</v>
      </c>
      <c r="J3621" s="6">
        <f>VLOOKUP(Table1[[#This Row],[Province]],[1]Sheet1!$A$3:$K$37,10,FALSE)</f>
        <v>1862600</v>
      </c>
      <c r="K3621">
        <v>1</v>
      </c>
      <c r="L3621" s="4">
        <v>3.2384620000000002</v>
      </c>
      <c r="M3621" s="4">
        <v>130.145273</v>
      </c>
      <c r="N3621" s="13">
        <v>5.73</v>
      </c>
      <c r="P3621"/>
      <c r="Q3621" s="12"/>
      <c r="R3621" s="12"/>
    </row>
    <row r="3622" spans="1:18" x14ac:dyDescent="0.2">
      <c r="A3622">
        <v>31</v>
      </c>
      <c r="B3622" t="s">
        <v>19</v>
      </c>
      <c r="C3622">
        <v>2017</v>
      </c>
      <c r="D3622">
        <v>1</v>
      </c>
      <c r="E3622" s="4">
        <v>0</v>
      </c>
      <c r="F3622" s="9">
        <v>0</v>
      </c>
      <c r="G3622" s="6">
        <v>1592</v>
      </c>
      <c r="H3622" s="9">
        <f t="shared" si="56"/>
        <v>0</v>
      </c>
      <c r="I3622" s="6">
        <v>14683</v>
      </c>
      <c r="J3622" s="6">
        <f>VLOOKUP(Table1[[#This Row],[Province]],[1]Sheet1!$A$3:$K$37,10,FALSE)</f>
        <v>1862600</v>
      </c>
      <c r="K3622">
        <v>0</v>
      </c>
      <c r="L3622" s="4">
        <v>3.2384620000000002</v>
      </c>
      <c r="M3622" s="4">
        <v>130.145273</v>
      </c>
      <c r="N3622" s="13">
        <v>5.82</v>
      </c>
      <c r="P3622"/>
      <c r="Q3622" s="12"/>
      <c r="R3622" s="12"/>
    </row>
    <row r="3623" spans="1:18" x14ac:dyDescent="0.2">
      <c r="A3623">
        <v>31</v>
      </c>
      <c r="B3623" t="s">
        <v>19</v>
      </c>
      <c r="C3623">
        <v>2017</v>
      </c>
      <c r="D3623">
        <v>2</v>
      </c>
      <c r="E3623" s="4">
        <v>0</v>
      </c>
      <c r="F3623" s="9">
        <v>0</v>
      </c>
      <c r="G3623" s="6">
        <v>915</v>
      </c>
      <c r="H3623" s="9">
        <f t="shared" si="56"/>
        <v>0</v>
      </c>
      <c r="I3623" s="6">
        <v>14430</v>
      </c>
      <c r="J3623" s="6">
        <f>VLOOKUP(Table1[[#This Row],[Province]],[1]Sheet1!$A$3:$K$37,10,FALSE)</f>
        <v>1862600</v>
      </c>
      <c r="K3623">
        <v>0</v>
      </c>
      <c r="L3623" s="4">
        <v>3.2384620000000002</v>
      </c>
      <c r="M3623" s="4">
        <v>130.145273</v>
      </c>
      <c r="N3623" s="13">
        <v>5.82</v>
      </c>
      <c r="P3623"/>
      <c r="Q3623" s="12"/>
      <c r="R3623" s="12"/>
    </row>
    <row r="3624" spans="1:18" x14ac:dyDescent="0.2">
      <c r="A3624">
        <v>31</v>
      </c>
      <c r="B3624" t="s">
        <v>19</v>
      </c>
      <c r="C3624">
        <v>2017</v>
      </c>
      <c r="D3624">
        <v>3</v>
      </c>
      <c r="E3624" s="4">
        <v>0</v>
      </c>
      <c r="F3624" s="9">
        <v>0</v>
      </c>
      <c r="G3624" s="6">
        <v>715</v>
      </c>
      <c r="H3624" s="9">
        <f t="shared" si="56"/>
        <v>0</v>
      </c>
      <c r="I3624" s="6">
        <v>14129</v>
      </c>
      <c r="J3624" s="6">
        <f>VLOOKUP(Table1[[#This Row],[Province]],[1]Sheet1!$A$3:$K$37,10,FALSE)</f>
        <v>1862600</v>
      </c>
      <c r="K3624">
        <v>0</v>
      </c>
      <c r="L3624" s="4">
        <v>3.2384620000000002</v>
      </c>
      <c r="M3624" s="4">
        <v>130.145273</v>
      </c>
      <c r="N3624" s="13">
        <v>5.82</v>
      </c>
      <c r="P3624"/>
      <c r="Q3624" s="12"/>
      <c r="R3624" s="12"/>
    </row>
    <row r="3625" spans="1:18" x14ac:dyDescent="0.2">
      <c r="A3625">
        <v>31</v>
      </c>
      <c r="B3625" t="s">
        <v>19</v>
      </c>
      <c r="C3625">
        <v>2017</v>
      </c>
      <c r="D3625">
        <v>4</v>
      </c>
      <c r="E3625" s="4">
        <v>0</v>
      </c>
      <c r="F3625" s="9">
        <v>0</v>
      </c>
      <c r="G3625" s="6">
        <v>511</v>
      </c>
      <c r="H3625" s="9">
        <f t="shared" si="56"/>
        <v>0</v>
      </c>
      <c r="I3625" s="6">
        <v>14657</v>
      </c>
      <c r="J3625" s="6">
        <f>VLOOKUP(Table1[[#This Row],[Province]],[1]Sheet1!$A$3:$K$37,10,FALSE)</f>
        <v>1862600</v>
      </c>
      <c r="K3625">
        <v>0</v>
      </c>
      <c r="L3625" s="4">
        <v>3.2384620000000002</v>
      </c>
      <c r="M3625" s="4">
        <v>130.145273</v>
      </c>
      <c r="N3625" s="13">
        <v>5.82</v>
      </c>
      <c r="P3625"/>
      <c r="Q3625" s="12"/>
      <c r="R3625" s="12"/>
    </row>
    <row r="3626" spans="1:18" x14ac:dyDescent="0.2">
      <c r="A3626">
        <v>31</v>
      </c>
      <c r="B3626" t="s">
        <v>19</v>
      </c>
      <c r="C3626">
        <v>2017</v>
      </c>
      <c r="D3626">
        <v>5</v>
      </c>
      <c r="E3626" s="4">
        <v>0</v>
      </c>
      <c r="F3626" s="9">
        <v>0</v>
      </c>
      <c r="G3626" s="6">
        <v>492</v>
      </c>
      <c r="H3626" s="9">
        <f t="shared" si="56"/>
        <v>0</v>
      </c>
      <c r="I3626" s="6">
        <v>14600</v>
      </c>
      <c r="J3626" s="6">
        <f>VLOOKUP(Table1[[#This Row],[Province]],[1]Sheet1!$A$3:$K$37,10,FALSE)</f>
        <v>1862600</v>
      </c>
      <c r="K3626">
        <v>1</v>
      </c>
      <c r="L3626" s="4">
        <v>3.2384620000000002</v>
      </c>
      <c r="M3626" s="4">
        <v>130.145273</v>
      </c>
      <c r="N3626" s="13">
        <v>5.82</v>
      </c>
      <c r="P3626"/>
      <c r="Q3626" s="12"/>
      <c r="R3626" s="12"/>
    </row>
    <row r="3627" spans="1:18" x14ac:dyDescent="0.2">
      <c r="A3627">
        <v>31</v>
      </c>
      <c r="B3627" t="s">
        <v>19</v>
      </c>
      <c r="C3627">
        <v>2017</v>
      </c>
      <c r="D3627">
        <v>6</v>
      </c>
      <c r="E3627" s="4">
        <v>0</v>
      </c>
      <c r="F3627" s="9">
        <v>0</v>
      </c>
      <c r="G3627" s="6">
        <v>910</v>
      </c>
      <c r="H3627" s="9">
        <f t="shared" si="56"/>
        <v>0</v>
      </c>
      <c r="I3627" s="6">
        <v>14311</v>
      </c>
      <c r="J3627" s="6">
        <f>VLOOKUP(Table1[[#This Row],[Province]],[1]Sheet1!$A$3:$K$37,10,FALSE)</f>
        <v>1862600</v>
      </c>
      <c r="K3627">
        <v>0</v>
      </c>
      <c r="L3627" s="4">
        <v>3.2384620000000002</v>
      </c>
      <c r="M3627" s="4">
        <v>130.145273</v>
      </c>
      <c r="N3627" s="13">
        <v>5.82</v>
      </c>
      <c r="P3627"/>
      <c r="Q3627" s="12"/>
      <c r="R3627" s="12"/>
    </row>
    <row r="3628" spans="1:18" x14ac:dyDescent="0.2">
      <c r="A3628">
        <v>31</v>
      </c>
      <c r="B3628" t="s">
        <v>19</v>
      </c>
      <c r="C3628">
        <v>2017</v>
      </c>
      <c r="D3628">
        <v>7</v>
      </c>
      <c r="E3628" s="4">
        <v>0</v>
      </c>
      <c r="F3628" s="9">
        <v>0</v>
      </c>
      <c r="G3628" s="6">
        <v>1013</v>
      </c>
      <c r="H3628" s="9">
        <f t="shared" si="56"/>
        <v>0</v>
      </c>
      <c r="I3628" s="6">
        <v>14302</v>
      </c>
      <c r="J3628" s="6">
        <f>VLOOKUP(Table1[[#This Row],[Province]],[1]Sheet1!$A$3:$K$37,10,FALSE)</f>
        <v>1862600</v>
      </c>
      <c r="K3628">
        <v>0</v>
      </c>
      <c r="L3628" s="4">
        <v>3.2384620000000002</v>
      </c>
      <c r="M3628" s="4">
        <v>130.145273</v>
      </c>
      <c r="N3628" s="13">
        <v>5.82</v>
      </c>
      <c r="P3628"/>
      <c r="Q3628" s="12"/>
      <c r="R3628" s="12"/>
    </row>
    <row r="3629" spans="1:18" x14ac:dyDescent="0.2">
      <c r="A3629">
        <v>31</v>
      </c>
      <c r="B3629" t="s">
        <v>19</v>
      </c>
      <c r="C3629">
        <v>2017</v>
      </c>
      <c r="D3629">
        <v>8</v>
      </c>
      <c r="E3629" s="4">
        <v>0</v>
      </c>
      <c r="F3629" s="9">
        <v>0</v>
      </c>
      <c r="G3629" s="6">
        <v>1941</v>
      </c>
      <c r="H3629" s="9">
        <f t="shared" si="56"/>
        <v>0</v>
      </c>
      <c r="I3629" s="6">
        <v>13947</v>
      </c>
      <c r="J3629" s="6">
        <f>VLOOKUP(Table1[[#This Row],[Province]],[1]Sheet1!$A$3:$K$37,10,FALSE)</f>
        <v>1862600</v>
      </c>
      <c r="K3629">
        <v>0</v>
      </c>
      <c r="L3629" s="4">
        <v>3.2384620000000002</v>
      </c>
      <c r="M3629" s="4">
        <v>130.145273</v>
      </c>
      <c r="N3629" s="13">
        <v>5.82</v>
      </c>
      <c r="P3629"/>
      <c r="Q3629" s="12"/>
      <c r="R3629" s="12"/>
    </row>
    <row r="3630" spans="1:18" x14ac:dyDescent="0.2">
      <c r="A3630">
        <v>31</v>
      </c>
      <c r="B3630" t="s">
        <v>19</v>
      </c>
      <c r="C3630">
        <v>2017</v>
      </c>
      <c r="D3630">
        <v>9</v>
      </c>
      <c r="E3630" s="4">
        <v>0</v>
      </c>
      <c r="F3630" s="9">
        <v>0</v>
      </c>
      <c r="G3630" s="6">
        <v>1881</v>
      </c>
      <c r="H3630" s="9">
        <f t="shared" si="56"/>
        <v>0</v>
      </c>
      <c r="I3630" s="6">
        <v>13157</v>
      </c>
      <c r="J3630" s="6">
        <f>VLOOKUP(Table1[[#This Row],[Province]],[1]Sheet1!$A$3:$K$37,10,FALSE)</f>
        <v>1862600</v>
      </c>
      <c r="K3630">
        <v>0</v>
      </c>
      <c r="L3630" s="4">
        <v>3.2384620000000002</v>
      </c>
      <c r="M3630" s="4">
        <v>130.145273</v>
      </c>
      <c r="N3630" s="13">
        <v>5.82</v>
      </c>
      <c r="P3630"/>
      <c r="Q3630" s="12"/>
      <c r="R3630" s="12"/>
    </row>
    <row r="3631" spans="1:18" x14ac:dyDescent="0.2">
      <c r="A3631">
        <v>31</v>
      </c>
      <c r="B3631" t="s">
        <v>19</v>
      </c>
      <c r="C3631">
        <v>2017</v>
      </c>
      <c r="D3631">
        <v>10</v>
      </c>
      <c r="E3631" s="4">
        <v>0</v>
      </c>
      <c r="F3631" s="9">
        <v>0</v>
      </c>
      <c r="G3631" s="6">
        <v>2442</v>
      </c>
      <c r="H3631" s="9">
        <f t="shared" si="56"/>
        <v>0</v>
      </c>
      <c r="I3631" s="6">
        <v>13000</v>
      </c>
      <c r="J3631" s="6">
        <f>VLOOKUP(Table1[[#This Row],[Province]],[1]Sheet1!$A$3:$K$37,10,FALSE)</f>
        <v>1862600</v>
      </c>
      <c r="K3631">
        <v>0</v>
      </c>
      <c r="L3631" s="4">
        <v>3.2384620000000002</v>
      </c>
      <c r="M3631" s="4">
        <v>130.145273</v>
      </c>
      <c r="N3631" s="13">
        <v>5.82</v>
      </c>
      <c r="P3631"/>
      <c r="Q3631" s="12"/>
      <c r="R3631" s="12"/>
    </row>
    <row r="3632" spans="1:18" x14ac:dyDescent="0.2">
      <c r="A3632">
        <v>31</v>
      </c>
      <c r="B3632" t="s">
        <v>19</v>
      </c>
      <c r="C3632">
        <v>2017</v>
      </c>
      <c r="D3632">
        <v>11</v>
      </c>
      <c r="E3632" s="4">
        <v>0</v>
      </c>
      <c r="F3632" s="9">
        <v>0</v>
      </c>
      <c r="G3632" s="6">
        <v>638</v>
      </c>
      <c r="H3632" s="9">
        <f t="shared" si="56"/>
        <v>0</v>
      </c>
      <c r="I3632" s="6">
        <v>13000</v>
      </c>
      <c r="J3632" s="6">
        <f>VLOOKUP(Table1[[#This Row],[Province]],[1]Sheet1!$A$3:$K$37,10,FALSE)</f>
        <v>1862600</v>
      </c>
      <c r="K3632">
        <v>0</v>
      </c>
      <c r="L3632" s="4">
        <v>3.2384620000000002</v>
      </c>
      <c r="M3632" s="4">
        <v>130.145273</v>
      </c>
      <c r="N3632" s="13">
        <v>5.82</v>
      </c>
      <c r="P3632"/>
      <c r="Q3632" s="12"/>
      <c r="R3632" s="12"/>
    </row>
    <row r="3633" spans="1:18" x14ac:dyDescent="0.2">
      <c r="A3633">
        <v>31</v>
      </c>
      <c r="B3633" t="s">
        <v>19</v>
      </c>
      <c r="C3633">
        <v>2017</v>
      </c>
      <c r="D3633">
        <v>12</v>
      </c>
      <c r="E3633" s="4">
        <v>0</v>
      </c>
      <c r="F3633" s="9">
        <v>0</v>
      </c>
      <c r="G3633" s="6">
        <v>1189</v>
      </c>
      <c r="H3633" s="9">
        <f t="shared" si="56"/>
        <v>0</v>
      </c>
      <c r="I3633" s="6">
        <v>13009</v>
      </c>
      <c r="J3633" s="6">
        <f>VLOOKUP(Table1[[#This Row],[Province]],[1]Sheet1!$A$3:$K$37,10,FALSE)</f>
        <v>1862600</v>
      </c>
      <c r="K3633">
        <v>1</v>
      </c>
      <c r="L3633" s="4">
        <v>3.2384620000000002</v>
      </c>
      <c r="M3633" s="4">
        <v>130.145273</v>
      </c>
      <c r="N3633" s="13">
        <v>5.82</v>
      </c>
      <c r="P3633"/>
      <c r="Q3633" s="12"/>
      <c r="R3633" s="12"/>
    </row>
    <row r="3634" spans="1:18" x14ac:dyDescent="0.2">
      <c r="A3634">
        <v>31</v>
      </c>
      <c r="B3634" t="s">
        <v>19</v>
      </c>
      <c r="C3634">
        <v>2018</v>
      </c>
      <c r="D3634">
        <v>1</v>
      </c>
      <c r="E3634" s="4">
        <v>0</v>
      </c>
      <c r="F3634" s="9">
        <v>0</v>
      </c>
      <c r="G3634" s="6">
        <v>1886</v>
      </c>
      <c r="H3634" s="9">
        <f t="shared" si="56"/>
        <v>0</v>
      </c>
      <c r="I3634" s="6">
        <v>13000</v>
      </c>
      <c r="J3634" s="6">
        <f>VLOOKUP(Table1[[#This Row],[Province]],[1]Sheet1!$A$3:$K$37,10,FALSE)</f>
        <v>1862600</v>
      </c>
      <c r="K3634">
        <v>0</v>
      </c>
      <c r="L3634" s="4">
        <v>3.2384620000000002</v>
      </c>
      <c r="M3634" s="4">
        <v>130.145273</v>
      </c>
      <c r="N3634" s="13">
        <v>5.91</v>
      </c>
      <c r="P3634"/>
      <c r="Q3634" s="12"/>
      <c r="R3634" s="12"/>
    </row>
    <row r="3635" spans="1:18" x14ac:dyDescent="0.2">
      <c r="A3635">
        <v>31</v>
      </c>
      <c r="B3635" t="s">
        <v>19</v>
      </c>
      <c r="C3635">
        <v>2018</v>
      </c>
      <c r="D3635">
        <v>2</v>
      </c>
      <c r="E3635" s="4">
        <v>0</v>
      </c>
      <c r="F3635" s="9">
        <v>0</v>
      </c>
      <c r="G3635" s="6">
        <v>1535</v>
      </c>
      <c r="H3635" s="9">
        <f t="shared" si="56"/>
        <v>0</v>
      </c>
      <c r="I3635" s="6">
        <v>13000</v>
      </c>
      <c r="J3635" s="6">
        <f>VLOOKUP(Table1[[#This Row],[Province]],[1]Sheet1!$A$3:$K$37,10,FALSE)</f>
        <v>1862600</v>
      </c>
      <c r="K3635">
        <v>0</v>
      </c>
      <c r="L3635" s="4">
        <v>3.2384620000000002</v>
      </c>
      <c r="M3635" s="4">
        <v>130.145273</v>
      </c>
      <c r="N3635" s="13">
        <v>5.91</v>
      </c>
      <c r="P3635"/>
      <c r="Q3635" s="12"/>
      <c r="R3635" s="12"/>
    </row>
    <row r="3636" spans="1:18" x14ac:dyDescent="0.2">
      <c r="A3636">
        <v>31</v>
      </c>
      <c r="B3636" t="s">
        <v>19</v>
      </c>
      <c r="C3636">
        <v>2018</v>
      </c>
      <c r="D3636">
        <v>3</v>
      </c>
      <c r="E3636" s="4">
        <v>0</v>
      </c>
      <c r="F3636" s="9">
        <v>0</v>
      </c>
      <c r="G3636" s="6">
        <v>1567</v>
      </c>
      <c r="H3636" s="9">
        <f t="shared" si="56"/>
        <v>0</v>
      </c>
      <c r="I3636" s="6">
        <v>13000</v>
      </c>
      <c r="J3636" s="6">
        <f>VLOOKUP(Table1[[#This Row],[Province]],[1]Sheet1!$A$3:$K$37,10,FALSE)</f>
        <v>1862600</v>
      </c>
      <c r="K3636">
        <v>0</v>
      </c>
      <c r="L3636" s="4">
        <v>3.2384620000000002</v>
      </c>
      <c r="M3636" s="4">
        <v>130.145273</v>
      </c>
      <c r="N3636" s="13">
        <v>5.91</v>
      </c>
      <c r="P3636"/>
      <c r="Q3636" s="12"/>
      <c r="R3636" s="12"/>
    </row>
    <row r="3637" spans="1:18" x14ac:dyDescent="0.2">
      <c r="A3637">
        <v>31</v>
      </c>
      <c r="B3637" t="s">
        <v>19</v>
      </c>
      <c r="C3637">
        <v>2018</v>
      </c>
      <c r="D3637">
        <v>4</v>
      </c>
      <c r="E3637" s="4">
        <v>0</v>
      </c>
      <c r="F3637" s="9">
        <v>0</v>
      </c>
      <c r="G3637" s="6">
        <v>1813</v>
      </c>
      <c r="H3637" s="9">
        <f t="shared" si="56"/>
        <v>0</v>
      </c>
      <c r="I3637" s="6">
        <v>12976</v>
      </c>
      <c r="J3637" s="6">
        <f>VLOOKUP(Table1[[#This Row],[Province]],[1]Sheet1!$A$3:$K$37,10,FALSE)</f>
        <v>1862600</v>
      </c>
      <c r="K3637">
        <v>0</v>
      </c>
      <c r="L3637" s="4">
        <v>3.2384620000000002</v>
      </c>
      <c r="M3637" s="4">
        <v>130.145273</v>
      </c>
      <c r="N3637" s="13">
        <v>5.91</v>
      </c>
      <c r="P3637"/>
      <c r="Q3637" s="12"/>
      <c r="R3637" s="12"/>
    </row>
    <row r="3638" spans="1:18" x14ac:dyDescent="0.2">
      <c r="A3638">
        <v>31</v>
      </c>
      <c r="B3638" t="s">
        <v>19</v>
      </c>
      <c r="C3638">
        <v>2018</v>
      </c>
      <c r="D3638">
        <v>5</v>
      </c>
      <c r="E3638" s="4">
        <v>0</v>
      </c>
      <c r="F3638" s="9">
        <v>0</v>
      </c>
      <c r="G3638" s="6">
        <v>1721</v>
      </c>
      <c r="H3638" s="9">
        <f t="shared" si="56"/>
        <v>0</v>
      </c>
      <c r="I3638" s="6">
        <v>13000</v>
      </c>
      <c r="J3638" s="6">
        <f>VLOOKUP(Table1[[#This Row],[Province]],[1]Sheet1!$A$3:$K$37,10,FALSE)</f>
        <v>1862600</v>
      </c>
      <c r="K3638">
        <v>1</v>
      </c>
      <c r="L3638" s="4">
        <v>3.2384620000000002</v>
      </c>
      <c r="M3638" s="4">
        <v>130.145273</v>
      </c>
      <c r="N3638" s="13">
        <v>5.91</v>
      </c>
      <c r="P3638"/>
      <c r="Q3638" s="12"/>
      <c r="R3638" s="12"/>
    </row>
    <row r="3639" spans="1:18" x14ac:dyDescent="0.2">
      <c r="A3639">
        <v>31</v>
      </c>
      <c r="B3639" t="s">
        <v>19</v>
      </c>
      <c r="C3639">
        <v>2018</v>
      </c>
      <c r="D3639">
        <v>6</v>
      </c>
      <c r="E3639" s="4">
        <v>0</v>
      </c>
      <c r="F3639" s="9">
        <v>0</v>
      </c>
      <c r="G3639" s="6">
        <v>2722</v>
      </c>
      <c r="H3639" s="9">
        <f t="shared" si="56"/>
        <v>0</v>
      </c>
      <c r="I3639" s="6">
        <v>13000</v>
      </c>
      <c r="J3639" s="6">
        <f>VLOOKUP(Table1[[#This Row],[Province]],[1]Sheet1!$A$3:$K$37,10,FALSE)</f>
        <v>1862600</v>
      </c>
      <c r="K3639">
        <v>0</v>
      </c>
      <c r="L3639" s="4">
        <v>3.2384620000000002</v>
      </c>
      <c r="M3639" s="4">
        <v>130.145273</v>
      </c>
      <c r="N3639" s="13">
        <v>5.91</v>
      </c>
      <c r="P3639"/>
      <c r="Q3639" s="12"/>
      <c r="R3639" s="12"/>
    </row>
    <row r="3640" spans="1:18" x14ac:dyDescent="0.2">
      <c r="A3640">
        <v>31</v>
      </c>
      <c r="B3640" t="s">
        <v>19</v>
      </c>
      <c r="C3640">
        <v>2018</v>
      </c>
      <c r="D3640">
        <v>7</v>
      </c>
      <c r="E3640" s="4">
        <v>0</v>
      </c>
      <c r="F3640" s="9">
        <v>0</v>
      </c>
      <c r="G3640" s="6">
        <v>1101</v>
      </c>
      <c r="H3640" s="9">
        <f t="shared" si="56"/>
        <v>0</v>
      </c>
      <c r="I3640" s="6">
        <v>13000</v>
      </c>
      <c r="J3640" s="6">
        <f>VLOOKUP(Table1[[#This Row],[Province]],[1]Sheet1!$A$3:$K$37,10,FALSE)</f>
        <v>1862600</v>
      </c>
      <c r="K3640">
        <v>0</v>
      </c>
      <c r="L3640" s="4">
        <v>3.2384620000000002</v>
      </c>
      <c r="M3640" s="4">
        <v>130.145273</v>
      </c>
      <c r="N3640" s="13">
        <v>5.91</v>
      </c>
      <c r="P3640"/>
      <c r="Q3640" s="12"/>
      <c r="R3640" s="12"/>
    </row>
    <row r="3641" spans="1:18" x14ac:dyDescent="0.2">
      <c r="A3641">
        <v>31</v>
      </c>
      <c r="B3641" t="s">
        <v>19</v>
      </c>
      <c r="C3641">
        <v>2018</v>
      </c>
      <c r="D3641">
        <v>8</v>
      </c>
      <c r="E3641" s="4">
        <v>0</v>
      </c>
      <c r="F3641" s="9">
        <v>0</v>
      </c>
      <c r="G3641" s="6">
        <v>1648</v>
      </c>
      <c r="H3641" s="9">
        <f t="shared" si="56"/>
        <v>0</v>
      </c>
      <c r="I3641" s="6">
        <v>13000</v>
      </c>
      <c r="J3641" s="6">
        <f>VLOOKUP(Table1[[#This Row],[Province]],[1]Sheet1!$A$3:$K$37,10,FALSE)</f>
        <v>1862600</v>
      </c>
      <c r="K3641">
        <v>0</v>
      </c>
      <c r="L3641" s="4">
        <v>3.2384620000000002</v>
      </c>
      <c r="M3641" s="4">
        <v>130.145273</v>
      </c>
      <c r="N3641" s="13">
        <v>5.91</v>
      </c>
      <c r="P3641"/>
      <c r="Q3641" s="12"/>
      <c r="R3641" s="12"/>
    </row>
    <row r="3642" spans="1:18" x14ac:dyDescent="0.2">
      <c r="A3642">
        <v>31</v>
      </c>
      <c r="B3642" t="s">
        <v>19</v>
      </c>
      <c r="C3642">
        <v>2018</v>
      </c>
      <c r="D3642">
        <v>9</v>
      </c>
      <c r="E3642" s="4">
        <v>0</v>
      </c>
      <c r="F3642" s="9">
        <v>0</v>
      </c>
      <c r="G3642" s="6">
        <v>1920</v>
      </c>
      <c r="H3642" s="9">
        <f t="shared" si="56"/>
        <v>0</v>
      </c>
      <c r="I3642" s="6">
        <v>13000</v>
      </c>
      <c r="J3642" s="6">
        <f>VLOOKUP(Table1[[#This Row],[Province]],[1]Sheet1!$A$3:$K$37,10,FALSE)</f>
        <v>1862600</v>
      </c>
      <c r="K3642">
        <v>0</v>
      </c>
      <c r="L3642" s="4">
        <v>3.2384620000000002</v>
      </c>
      <c r="M3642" s="4">
        <v>130.145273</v>
      </c>
      <c r="N3642" s="13">
        <v>5.91</v>
      </c>
      <c r="P3642"/>
      <c r="Q3642" s="12"/>
      <c r="R3642" s="12"/>
    </row>
    <row r="3643" spans="1:18" x14ac:dyDescent="0.2">
      <c r="A3643">
        <v>31</v>
      </c>
      <c r="B3643" t="s">
        <v>19</v>
      </c>
      <c r="C3643">
        <v>2018</v>
      </c>
      <c r="D3643">
        <v>10</v>
      </c>
      <c r="E3643" s="4">
        <v>0</v>
      </c>
      <c r="F3643" s="9">
        <v>0</v>
      </c>
      <c r="G3643" s="6">
        <v>1680</v>
      </c>
      <c r="H3643" s="9">
        <f t="shared" si="56"/>
        <v>0</v>
      </c>
      <c r="I3643" s="6">
        <v>13000</v>
      </c>
      <c r="J3643" s="6">
        <f>VLOOKUP(Table1[[#This Row],[Province]],[1]Sheet1!$A$3:$K$37,10,FALSE)</f>
        <v>1862600</v>
      </c>
      <c r="K3643">
        <v>0</v>
      </c>
      <c r="L3643" s="4">
        <v>3.2384620000000002</v>
      </c>
      <c r="M3643" s="4">
        <v>130.145273</v>
      </c>
      <c r="N3643" s="13">
        <v>5.91</v>
      </c>
      <c r="P3643"/>
      <c r="Q3643" s="12"/>
      <c r="R3643" s="12"/>
    </row>
    <row r="3644" spans="1:18" x14ac:dyDescent="0.2">
      <c r="A3644">
        <v>31</v>
      </c>
      <c r="B3644" t="s">
        <v>19</v>
      </c>
      <c r="C3644">
        <v>2018</v>
      </c>
      <c r="D3644">
        <v>11</v>
      </c>
      <c r="E3644" s="4">
        <v>0</v>
      </c>
      <c r="F3644" s="9">
        <v>0</v>
      </c>
      <c r="G3644" s="6">
        <v>2183</v>
      </c>
      <c r="H3644" s="9">
        <f t="shared" si="56"/>
        <v>0</v>
      </c>
      <c r="I3644" s="6">
        <v>13000</v>
      </c>
      <c r="J3644" s="6">
        <f>VLOOKUP(Table1[[#This Row],[Province]],[1]Sheet1!$A$3:$K$37,10,FALSE)</f>
        <v>1862600</v>
      </c>
      <c r="K3644">
        <v>0</v>
      </c>
      <c r="L3644" s="4">
        <v>3.2384620000000002</v>
      </c>
      <c r="M3644" s="4">
        <v>130.145273</v>
      </c>
      <c r="N3644" s="13">
        <v>5.91</v>
      </c>
      <c r="P3644"/>
      <c r="Q3644" s="12"/>
      <c r="R3644" s="12"/>
    </row>
    <row r="3645" spans="1:18" x14ac:dyDescent="0.2">
      <c r="A3645">
        <v>31</v>
      </c>
      <c r="B3645" t="s">
        <v>19</v>
      </c>
      <c r="C3645">
        <v>2018</v>
      </c>
      <c r="D3645">
        <v>12</v>
      </c>
      <c r="E3645" s="4">
        <v>0</v>
      </c>
      <c r="F3645" s="9">
        <v>0</v>
      </c>
      <c r="G3645" s="6">
        <v>2304</v>
      </c>
      <c r="H3645" s="9">
        <f t="shared" si="56"/>
        <v>0</v>
      </c>
      <c r="I3645" s="6">
        <v>13000</v>
      </c>
      <c r="J3645" s="6">
        <f>VLOOKUP(Table1[[#This Row],[Province]],[1]Sheet1!$A$3:$K$37,10,FALSE)</f>
        <v>1862600</v>
      </c>
      <c r="K3645">
        <v>1</v>
      </c>
      <c r="L3645" s="4">
        <v>3.2384620000000002</v>
      </c>
      <c r="M3645" s="4">
        <v>130.145273</v>
      </c>
      <c r="N3645" s="13">
        <v>5.91</v>
      </c>
      <c r="P3645"/>
      <c r="Q3645" s="12"/>
      <c r="R3645" s="12"/>
    </row>
    <row r="3646" spans="1:18" x14ac:dyDescent="0.2">
      <c r="A3646">
        <v>31</v>
      </c>
      <c r="B3646" t="s">
        <v>19</v>
      </c>
      <c r="C3646">
        <v>2019</v>
      </c>
      <c r="D3646">
        <v>1</v>
      </c>
      <c r="E3646" s="4">
        <v>0</v>
      </c>
      <c r="F3646" s="9">
        <v>0</v>
      </c>
      <c r="G3646" s="6">
        <v>1116</v>
      </c>
      <c r="H3646" s="9">
        <f t="shared" si="56"/>
        <v>0</v>
      </c>
      <c r="I3646" s="6">
        <v>13000</v>
      </c>
      <c r="J3646" s="6">
        <f>VLOOKUP(Table1[[#This Row],[Province]],[1]Sheet1!$A$3:$K$37,11,FALSE)</f>
        <v>1881700</v>
      </c>
      <c r="K3646">
        <v>0</v>
      </c>
      <c r="L3646" s="4">
        <v>3.2384620000000002</v>
      </c>
      <c r="M3646" s="4">
        <v>130.145273</v>
      </c>
      <c r="N3646" s="13">
        <v>5.41</v>
      </c>
      <c r="P3646"/>
      <c r="Q3646" s="12"/>
      <c r="R3646" s="12"/>
    </row>
    <row r="3647" spans="1:18" x14ac:dyDescent="0.2">
      <c r="A3647">
        <v>31</v>
      </c>
      <c r="B3647" t="s">
        <v>19</v>
      </c>
      <c r="C3647">
        <v>2019</v>
      </c>
      <c r="D3647">
        <v>2</v>
      </c>
      <c r="E3647" s="4">
        <v>0</v>
      </c>
      <c r="F3647" s="9">
        <v>0</v>
      </c>
      <c r="G3647" s="6">
        <v>1312</v>
      </c>
      <c r="H3647" s="9">
        <f t="shared" si="56"/>
        <v>0</v>
      </c>
      <c r="I3647" s="6">
        <v>13000</v>
      </c>
      <c r="J3647" s="6">
        <f>VLOOKUP(Table1[[#This Row],[Province]],[1]Sheet1!$A$3:$K$37,11,FALSE)</f>
        <v>1881700</v>
      </c>
      <c r="K3647">
        <v>0</v>
      </c>
      <c r="L3647" s="4">
        <v>3.2384620000000002</v>
      </c>
      <c r="M3647" s="4">
        <v>130.145273</v>
      </c>
      <c r="N3647" s="13">
        <v>5.41</v>
      </c>
      <c r="P3647"/>
      <c r="Q3647" s="12"/>
      <c r="R3647" s="12"/>
    </row>
    <row r="3648" spans="1:18" x14ac:dyDescent="0.2">
      <c r="A3648">
        <v>31</v>
      </c>
      <c r="B3648" t="s">
        <v>19</v>
      </c>
      <c r="C3648">
        <v>2019</v>
      </c>
      <c r="D3648">
        <v>3</v>
      </c>
      <c r="E3648" s="4">
        <v>0</v>
      </c>
      <c r="F3648" s="9">
        <v>0</v>
      </c>
      <c r="G3648" s="6">
        <v>1834</v>
      </c>
      <c r="H3648" s="9">
        <f t="shared" si="56"/>
        <v>0</v>
      </c>
      <c r="I3648" s="6">
        <v>13000</v>
      </c>
      <c r="J3648" s="6">
        <f>VLOOKUP(Table1[[#This Row],[Province]],[1]Sheet1!$A$3:$K$37,11,FALSE)</f>
        <v>1881700</v>
      </c>
      <c r="K3648">
        <v>0</v>
      </c>
      <c r="L3648" s="4">
        <v>3.2384620000000002</v>
      </c>
      <c r="M3648" s="4">
        <v>130.145273</v>
      </c>
      <c r="N3648" s="13">
        <v>5.41</v>
      </c>
      <c r="P3648"/>
      <c r="Q3648" s="12"/>
      <c r="R3648" s="12"/>
    </row>
    <row r="3649" spans="1:18" x14ac:dyDescent="0.2">
      <c r="A3649">
        <v>31</v>
      </c>
      <c r="B3649" t="s">
        <v>19</v>
      </c>
      <c r="C3649">
        <v>2019</v>
      </c>
      <c r="D3649">
        <v>4</v>
      </c>
      <c r="E3649" s="4">
        <v>0</v>
      </c>
      <c r="F3649" s="9">
        <v>0</v>
      </c>
      <c r="G3649" s="6">
        <v>1622</v>
      </c>
      <c r="H3649" s="9">
        <f t="shared" si="56"/>
        <v>0</v>
      </c>
      <c r="I3649" s="6">
        <v>12708</v>
      </c>
      <c r="J3649" s="6">
        <f>VLOOKUP(Table1[[#This Row],[Province]],[1]Sheet1!$A$3:$K$37,11,FALSE)</f>
        <v>1881700</v>
      </c>
      <c r="K3649">
        <v>0</v>
      </c>
      <c r="L3649" s="4">
        <v>3.2384620000000002</v>
      </c>
      <c r="M3649" s="4">
        <v>130.145273</v>
      </c>
      <c r="N3649" s="13">
        <v>5.41</v>
      </c>
      <c r="P3649"/>
      <c r="Q3649" s="12"/>
      <c r="R3649" s="12"/>
    </row>
    <row r="3650" spans="1:18" x14ac:dyDescent="0.2">
      <c r="A3650">
        <v>31</v>
      </c>
      <c r="B3650" t="s">
        <v>19</v>
      </c>
      <c r="C3650">
        <v>2019</v>
      </c>
      <c r="D3650">
        <v>5</v>
      </c>
      <c r="E3650" s="4">
        <v>0</v>
      </c>
      <c r="F3650" s="9">
        <v>0</v>
      </c>
      <c r="G3650" s="6">
        <v>1013</v>
      </c>
      <c r="H3650" s="9">
        <f t="shared" ref="H3650:H3713" si="57">F3650+E3650</f>
        <v>0</v>
      </c>
      <c r="I3650" s="6">
        <v>13833</v>
      </c>
      <c r="J3650" s="6">
        <f>VLOOKUP(Table1[[#This Row],[Province]],[1]Sheet1!$A$3:$K$37,11,FALSE)</f>
        <v>1881700</v>
      </c>
      <c r="K3650">
        <v>1</v>
      </c>
      <c r="L3650" s="4">
        <v>3.2384620000000002</v>
      </c>
      <c r="M3650" s="4">
        <v>130.145273</v>
      </c>
      <c r="N3650" s="13">
        <v>5.41</v>
      </c>
      <c r="P3650"/>
      <c r="Q3650" s="12"/>
      <c r="R3650" s="12"/>
    </row>
    <row r="3651" spans="1:18" x14ac:dyDescent="0.2">
      <c r="A3651">
        <v>31</v>
      </c>
      <c r="B3651" t="s">
        <v>19</v>
      </c>
      <c r="C3651">
        <v>2019</v>
      </c>
      <c r="D3651">
        <v>5</v>
      </c>
      <c r="E3651" s="4">
        <v>0</v>
      </c>
      <c r="F3651" s="9">
        <v>0</v>
      </c>
      <c r="G3651" s="6">
        <v>1486</v>
      </c>
      <c r="H3651" s="9">
        <f t="shared" si="57"/>
        <v>0</v>
      </c>
      <c r="I3651" s="6">
        <v>14425</v>
      </c>
      <c r="J3651" s="6">
        <f>VLOOKUP(Table1[[#This Row],[Province]],[1]Sheet1!$A$3:$K$37,11,FALSE)</f>
        <v>1881700</v>
      </c>
      <c r="K3651">
        <v>1</v>
      </c>
      <c r="L3651" s="4">
        <v>3.2384620000000002</v>
      </c>
      <c r="M3651" s="4">
        <v>130.145273</v>
      </c>
      <c r="N3651" s="13">
        <v>5.41</v>
      </c>
      <c r="P3651"/>
      <c r="Q3651" s="12"/>
      <c r="R3651" s="12"/>
    </row>
    <row r="3652" spans="1:18" x14ac:dyDescent="0.2">
      <c r="A3652">
        <v>31</v>
      </c>
      <c r="B3652" t="s">
        <v>19</v>
      </c>
      <c r="C3652">
        <v>2019</v>
      </c>
      <c r="D3652">
        <v>6</v>
      </c>
      <c r="E3652" s="4">
        <v>0</v>
      </c>
      <c r="F3652" s="9">
        <v>0</v>
      </c>
      <c r="G3652" s="6">
        <v>1174</v>
      </c>
      <c r="H3652" s="9">
        <f t="shared" si="57"/>
        <v>0</v>
      </c>
      <c r="I3652" s="6">
        <v>13950</v>
      </c>
      <c r="J3652" s="6">
        <f>VLOOKUP(Table1[[#This Row],[Province]],[1]Sheet1!$A$3:$K$37,11,FALSE)</f>
        <v>1881700</v>
      </c>
      <c r="K3652">
        <v>0</v>
      </c>
      <c r="L3652" s="4">
        <v>3.2384620000000002</v>
      </c>
      <c r="M3652" s="4">
        <v>130.145273</v>
      </c>
      <c r="N3652" s="13">
        <v>5.41</v>
      </c>
      <c r="P3652"/>
      <c r="Q3652" s="12"/>
      <c r="R3652" s="12"/>
    </row>
    <row r="3653" spans="1:18" x14ac:dyDescent="0.2">
      <c r="A3653">
        <v>31</v>
      </c>
      <c r="B3653" t="s">
        <v>19</v>
      </c>
      <c r="C3653">
        <v>2019</v>
      </c>
      <c r="D3653">
        <v>7</v>
      </c>
      <c r="E3653" s="4">
        <v>0</v>
      </c>
      <c r="F3653" s="9">
        <v>0</v>
      </c>
      <c r="G3653" s="6">
        <v>956</v>
      </c>
      <c r="H3653" s="9">
        <f t="shared" si="57"/>
        <v>0</v>
      </c>
      <c r="I3653" s="6">
        <v>14000</v>
      </c>
      <c r="J3653" s="6">
        <f>VLOOKUP(Table1[[#This Row],[Province]],[1]Sheet1!$A$3:$K$37,11,FALSE)</f>
        <v>1881700</v>
      </c>
      <c r="K3653">
        <v>0</v>
      </c>
      <c r="L3653" s="4">
        <v>3.2384620000000002</v>
      </c>
      <c r="M3653" s="4">
        <v>130.145273</v>
      </c>
      <c r="N3653" s="13">
        <v>5.41</v>
      </c>
      <c r="P3653"/>
      <c r="Q3653" s="12"/>
      <c r="R3653" s="12"/>
    </row>
    <row r="3654" spans="1:18" x14ac:dyDescent="0.2">
      <c r="A3654">
        <v>31</v>
      </c>
      <c r="B3654" t="s">
        <v>19</v>
      </c>
      <c r="C3654">
        <v>2019</v>
      </c>
      <c r="D3654">
        <v>9</v>
      </c>
      <c r="E3654" s="4">
        <v>0</v>
      </c>
      <c r="F3654" s="9">
        <v>0</v>
      </c>
      <c r="G3654" s="6">
        <v>1245</v>
      </c>
      <c r="H3654" s="9">
        <f t="shared" si="57"/>
        <v>0</v>
      </c>
      <c r="I3654" s="6">
        <v>14000</v>
      </c>
      <c r="J3654" s="6">
        <f>VLOOKUP(Table1[[#This Row],[Province]],[1]Sheet1!$A$3:$K$37,11,FALSE)</f>
        <v>1881700</v>
      </c>
      <c r="K3654">
        <v>0</v>
      </c>
      <c r="L3654" s="4">
        <v>3.2384620000000002</v>
      </c>
      <c r="M3654" s="4">
        <v>130.145273</v>
      </c>
      <c r="N3654" s="13">
        <v>5.41</v>
      </c>
      <c r="P3654"/>
      <c r="Q3654" s="12"/>
      <c r="R3654" s="12"/>
    </row>
    <row r="3655" spans="1:18" x14ac:dyDescent="0.2">
      <c r="A3655">
        <v>31</v>
      </c>
      <c r="B3655" t="s">
        <v>19</v>
      </c>
      <c r="C3655">
        <v>2019</v>
      </c>
      <c r="D3655">
        <v>10</v>
      </c>
      <c r="E3655" s="4">
        <v>0</v>
      </c>
      <c r="F3655" s="9">
        <v>0</v>
      </c>
      <c r="G3655" s="6">
        <v>919</v>
      </c>
      <c r="H3655" s="9">
        <f t="shared" si="57"/>
        <v>0</v>
      </c>
      <c r="I3655" s="6">
        <v>13935</v>
      </c>
      <c r="J3655" s="6">
        <f>VLOOKUP(Table1[[#This Row],[Province]],[1]Sheet1!$A$3:$K$37,11,FALSE)</f>
        <v>1881700</v>
      </c>
      <c r="K3655">
        <v>0</v>
      </c>
      <c r="L3655" s="4">
        <v>3.2384620000000002</v>
      </c>
      <c r="M3655" s="4">
        <v>130.145273</v>
      </c>
      <c r="N3655" s="13">
        <v>5.41</v>
      </c>
      <c r="P3655"/>
      <c r="Q3655" s="12"/>
      <c r="R3655" s="12"/>
    </row>
    <row r="3656" spans="1:18" x14ac:dyDescent="0.2">
      <c r="A3656">
        <v>31</v>
      </c>
      <c r="B3656" t="s">
        <v>19</v>
      </c>
      <c r="C3656">
        <v>2019</v>
      </c>
      <c r="D3656">
        <v>11</v>
      </c>
      <c r="E3656" s="4">
        <v>0</v>
      </c>
      <c r="F3656" s="9">
        <v>0</v>
      </c>
      <c r="G3656" s="6">
        <v>1104</v>
      </c>
      <c r="H3656" s="9">
        <f t="shared" si="57"/>
        <v>0</v>
      </c>
      <c r="I3656" s="6">
        <v>14000</v>
      </c>
      <c r="J3656" s="6">
        <f>VLOOKUP(Table1[[#This Row],[Province]],[1]Sheet1!$A$3:$K$37,11,FALSE)</f>
        <v>1881700</v>
      </c>
      <c r="K3656">
        <v>0</v>
      </c>
      <c r="L3656" s="4">
        <v>3.2384620000000002</v>
      </c>
      <c r="M3656" s="4">
        <v>130.145273</v>
      </c>
      <c r="N3656" s="13">
        <v>5.41</v>
      </c>
      <c r="P3656"/>
      <c r="Q3656" s="12"/>
      <c r="R3656" s="12"/>
    </row>
    <row r="3657" spans="1:18" x14ac:dyDescent="0.2">
      <c r="A3657">
        <v>31</v>
      </c>
      <c r="B3657" t="s">
        <v>19</v>
      </c>
      <c r="C3657">
        <v>2019</v>
      </c>
      <c r="D3657">
        <v>12</v>
      </c>
      <c r="E3657" s="4">
        <v>0</v>
      </c>
      <c r="F3657" s="9">
        <v>0</v>
      </c>
      <c r="G3657" s="6">
        <v>856</v>
      </c>
      <c r="H3657" s="9">
        <f t="shared" si="57"/>
        <v>0</v>
      </c>
      <c r="I3657" s="6">
        <v>14000</v>
      </c>
      <c r="J3657" s="6">
        <f>VLOOKUP(Table1[[#This Row],[Province]],[1]Sheet1!$A$3:$K$37,11,FALSE)</f>
        <v>1881700</v>
      </c>
      <c r="K3657">
        <v>1</v>
      </c>
      <c r="L3657" s="4">
        <v>3.2384620000000002</v>
      </c>
      <c r="M3657" s="4">
        <v>130.145273</v>
      </c>
      <c r="N3657" s="13">
        <v>5.41</v>
      </c>
      <c r="P3657"/>
      <c r="Q3657" s="12"/>
      <c r="R3657" s="12"/>
    </row>
    <row r="3658" spans="1:18" x14ac:dyDescent="0.2">
      <c r="A3658">
        <v>31</v>
      </c>
      <c r="B3658" t="s">
        <v>19</v>
      </c>
      <c r="C3658">
        <v>2020</v>
      </c>
      <c r="D3658">
        <v>1</v>
      </c>
      <c r="E3658" s="4">
        <v>0</v>
      </c>
      <c r="F3658" s="9">
        <v>0</v>
      </c>
      <c r="G3658" s="6">
        <v>166</v>
      </c>
      <c r="H3658" s="9">
        <f t="shared" si="57"/>
        <v>0</v>
      </c>
      <c r="I3658" s="6">
        <v>14000</v>
      </c>
      <c r="J3658" s="6">
        <f>VLOOKUP(Table1[[#This Row],[Province]],[1]Sheet1!$A$3:$K$37,11,FALSE)</f>
        <v>1881700</v>
      </c>
      <c r="K3658">
        <v>0</v>
      </c>
      <c r="L3658" s="4">
        <v>3.2384620000000002</v>
      </c>
      <c r="M3658" s="4">
        <v>130.145273</v>
      </c>
      <c r="N3658" s="13">
        <v>-0.91</v>
      </c>
      <c r="P3658"/>
      <c r="Q3658" s="12"/>
      <c r="R3658" s="12"/>
    </row>
    <row r="3659" spans="1:18" x14ac:dyDescent="0.2">
      <c r="A3659">
        <v>31</v>
      </c>
      <c r="B3659" t="s">
        <v>19</v>
      </c>
      <c r="C3659">
        <v>2020</v>
      </c>
      <c r="D3659">
        <v>2</v>
      </c>
      <c r="E3659" s="4">
        <v>0</v>
      </c>
      <c r="F3659" s="9">
        <v>0</v>
      </c>
      <c r="G3659" s="6">
        <v>1053</v>
      </c>
      <c r="H3659" s="9">
        <f t="shared" si="57"/>
        <v>0</v>
      </c>
      <c r="I3659" s="6">
        <v>14500</v>
      </c>
      <c r="J3659" s="6">
        <f>VLOOKUP(Table1[[#This Row],[Province]],[1]Sheet1!$A$3:$K$37,11,FALSE)</f>
        <v>1881700</v>
      </c>
      <c r="K3659">
        <v>0</v>
      </c>
      <c r="L3659" s="4">
        <v>3.2384620000000002</v>
      </c>
      <c r="M3659" s="4">
        <v>130.145273</v>
      </c>
      <c r="N3659" s="13">
        <v>-0.91</v>
      </c>
      <c r="P3659"/>
      <c r="Q3659" s="12"/>
      <c r="R3659" s="12"/>
    </row>
    <row r="3660" spans="1:18" x14ac:dyDescent="0.2">
      <c r="A3660">
        <v>31</v>
      </c>
      <c r="B3660" t="s">
        <v>19</v>
      </c>
      <c r="C3660">
        <v>2020</v>
      </c>
      <c r="D3660">
        <v>3</v>
      </c>
      <c r="E3660" s="4">
        <v>0</v>
      </c>
      <c r="F3660" s="9">
        <v>0</v>
      </c>
      <c r="G3660" s="6">
        <v>1476</v>
      </c>
      <c r="H3660" s="9">
        <f t="shared" si="57"/>
        <v>0</v>
      </c>
      <c r="I3660" s="6">
        <v>17409</v>
      </c>
      <c r="J3660" s="6">
        <f>VLOOKUP(Table1[[#This Row],[Province]],[1]Sheet1!$A$3:$K$37,11,FALSE)</f>
        <v>1881700</v>
      </c>
      <c r="K3660">
        <v>0</v>
      </c>
      <c r="L3660" s="4">
        <v>3.2384620000000002</v>
      </c>
      <c r="M3660" s="4">
        <v>130.145273</v>
      </c>
      <c r="N3660" s="13">
        <v>-0.91</v>
      </c>
      <c r="P3660"/>
      <c r="Q3660" s="12"/>
      <c r="R3660" s="12"/>
    </row>
    <row r="3661" spans="1:18" x14ac:dyDescent="0.2">
      <c r="A3661">
        <v>31</v>
      </c>
      <c r="B3661" t="s">
        <v>19</v>
      </c>
      <c r="C3661">
        <v>2020</v>
      </c>
      <c r="D3661">
        <v>4</v>
      </c>
      <c r="E3661" s="4">
        <v>0</v>
      </c>
      <c r="F3661" s="9">
        <v>0</v>
      </c>
      <c r="G3661" s="6">
        <v>2157</v>
      </c>
      <c r="H3661" s="9">
        <f t="shared" si="57"/>
        <v>0</v>
      </c>
      <c r="I3661" s="6">
        <v>21440</v>
      </c>
      <c r="J3661" s="6">
        <f>VLOOKUP(Table1[[#This Row],[Province]],[1]Sheet1!$A$3:$K$37,11,FALSE)</f>
        <v>1881700</v>
      </c>
      <c r="K3661">
        <v>1</v>
      </c>
      <c r="L3661" s="4">
        <v>3.2384620000000002</v>
      </c>
      <c r="M3661" s="4">
        <v>130.145273</v>
      </c>
      <c r="N3661" s="13">
        <v>-0.91</v>
      </c>
      <c r="P3661"/>
      <c r="Q3661" s="12"/>
      <c r="R3661" s="12"/>
    </row>
    <row r="3662" spans="1:18" x14ac:dyDescent="0.2">
      <c r="A3662">
        <v>31</v>
      </c>
      <c r="B3662" t="s">
        <v>19</v>
      </c>
      <c r="C3662">
        <v>2020</v>
      </c>
      <c r="D3662">
        <v>5</v>
      </c>
      <c r="E3662" s="4">
        <v>0</v>
      </c>
      <c r="F3662" s="9">
        <v>0</v>
      </c>
      <c r="G3662" s="6">
        <v>1313</v>
      </c>
      <c r="H3662" s="9">
        <f t="shared" si="57"/>
        <v>0</v>
      </c>
      <c r="I3662" s="6">
        <v>21768</v>
      </c>
      <c r="J3662" s="6">
        <f>VLOOKUP(Table1[[#This Row],[Province]],[1]Sheet1!$A$3:$K$37,11,FALSE)</f>
        <v>1881700</v>
      </c>
      <c r="K3662">
        <v>0</v>
      </c>
      <c r="L3662" s="4">
        <v>3.2384620000000002</v>
      </c>
      <c r="M3662" s="4">
        <v>130.145273</v>
      </c>
      <c r="N3662" s="13">
        <v>-0.91</v>
      </c>
      <c r="P3662"/>
      <c r="Q3662" s="12"/>
      <c r="R3662" s="12"/>
    </row>
    <row r="3663" spans="1:18" x14ac:dyDescent="0.2">
      <c r="A3663">
        <v>31</v>
      </c>
      <c r="B3663" t="s">
        <v>19</v>
      </c>
      <c r="C3663">
        <v>2020</v>
      </c>
      <c r="D3663">
        <v>6</v>
      </c>
      <c r="E3663" s="4">
        <v>0</v>
      </c>
      <c r="F3663" s="9">
        <v>0</v>
      </c>
      <c r="G3663" s="6">
        <v>1313</v>
      </c>
      <c r="H3663" s="9">
        <f t="shared" si="57"/>
        <v>0</v>
      </c>
      <c r="I3663" s="6">
        <v>17469</v>
      </c>
      <c r="J3663" s="6">
        <f>VLOOKUP(Table1[[#This Row],[Province]],[1]Sheet1!$A$3:$K$37,11,FALSE)</f>
        <v>1881700</v>
      </c>
      <c r="K3663">
        <v>0</v>
      </c>
      <c r="L3663" s="4">
        <v>3.2384620000000002</v>
      </c>
      <c r="M3663" s="4">
        <v>130.145273</v>
      </c>
      <c r="N3663" s="13">
        <v>-0.91</v>
      </c>
      <c r="P3663"/>
      <c r="Q3663" s="12"/>
      <c r="R3663" s="12"/>
    </row>
    <row r="3664" spans="1:18" x14ac:dyDescent="0.2">
      <c r="A3664">
        <v>31</v>
      </c>
      <c r="B3664" t="s">
        <v>19</v>
      </c>
      <c r="C3664">
        <v>2020</v>
      </c>
      <c r="D3664">
        <v>7</v>
      </c>
      <c r="E3664" s="4">
        <v>0</v>
      </c>
      <c r="F3664" s="9">
        <v>0</v>
      </c>
      <c r="G3664" s="6">
        <v>1000</v>
      </c>
      <c r="H3664" s="9">
        <f t="shared" si="57"/>
        <v>0</v>
      </c>
      <c r="I3664" s="6">
        <v>15371</v>
      </c>
      <c r="J3664" s="6">
        <f>VLOOKUP(Table1[[#This Row],[Province]],[1]Sheet1!$A$3:$K$37,11,FALSE)</f>
        <v>1881700</v>
      </c>
      <c r="K3664">
        <v>0</v>
      </c>
      <c r="L3664" s="4">
        <v>3.2384620000000002</v>
      </c>
      <c r="M3664" s="4">
        <v>130.145273</v>
      </c>
      <c r="N3664" s="13">
        <v>-0.91</v>
      </c>
      <c r="P3664"/>
      <c r="Q3664" s="12"/>
      <c r="R3664" s="12"/>
    </row>
    <row r="3665" spans="1:18" x14ac:dyDescent="0.2">
      <c r="A3665">
        <v>31</v>
      </c>
      <c r="B3665" t="s">
        <v>19</v>
      </c>
      <c r="C3665">
        <v>2020</v>
      </c>
      <c r="D3665">
        <v>8</v>
      </c>
      <c r="E3665" s="4">
        <v>0</v>
      </c>
      <c r="F3665" s="9">
        <v>0</v>
      </c>
      <c r="G3665" s="6">
        <v>1579</v>
      </c>
      <c r="H3665" s="9">
        <f t="shared" si="57"/>
        <v>0</v>
      </c>
      <c r="I3665" s="6">
        <v>15000</v>
      </c>
      <c r="J3665" s="6">
        <f>VLOOKUP(Table1[[#This Row],[Province]],[1]Sheet1!$A$3:$K$37,11,FALSE)</f>
        <v>1881700</v>
      </c>
      <c r="K3665">
        <v>0</v>
      </c>
      <c r="L3665" s="4">
        <v>3.2384620000000002</v>
      </c>
      <c r="M3665" s="4">
        <v>130.145273</v>
      </c>
      <c r="N3665" s="13">
        <v>-0.91</v>
      </c>
      <c r="P3665"/>
      <c r="Q3665" s="12"/>
      <c r="R3665" s="12"/>
    </row>
    <row r="3666" spans="1:18" x14ac:dyDescent="0.2">
      <c r="A3666">
        <v>31</v>
      </c>
      <c r="B3666" t="s">
        <v>19</v>
      </c>
      <c r="C3666">
        <v>2020</v>
      </c>
      <c r="D3666">
        <v>9</v>
      </c>
      <c r="E3666" s="4">
        <v>0</v>
      </c>
      <c r="F3666" s="9">
        <v>0</v>
      </c>
      <c r="G3666" s="6">
        <v>894</v>
      </c>
      <c r="H3666" s="9">
        <f t="shared" si="57"/>
        <v>0</v>
      </c>
      <c r="I3666" s="6">
        <v>15000</v>
      </c>
      <c r="J3666" s="6">
        <f>VLOOKUP(Table1[[#This Row],[Province]],[1]Sheet1!$A$3:$K$37,11,FALSE)</f>
        <v>1881700</v>
      </c>
      <c r="K3666">
        <v>0</v>
      </c>
      <c r="L3666" s="4">
        <v>3.2384620000000002</v>
      </c>
      <c r="M3666" s="4">
        <v>130.145273</v>
      </c>
      <c r="N3666" s="13">
        <v>-0.91</v>
      </c>
      <c r="P3666"/>
      <c r="Q3666" s="12"/>
      <c r="R3666" s="12"/>
    </row>
    <row r="3667" spans="1:18" x14ac:dyDescent="0.2">
      <c r="A3667">
        <v>31</v>
      </c>
      <c r="B3667" t="s">
        <v>19</v>
      </c>
      <c r="C3667">
        <v>2020</v>
      </c>
      <c r="D3667">
        <v>10</v>
      </c>
      <c r="E3667" s="4">
        <v>0</v>
      </c>
      <c r="F3667" s="9">
        <v>0</v>
      </c>
      <c r="G3667" s="6">
        <v>1092</v>
      </c>
      <c r="H3667" s="9">
        <f t="shared" si="57"/>
        <v>0</v>
      </c>
      <c r="I3667" s="6">
        <v>15000</v>
      </c>
      <c r="J3667" s="6">
        <f>VLOOKUP(Table1[[#This Row],[Province]],[1]Sheet1!$A$3:$K$37,11,FALSE)</f>
        <v>1881700</v>
      </c>
      <c r="K3667">
        <v>0</v>
      </c>
      <c r="L3667" s="4">
        <v>3.2384620000000002</v>
      </c>
      <c r="M3667" s="4">
        <v>130.145273</v>
      </c>
      <c r="N3667" s="13">
        <v>-0.91</v>
      </c>
      <c r="P3667"/>
      <c r="Q3667" s="12"/>
      <c r="R3667" s="12"/>
    </row>
    <row r="3668" spans="1:18" x14ac:dyDescent="0.2">
      <c r="A3668">
        <v>31</v>
      </c>
      <c r="B3668" t="s">
        <v>19</v>
      </c>
      <c r="C3668">
        <v>2020</v>
      </c>
      <c r="D3668">
        <v>11</v>
      </c>
      <c r="E3668" s="4">
        <v>0</v>
      </c>
      <c r="F3668" s="9">
        <v>0</v>
      </c>
      <c r="G3668" s="6">
        <v>1785</v>
      </c>
      <c r="H3668" s="9">
        <f t="shared" si="57"/>
        <v>0</v>
      </c>
      <c r="I3668" s="6">
        <v>15000</v>
      </c>
      <c r="J3668" s="6">
        <f>VLOOKUP(Table1[[#This Row],[Province]],[1]Sheet1!$A$3:$K$37,11,FALSE)</f>
        <v>1881700</v>
      </c>
      <c r="K3668">
        <v>0</v>
      </c>
      <c r="L3668" s="4">
        <v>3.2384620000000002</v>
      </c>
      <c r="M3668" s="4">
        <v>130.145273</v>
      </c>
      <c r="N3668" s="13">
        <v>-0.91</v>
      </c>
      <c r="P3668"/>
      <c r="Q3668" s="12"/>
      <c r="R3668" s="12"/>
    </row>
    <row r="3669" spans="1:18" x14ac:dyDescent="0.2">
      <c r="A3669">
        <v>31</v>
      </c>
      <c r="B3669" t="s">
        <v>19</v>
      </c>
      <c r="C3669">
        <v>2020</v>
      </c>
      <c r="D3669">
        <v>12</v>
      </c>
      <c r="E3669" s="4">
        <v>0</v>
      </c>
      <c r="F3669" s="9">
        <v>0</v>
      </c>
      <c r="G3669" s="6">
        <v>998</v>
      </c>
      <c r="H3669" s="9">
        <f t="shared" si="57"/>
        <v>0</v>
      </c>
      <c r="I3669" s="6">
        <v>15000</v>
      </c>
      <c r="J3669" s="6">
        <f>VLOOKUP(Table1[[#This Row],[Province]],[1]Sheet1!$A$3:$K$37,11,FALSE)</f>
        <v>1881700</v>
      </c>
      <c r="K3669">
        <v>1</v>
      </c>
      <c r="L3669" s="4">
        <v>3.2384620000000002</v>
      </c>
      <c r="M3669" s="4">
        <v>130.145273</v>
      </c>
      <c r="N3669" s="13">
        <v>-0.91</v>
      </c>
      <c r="P3669"/>
      <c r="Q3669" s="12"/>
      <c r="R3669" s="12"/>
    </row>
    <row r="3670" spans="1:18" x14ac:dyDescent="0.2">
      <c r="A3670">
        <v>31</v>
      </c>
      <c r="B3670" t="s">
        <v>19</v>
      </c>
      <c r="C3670">
        <v>2021</v>
      </c>
      <c r="D3670">
        <v>1</v>
      </c>
      <c r="E3670" s="4">
        <v>0</v>
      </c>
      <c r="F3670" s="9">
        <v>0</v>
      </c>
      <c r="G3670" s="6">
        <v>1249</v>
      </c>
      <c r="H3670" s="9">
        <f t="shared" si="57"/>
        <v>0</v>
      </c>
      <c r="I3670" s="6">
        <v>15000</v>
      </c>
      <c r="J3670" s="6">
        <f>VLOOKUP(Table1[[#This Row],[Province]],[1]Sheet1!$A$3:$K$37,11,FALSE)</f>
        <v>1881700</v>
      </c>
      <c r="K3670">
        <v>0</v>
      </c>
      <c r="L3670" s="4">
        <v>3.2384620000000002</v>
      </c>
      <c r="M3670" s="4">
        <v>130.145273</v>
      </c>
      <c r="N3670" s="13">
        <v>3.63</v>
      </c>
      <c r="P3670"/>
      <c r="Q3670" s="12"/>
      <c r="R3670" s="12"/>
    </row>
    <row r="3671" spans="1:18" x14ac:dyDescent="0.2">
      <c r="A3671">
        <v>31</v>
      </c>
      <c r="B3671" t="s">
        <v>19</v>
      </c>
      <c r="C3671">
        <v>2021</v>
      </c>
      <c r="D3671">
        <v>2</v>
      </c>
      <c r="E3671" s="4">
        <v>0</v>
      </c>
      <c r="F3671" s="9">
        <v>0</v>
      </c>
      <c r="G3671" s="6">
        <v>1641</v>
      </c>
      <c r="H3671" s="9">
        <f t="shared" si="57"/>
        <v>0</v>
      </c>
      <c r="I3671" s="6">
        <v>15000</v>
      </c>
      <c r="J3671" s="6">
        <f>VLOOKUP(Table1[[#This Row],[Province]],[1]Sheet1!$A$3:$K$37,11,FALSE)</f>
        <v>1881700</v>
      </c>
      <c r="K3671">
        <v>0</v>
      </c>
      <c r="L3671" s="4">
        <v>3.2384620000000002</v>
      </c>
      <c r="M3671" s="4">
        <v>130.145273</v>
      </c>
      <c r="N3671" s="13">
        <v>3.63</v>
      </c>
      <c r="P3671"/>
      <c r="Q3671" s="12"/>
      <c r="R3671" s="12"/>
    </row>
    <row r="3672" spans="1:18" x14ac:dyDescent="0.2">
      <c r="A3672">
        <v>31</v>
      </c>
      <c r="B3672" t="s">
        <v>19</v>
      </c>
      <c r="C3672">
        <v>2021</v>
      </c>
      <c r="D3672">
        <v>3</v>
      </c>
      <c r="E3672" s="4">
        <v>0</v>
      </c>
      <c r="F3672" s="9">
        <v>0</v>
      </c>
      <c r="G3672" s="6">
        <v>1073</v>
      </c>
      <c r="H3672" s="9">
        <f t="shared" si="57"/>
        <v>0</v>
      </c>
      <c r="I3672" s="6">
        <v>15000</v>
      </c>
      <c r="J3672" s="6">
        <f>VLOOKUP(Table1[[#This Row],[Province]],[1]Sheet1!$A$3:$K$37,11,FALSE)</f>
        <v>1881700</v>
      </c>
      <c r="K3672">
        <v>0</v>
      </c>
      <c r="L3672" s="4">
        <v>3.2384620000000002</v>
      </c>
      <c r="M3672" s="4">
        <v>130.145273</v>
      </c>
      <c r="N3672" s="13">
        <v>3.63</v>
      </c>
      <c r="P3672"/>
      <c r="Q3672" s="12"/>
      <c r="R3672" s="12"/>
    </row>
    <row r="3673" spans="1:18" x14ac:dyDescent="0.2">
      <c r="A3673">
        <v>31</v>
      </c>
      <c r="B3673" t="s">
        <v>19</v>
      </c>
      <c r="C3673">
        <v>2021</v>
      </c>
      <c r="D3673">
        <v>4</v>
      </c>
      <c r="E3673" s="4">
        <v>0</v>
      </c>
      <c r="F3673" s="9">
        <v>0</v>
      </c>
      <c r="G3673" s="6">
        <v>2721</v>
      </c>
      <c r="H3673" s="9">
        <f t="shared" si="57"/>
        <v>0</v>
      </c>
      <c r="I3673" s="6">
        <v>14425</v>
      </c>
      <c r="J3673" s="6">
        <f>VLOOKUP(Table1[[#This Row],[Province]],[1]Sheet1!$A$3:$K$37,11,FALSE)</f>
        <v>1881700</v>
      </c>
      <c r="K3673">
        <v>1</v>
      </c>
      <c r="L3673" s="4">
        <v>3.2384620000000002</v>
      </c>
      <c r="M3673" s="4">
        <v>130.145273</v>
      </c>
      <c r="N3673" s="13">
        <v>3.63</v>
      </c>
      <c r="P3673"/>
      <c r="Q3673" s="12"/>
      <c r="R3673" s="12"/>
    </row>
    <row r="3674" spans="1:18" x14ac:dyDescent="0.2">
      <c r="A3674">
        <v>31</v>
      </c>
      <c r="B3674" t="s">
        <v>19</v>
      </c>
      <c r="C3674">
        <v>2021</v>
      </c>
      <c r="D3674">
        <v>5</v>
      </c>
      <c r="E3674" s="4">
        <v>0</v>
      </c>
      <c r="F3674" s="9">
        <v>0</v>
      </c>
      <c r="G3674" s="6">
        <v>1045</v>
      </c>
      <c r="H3674" s="9">
        <f t="shared" si="57"/>
        <v>0</v>
      </c>
      <c r="I3674" s="6">
        <v>14500</v>
      </c>
      <c r="J3674" s="6">
        <f>VLOOKUP(Table1[[#This Row],[Province]],[1]Sheet1!$A$3:$K$37,11,FALSE)</f>
        <v>1881700</v>
      </c>
      <c r="K3674">
        <v>0</v>
      </c>
      <c r="L3674" s="4">
        <v>3.2384620000000002</v>
      </c>
      <c r="M3674" s="4">
        <v>130.145273</v>
      </c>
      <c r="N3674" s="13">
        <v>3.63</v>
      </c>
      <c r="P3674"/>
      <c r="Q3674" s="12"/>
      <c r="R3674" s="12"/>
    </row>
    <row r="3675" spans="1:18" x14ac:dyDescent="0.2">
      <c r="A3675">
        <v>31</v>
      </c>
      <c r="B3675" t="s">
        <v>19</v>
      </c>
      <c r="C3675">
        <v>2021</v>
      </c>
      <c r="D3675">
        <v>6</v>
      </c>
      <c r="E3675" s="4">
        <v>0</v>
      </c>
      <c r="F3675" s="9">
        <v>0</v>
      </c>
      <c r="G3675" s="6">
        <v>2256</v>
      </c>
      <c r="H3675" s="9">
        <f t="shared" si="57"/>
        <v>0</v>
      </c>
      <c r="I3675" s="6">
        <v>14400</v>
      </c>
      <c r="J3675" s="6">
        <f>VLOOKUP(Table1[[#This Row],[Province]],[1]Sheet1!$A$3:$K$37,11,FALSE)</f>
        <v>1881700</v>
      </c>
      <c r="K3675">
        <v>0</v>
      </c>
      <c r="L3675" s="4">
        <v>3.2384620000000002</v>
      </c>
      <c r="M3675" s="4">
        <v>130.145273</v>
      </c>
      <c r="N3675" s="13">
        <v>3.63</v>
      </c>
      <c r="P3675"/>
      <c r="Q3675" s="12"/>
      <c r="R3675" s="12"/>
    </row>
    <row r="3676" spans="1:18" x14ac:dyDescent="0.2">
      <c r="A3676">
        <v>31</v>
      </c>
      <c r="B3676" t="s">
        <v>19</v>
      </c>
      <c r="C3676">
        <v>2021</v>
      </c>
      <c r="D3676">
        <v>7</v>
      </c>
      <c r="E3676" s="4">
        <v>0</v>
      </c>
      <c r="F3676" s="9">
        <v>0</v>
      </c>
      <c r="G3676" s="6">
        <v>1079</v>
      </c>
      <c r="H3676" s="9">
        <f t="shared" si="57"/>
        <v>0</v>
      </c>
      <c r="I3676" s="6">
        <v>14425</v>
      </c>
      <c r="J3676" s="6">
        <f>VLOOKUP(Table1[[#This Row],[Province]],[1]Sheet1!$A$3:$K$37,11,FALSE)</f>
        <v>1881700</v>
      </c>
      <c r="K3676">
        <v>0</v>
      </c>
      <c r="L3676" s="4">
        <v>3.2384620000000002</v>
      </c>
      <c r="M3676" s="4">
        <v>130.145273</v>
      </c>
      <c r="N3676" s="13">
        <v>3.63</v>
      </c>
      <c r="P3676"/>
      <c r="Q3676" s="12"/>
      <c r="R3676" s="12"/>
    </row>
    <row r="3677" spans="1:18" x14ac:dyDescent="0.2">
      <c r="A3677">
        <v>31</v>
      </c>
      <c r="B3677" t="s">
        <v>19</v>
      </c>
      <c r="C3677">
        <v>2021</v>
      </c>
      <c r="D3677">
        <v>8</v>
      </c>
      <c r="E3677" s="4">
        <v>0</v>
      </c>
      <c r="F3677" s="9">
        <v>0</v>
      </c>
      <c r="G3677" s="6">
        <v>2044</v>
      </c>
      <c r="H3677" s="9">
        <f t="shared" si="57"/>
        <v>0</v>
      </c>
      <c r="I3677" s="6">
        <v>14400</v>
      </c>
      <c r="J3677" s="6">
        <f>VLOOKUP(Table1[[#This Row],[Province]],[1]Sheet1!$A$3:$K$37,11,FALSE)</f>
        <v>1881700</v>
      </c>
      <c r="K3677">
        <v>0</v>
      </c>
      <c r="L3677" s="4">
        <v>3.2384620000000002</v>
      </c>
      <c r="M3677" s="4">
        <v>130.145273</v>
      </c>
      <c r="N3677" s="13">
        <v>3.63</v>
      </c>
      <c r="P3677"/>
      <c r="Q3677" s="12"/>
      <c r="R3677" s="12"/>
    </row>
    <row r="3678" spans="1:18" x14ac:dyDescent="0.2">
      <c r="A3678">
        <v>31</v>
      </c>
      <c r="B3678" t="s">
        <v>19</v>
      </c>
      <c r="C3678">
        <v>2021</v>
      </c>
      <c r="D3678">
        <v>9</v>
      </c>
      <c r="E3678" s="4">
        <v>0</v>
      </c>
      <c r="F3678" s="9">
        <v>0</v>
      </c>
      <c r="G3678" s="6">
        <v>1475</v>
      </c>
      <c r="H3678" s="9">
        <f t="shared" si="57"/>
        <v>0</v>
      </c>
      <c r="I3678" s="6">
        <v>14400</v>
      </c>
      <c r="J3678" s="6">
        <f>VLOOKUP(Table1[[#This Row],[Province]],[1]Sheet1!$A$3:$K$37,11,FALSE)</f>
        <v>1881700</v>
      </c>
      <c r="K3678">
        <v>0</v>
      </c>
      <c r="L3678" s="4">
        <v>3.2384620000000002</v>
      </c>
      <c r="M3678" s="4">
        <v>130.145273</v>
      </c>
      <c r="N3678" s="13">
        <v>3.63</v>
      </c>
      <c r="P3678"/>
      <c r="Q3678" s="12"/>
      <c r="R3678" s="12"/>
    </row>
    <row r="3679" spans="1:18" x14ac:dyDescent="0.2">
      <c r="A3679">
        <v>31</v>
      </c>
      <c r="B3679" t="s">
        <v>19</v>
      </c>
      <c r="C3679">
        <v>2021</v>
      </c>
      <c r="D3679">
        <v>10</v>
      </c>
      <c r="E3679" s="4">
        <v>0</v>
      </c>
      <c r="F3679" s="9">
        <v>0</v>
      </c>
      <c r="G3679" s="6">
        <v>873</v>
      </c>
      <c r="H3679" s="9">
        <f t="shared" si="57"/>
        <v>0</v>
      </c>
      <c r="I3679" s="6">
        <v>14400</v>
      </c>
      <c r="J3679" s="6">
        <f>VLOOKUP(Table1[[#This Row],[Province]],[1]Sheet1!$A$3:$K$37,11,FALSE)</f>
        <v>1881700</v>
      </c>
      <c r="K3679">
        <v>0</v>
      </c>
      <c r="L3679" s="4">
        <v>3.2384620000000002</v>
      </c>
      <c r="M3679" s="4">
        <v>130.145273</v>
      </c>
      <c r="N3679" s="13">
        <v>3.63</v>
      </c>
      <c r="P3679"/>
      <c r="Q3679" s="12"/>
      <c r="R3679" s="12"/>
    </row>
    <row r="3680" spans="1:18" x14ac:dyDescent="0.2">
      <c r="A3680">
        <v>31</v>
      </c>
      <c r="B3680" t="s">
        <v>19</v>
      </c>
      <c r="C3680">
        <v>2021</v>
      </c>
      <c r="D3680">
        <v>11</v>
      </c>
      <c r="E3680" s="4">
        <v>0</v>
      </c>
      <c r="F3680" s="9">
        <v>0</v>
      </c>
      <c r="G3680" s="6">
        <v>761</v>
      </c>
      <c r="H3680" s="9">
        <f t="shared" si="57"/>
        <v>0</v>
      </c>
      <c r="I3680" s="6">
        <v>14400</v>
      </c>
      <c r="J3680" s="6">
        <f>VLOOKUP(Table1[[#This Row],[Province]],[1]Sheet1!$A$3:$K$37,11,FALSE)</f>
        <v>1881700</v>
      </c>
      <c r="K3680">
        <v>0</v>
      </c>
      <c r="L3680" s="4">
        <v>3.2384620000000002</v>
      </c>
      <c r="M3680" s="4">
        <v>130.145273</v>
      </c>
      <c r="N3680" s="13">
        <v>3.63</v>
      </c>
      <c r="P3680"/>
      <c r="Q3680" s="12"/>
      <c r="R3680" s="12"/>
    </row>
    <row r="3681" spans="1:18" x14ac:dyDescent="0.2">
      <c r="A3681">
        <v>31</v>
      </c>
      <c r="B3681" t="s">
        <v>19</v>
      </c>
      <c r="C3681">
        <v>2021</v>
      </c>
      <c r="D3681">
        <v>12</v>
      </c>
      <c r="E3681" s="4">
        <v>0</v>
      </c>
      <c r="F3681" s="9">
        <v>0</v>
      </c>
      <c r="G3681" s="6">
        <v>482</v>
      </c>
      <c r="H3681" s="9">
        <f t="shared" si="57"/>
        <v>0</v>
      </c>
      <c r="I3681" s="6">
        <v>14450</v>
      </c>
      <c r="J3681" s="6">
        <f>VLOOKUP(Table1[[#This Row],[Province]],[1]Sheet1!$A$3:$K$37,11,FALSE)</f>
        <v>1881700</v>
      </c>
      <c r="K3681">
        <v>1</v>
      </c>
      <c r="L3681" s="4">
        <v>3.2384620000000002</v>
      </c>
      <c r="M3681" s="4">
        <v>130.145273</v>
      </c>
      <c r="N3681" s="13">
        <v>3.63</v>
      </c>
      <c r="P3681"/>
      <c r="Q3681" s="12"/>
      <c r="R3681" s="12"/>
    </row>
    <row r="3682" spans="1:18" x14ac:dyDescent="0.2">
      <c r="A3682">
        <v>31</v>
      </c>
      <c r="B3682" t="s">
        <v>19</v>
      </c>
      <c r="C3682">
        <v>2022</v>
      </c>
      <c r="D3682">
        <v>1</v>
      </c>
      <c r="E3682" s="6">
        <v>0</v>
      </c>
      <c r="F3682" s="9">
        <v>0</v>
      </c>
      <c r="G3682" s="6">
        <v>150</v>
      </c>
      <c r="H3682" s="9">
        <f t="shared" si="57"/>
        <v>0</v>
      </c>
      <c r="I3682" s="6">
        <v>14690</v>
      </c>
      <c r="J3682" s="6">
        <f>VLOOKUP(Table1[[#This Row],[Province]],[1]Sheet1!$A$3:$K$37,11,FALSE)</f>
        <v>1881700</v>
      </c>
      <c r="K3682">
        <v>0</v>
      </c>
      <c r="L3682" s="4">
        <v>3.2384620000000002</v>
      </c>
      <c r="M3682" s="4">
        <v>130.145273</v>
      </c>
      <c r="N3682" s="13">
        <v>5.31</v>
      </c>
      <c r="P3682"/>
      <c r="Q3682" s="12"/>
      <c r="R3682" s="12"/>
    </row>
    <row r="3683" spans="1:18" x14ac:dyDescent="0.2">
      <c r="A3683">
        <v>31</v>
      </c>
      <c r="B3683" t="s">
        <v>19</v>
      </c>
      <c r="C3683">
        <v>2022</v>
      </c>
      <c r="D3683">
        <v>2</v>
      </c>
      <c r="E3683" s="6">
        <v>0</v>
      </c>
      <c r="F3683" s="9">
        <v>0</v>
      </c>
      <c r="G3683" s="6">
        <v>1006</v>
      </c>
      <c r="H3683" s="9">
        <f t="shared" si="57"/>
        <v>0</v>
      </c>
      <c r="I3683" s="6">
        <v>14950</v>
      </c>
      <c r="J3683" s="6">
        <f>VLOOKUP(Table1[[#This Row],[Province]],[1]Sheet1!$A$3:$K$37,11,FALSE)</f>
        <v>1881700</v>
      </c>
      <c r="K3683">
        <v>0</v>
      </c>
      <c r="L3683" s="4">
        <v>3.2384620000000002</v>
      </c>
      <c r="M3683" s="4">
        <v>130.145273</v>
      </c>
      <c r="N3683" s="13">
        <v>5.31</v>
      </c>
      <c r="P3683"/>
      <c r="Q3683" s="12"/>
      <c r="R3683" s="12"/>
    </row>
    <row r="3684" spans="1:18" x14ac:dyDescent="0.2">
      <c r="A3684">
        <v>31</v>
      </c>
      <c r="B3684" t="s">
        <v>19</v>
      </c>
      <c r="C3684">
        <v>2022</v>
      </c>
      <c r="D3684">
        <v>3</v>
      </c>
      <c r="E3684" s="6">
        <v>0</v>
      </c>
      <c r="F3684" s="9">
        <v>0</v>
      </c>
      <c r="G3684" s="6">
        <v>223</v>
      </c>
      <c r="H3684" s="9">
        <f t="shared" si="57"/>
        <v>0</v>
      </c>
      <c r="I3684" s="6">
        <v>14939</v>
      </c>
      <c r="J3684" s="6">
        <f>VLOOKUP(Table1[[#This Row],[Province]],[1]Sheet1!$A$3:$K$37,11,FALSE)</f>
        <v>1881700</v>
      </c>
      <c r="K3684">
        <v>0</v>
      </c>
      <c r="L3684" s="4">
        <v>3.2384620000000002</v>
      </c>
      <c r="M3684" s="4">
        <v>130.145273</v>
      </c>
      <c r="N3684" s="13">
        <v>5.31</v>
      </c>
      <c r="P3684"/>
      <c r="Q3684" s="12"/>
      <c r="R3684" s="12"/>
    </row>
    <row r="3685" spans="1:18" x14ac:dyDescent="0.2">
      <c r="A3685">
        <v>31</v>
      </c>
      <c r="B3685" t="s">
        <v>19</v>
      </c>
      <c r="C3685">
        <v>2022</v>
      </c>
      <c r="D3685">
        <v>4</v>
      </c>
      <c r="E3685" s="6">
        <v>0</v>
      </c>
      <c r="F3685" s="9">
        <v>0</v>
      </c>
      <c r="G3685" s="6">
        <v>445</v>
      </c>
      <c r="H3685" s="9">
        <f t="shared" si="57"/>
        <v>0</v>
      </c>
      <c r="I3685" s="6">
        <v>15426</v>
      </c>
      <c r="J3685" s="6">
        <f>VLOOKUP(Table1[[#This Row],[Province]],[1]Sheet1!$A$3:$K$37,11,FALSE)</f>
        <v>1881700</v>
      </c>
      <c r="K3685">
        <v>1</v>
      </c>
      <c r="L3685" s="4">
        <v>3.2384620000000002</v>
      </c>
      <c r="M3685" s="4">
        <v>130.145273</v>
      </c>
      <c r="N3685" s="13">
        <v>5.31</v>
      </c>
      <c r="P3685"/>
      <c r="Q3685" s="12"/>
      <c r="R3685" s="12"/>
    </row>
    <row r="3686" spans="1:18" x14ac:dyDescent="0.2">
      <c r="A3686">
        <v>31</v>
      </c>
      <c r="B3686" t="s">
        <v>19</v>
      </c>
      <c r="C3686">
        <v>2022</v>
      </c>
      <c r="D3686">
        <v>5</v>
      </c>
      <c r="E3686" s="6">
        <v>0</v>
      </c>
      <c r="F3686" s="9">
        <v>0</v>
      </c>
      <c r="G3686" s="6">
        <v>1376</v>
      </c>
      <c r="H3686" s="9">
        <f t="shared" si="57"/>
        <v>0</v>
      </c>
      <c r="I3686" s="6">
        <v>15927</v>
      </c>
      <c r="J3686" s="6">
        <f>VLOOKUP(Table1[[#This Row],[Province]],[1]Sheet1!$A$3:$K$37,11,FALSE)</f>
        <v>1881700</v>
      </c>
      <c r="K3686">
        <v>0</v>
      </c>
      <c r="L3686" s="4">
        <v>3.2384620000000002</v>
      </c>
      <c r="M3686" s="4">
        <v>130.145273</v>
      </c>
      <c r="N3686" s="13">
        <v>5.31</v>
      </c>
      <c r="P3686"/>
      <c r="Q3686" s="12"/>
      <c r="R3686" s="12"/>
    </row>
    <row r="3687" spans="1:18" x14ac:dyDescent="0.2">
      <c r="A3687">
        <v>31</v>
      </c>
      <c r="B3687" t="s">
        <v>19</v>
      </c>
      <c r="C3687">
        <v>2022</v>
      </c>
      <c r="D3687">
        <v>6</v>
      </c>
      <c r="E3687" s="6">
        <v>0</v>
      </c>
      <c r="F3687" s="9">
        <v>0</v>
      </c>
      <c r="G3687" s="6">
        <v>723</v>
      </c>
      <c r="H3687" s="9">
        <f t="shared" si="57"/>
        <v>0</v>
      </c>
      <c r="I3687" s="6">
        <v>15931</v>
      </c>
      <c r="J3687" s="6">
        <f>VLOOKUP(Table1[[#This Row],[Province]],[1]Sheet1!$A$3:$K$37,11,FALSE)</f>
        <v>1881700</v>
      </c>
      <c r="K3687">
        <v>0</v>
      </c>
      <c r="L3687" s="4">
        <v>3.2384620000000002</v>
      </c>
      <c r="M3687" s="4">
        <v>130.145273</v>
      </c>
      <c r="N3687" s="13">
        <v>5.31</v>
      </c>
      <c r="P3687"/>
      <c r="Q3687" s="12"/>
      <c r="R3687" s="12"/>
    </row>
    <row r="3688" spans="1:18" x14ac:dyDescent="0.2">
      <c r="A3688">
        <v>31</v>
      </c>
      <c r="B3688" t="s">
        <v>19</v>
      </c>
      <c r="C3688">
        <v>2022</v>
      </c>
      <c r="D3688">
        <v>7</v>
      </c>
      <c r="E3688" s="6">
        <v>0</v>
      </c>
      <c r="F3688" s="9">
        <v>0</v>
      </c>
      <c r="G3688" s="6">
        <v>2400</v>
      </c>
      <c r="H3688" s="9">
        <f t="shared" si="57"/>
        <v>0</v>
      </c>
      <c r="I3688" s="6">
        <v>15600</v>
      </c>
      <c r="J3688" s="6">
        <f>VLOOKUP(Table1[[#This Row],[Province]],[1]Sheet1!$A$3:$K$37,11,FALSE)</f>
        <v>1881700</v>
      </c>
      <c r="K3688">
        <v>0</v>
      </c>
      <c r="L3688" s="4">
        <v>3.2384620000000002</v>
      </c>
      <c r="M3688" s="4">
        <v>130.145273</v>
      </c>
      <c r="N3688" s="13">
        <v>5.31</v>
      </c>
      <c r="P3688"/>
      <c r="Q3688" s="12"/>
      <c r="R3688" s="12"/>
    </row>
    <row r="3689" spans="1:18" x14ac:dyDescent="0.2">
      <c r="A3689">
        <v>31</v>
      </c>
      <c r="B3689" t="s">
        <v>19</v>
      </c>
      <c r="C3689">
        <v>2022</v>
      </c>
      <c r="D3689">
        <v>8</v>
      </c>
      <c r="E3689" s="6">
        <v>0</v>
      </c>
      <c r="F3689" s="9">
        <v>0</v>
      </c>
      <c r="G3689" s="6">
        <v>1335</v>
      </c>
      <c r="H3689" s="9">
        <f t="shared" si="57"/>
        <v>0</v>
      </c>
      <c r="I3689" s="6">
        <v>15500</v>
      </c>
      <c r="J3689" s="6">
        <f>VLOOKUP(Table1[[#This Row],[Province]],[1]Sheet1!$A$3:$K$37,11,FALSE)</f>
        <v>1881700</v>
      </c>
      <c r="K3689">
        <v>0</v>
      </c>
      <c r="L3689" s="4">
        <v>3.2384620000000002</v>
      </c>
      <c r="M3689" s="4">
        <v>130.145273</v>
      </c>
      <c r="N3689" s="13">
        <v>5.31</v>
      </c>
      <c r="P3689"/>
      <c r="Q3689" s="12"/>
      <c r="R3689" s="12"/>
    </row>
    <row r="3690" spans="1:18" x14ac:dyDescent="0.2">
      <c r="A3690">
        <v>31</v>
      </c>
      <c r="B3690" t="s">
        <v>19</v>
      </c>
      <c r="C3690">
        <v>2022</v>
      </c>
      <c r="D3690">
        <v>9</v>
      </c>
      <c r="E3690" s="6">
        <v>0</v>
      </c>
      <c r="F3690" s="9">
        <v>0</v>
      </c>
      <c r="G3690" s="6">
        <v>1848</v>
      </c>
      <c r="H3690" s="9">
        <f t="shared" si="57"/>
        <v>0</v>
      </c>
      <c r="I3690" s="6">
        <v>14730</v>
      </c>
      <c r="J3690" s="6">
        <f>VLOOKUP(Table1[[#This Row],[Province]],[1]Sheet1!$A$3:$K$37,11,FALSE)</f>
        <v>1881700</v>
      </c>
      <c r="K3690">
        <v>0</v>
      </c>
      <c r="L3690" s="4">
        <v>3.2384620000000002</v>
      </c>
      <c r="M3690" s="4">
        <v>130.145273</v>
      </c>
      <c r="N3690" s="13">
        <v>5.31</v>
      </c>
      <c r="P3690"/>
      <c r="Q3690" s="12"/>
      <c r="R3690" s="12"/>
    </row>
    <row r="3691" spans="1:18" x14ac:dyDescent="0.2">
      <c r="A3691">
        <v>31</v>
      </c>
      <c r="B3691" t="s">
        <v>19</v>
      </c>
      <c r="C3691">
        <v>2022</v>
      </c>
      <c r="D3691">
        <v>10</v>
      </c>
      <c r="E3691" s="6">
        <v>0</v>
      </c>
      <c r="F3691" s="9">
        <v>0</v>
      </c>
      <c r="G3691" s="6">
        <v>2400</v>
      </c>
      <c r="H3691" s="9">
        <f t="shared" si="57"/>
        <v>0</v>
      </c>
      <c r="I3691" s="6">
        <v>14700</v>
      </c>
      <c r="J3691" s="6">
        <f>VLOOKUP(Table1[[#This Row],[Province]],[1]Sheet1!$A$3:$K$37,11,FALSE)</f>
        <v>1881700</v>
      </c>
      <c r="K3691">
        <v>0</v>
      </c>
      <c r="L3691" s="4">
        <v>3.2384620000000002</v>
      </c>
      <c r="M3691" s="4">
        <v>130.145273</v>
      </c>
      <c r="N3691" s="13">
        <v>5.31</v>
      </c>
      <c r="P3691"/>
      <c r="Q3691" s="12"/>
      <c r="R3691" s="12"/>
    </row>
    <row r="3692" spans="1:18" x14ac:dyDescent="0.2">
      <c r="A3692">
        <v>31</v>
      </c>
      <c r="B3692" t="s">
        <v>19</v>
      </c>
      <c r="C3692">
        <v>2022</v>
      </c>
      <c r="D3692">
        <v>11</v>
      </c>
      <c r="E3692" s="6">
        <v>0</v>
      </c>
      <c r="F3692" s="9">
        <v>0</v>
      </c>
      <c r="G3692" s="6">
        <v>1970</v>
      </c>
      <c r="H3692" s="9">
        <f t="shared" si="57"/>
        <v>0</v>
      </c>
      <c r="I3692" s="6">
        <v>15445</v>
      </c>
      <c r="J3692" s="6">
        <f>VLOOKUP(Table1[[#This Row],[Province]],[1]Sheet1!$A$3:$K$37,11,FALSE)</f>
        <v>1881700</v>
      </c>
      <c r="K3692">
        <v>0</v>
      </c>
      <c r="L3692" s="4">
        <v>3.2384620000000002</v>
      </c>
      <c r="M3692" s="4">
        <v>130.145273</v>
      </c>
      <c r="N3692" s="13">
        <v>5.31</v>
      </c>
      <c r="P3692"/>
      <c r="Q3692" s="12"/>
      <c r="R3692" s="12"/>
    </row>
    <row r="3693" spans="1:18" x14ac:dyDescent="0.2">
      <c r="A3693">
        <v>31</v>
      </c>
      <c r="B3693" t="s">
        <v>19</v>
      </c>
      <c r="C3693">
        <v>2022</v>
      </c>
      <c r="D3693">
        <v>12</v>
      </c>
      <c r="E3693" s="6">
        <v>0</v>
      </c>
      <c r="F3693" s="9">
        <v>0</v>
      </c>
      <c r="G3693" s="6">
        <v>2173</v>
      </c>
      <c r="H3693" s="9">
        <f t="shared" si="57"/>
        <v>0</v>
      </c>
      <c r="I3693" s="6">
        <v>15145</v>
      </c>
      <c r="J3693" s="6">
        <f>VLOOKUP(Table1[[#This Row],[Province]],[1]Sheet1!$A$3:$K$37,11,FALSE)</f>
        <v>1881700</v>
      </c>
      <c r="K3693">
        <v>1</v>
      </c>
      <c r="L3693" s="4">
        <v>3.2384620000000002</v>
      </c>
      <c r="M3693" s="4">
        <v>130.145273</v>
      </c>
      <c r="N3693" s="13">
        <v>5.31</v>
      </c>
      <c r="P3693"/>
      <c r="Q3693" s="12"/>
      <c r="R3693" s="12"/>
    </row>
    <row r="3694" spans="1:18" x14ac:dyDescent="0.2">
      <c r="A3694">
        <v>32</v>
      </c>
      <c r="B3694" t="s">
        <v>20</v>
      </c>
      <c r="C3694">
        <v>2013</v>
      </c>
      <c r="D3694">
        <v>1</v>
      </c>
      <c r="E3694" s="4">
        <v>0</v>
      </c>
      <c r="F3694" s="9">
        <v>0</v>
      </c>
      <c r="G3694" s="6">
        <v>761</v>
      </c>
      <c r="H3694" s="9">
        <f t="shared" si="57"/>
        <v>0</v>
      </c>
      <c r="I3694" s="6">
        <v>14500</v>
      </c>
      <c r="J3694" s="6">
        <f>VLOOKUP(Table1[[#This Row],[Province]],[1]Sheet1!$A$3:$K$37,11,FALSE)</f>
        <v>1319300</v>
      </c>
      <c r="K3694">
        <v>0</v>
      </c>
      <c r="L3694" s="4">
        <v>1.570999</v>
      </c>
      <c r="M3694" s="4">
        <v>127.808769</v>
      </c>
      <c r="N3694" s="6"/>
      <c r="P3694"/>
      <c r="Q3694" s="12"/>
      <c r="R3694" s="12"/>
    </row>
    <row r="3695" spans="1:18" x14ac:dyDescent="0.2">
      <c r="A3695">
        <v>32</v>
      </c>
      <c r="B3695" t="s">
        <v>20</v>
      </c>
      <c r="C3695">
        <v>2013</v>
      </c>
      <c r="D3695">
        <v>2</v>
      </c>
      <c r="E3695" s="4">
        <v>0</v>
      </c>
      <c r="F3695" s="9">
        <v>0</v>
      </c>
      <c r="G3695" s="6">
        <v>729</v>
      </c>
      <c r="H3695" s="9">
        <f t="shared" si="57"/>
        <v>0</v>
      </c>
      <c r="I3695" s="6">
        <v>13600</v>
      </c>
      <c r="J3695" s="6">
        <f>VLOOKUP(Table1[[#This Row],[Province]],[1]Sheet1!$A$3:$K$37,11,FALSE)</f>
        <v>1319300</v>
      </c>
      <c r="K3695">
        <v>0</v>
      </c>
      <c r="L3695" s="4">
        <v>1.570999</v>
      </c>
      <c r="M3695" s="4">
        <v>127.808769</v>
      </c>
      <c r="N3695" s="6"/>
      <c r="P3695"/>
      <c r="Q3695" s="12"/>
      <c r="R3695" s="12"/>
    </row>
    <row r="3696" spans="1:18" x14ac:dyDescent="0.2">
      <c r="A3696">
        <v>32</v>
      </c>
      <c r="B3696" t="s">
        <v>20</v>
      </c>
      <c r="C3696">
        <v>2013</v>
      </c>
      <c r="D3696">
        <v>3</v>
      </c>
      <c r="E3696" s="4">
        <v>0</v>
      </c>
      <c r="F3696" s="9">
        <v>0</v>
      </c>
      <c r="G3696" s="6">
        <v>752</v>
      </c>
      <c r="H3696" s="9">
        <f t="shared" si="57"/>
        <v>0</v>
      </c>
      <c r="I3696" s="6">
        <v>13500</v>
      </c>
      <c r="J3696" s="6">
        <f>VLOOKUP(Table1[[#This Row],[Province]],[1]Sheet1!$A$3:$K$37,11,FALSE)</f>
        <v>1319300</v>
      </c>
      <c r="K3696">
        <v>0</v>
      </c>
      <c r="L3696" s="4">
        <v>1.570999</v>
      </c>
      <c r="M3696" s="4">
        <v>127.808769</v>
      </c>
      <c r="N3696" s="6"/>
      <c r="P3696"/>
      <c r="Q3696" s="12"/>
      <c r="R3696" s="12"/>
    </row>
    <row r="3697" spans="1:18" x14ac:dyDescent="0.2">
      <c r="A3697">
        <v>32</v>
      </c>
      <c r="B3697" t="s">
        <v>20</v>
      </c>
      <c r="C3697">
        <v>2013</v>
      </c>
      <c r="D3697">
        <v>4</v>
      </c>
      <c r="E3697" s="4">
        <v>0</v>
      </c>
      <c r="F3697" s="9">
        <v>0</v>
      </c>
      <c r="G3697" s="6">
        <v>977</v>
      </c>
      <c r="H3697" s="9">
        <f t="shared" si="57"/>
        <v>0</v>
      </c>
      <c r="I3697" s="6">
        <v>13750</v>
      </c>
      <c r="J3697" s="6">
        <f>VLOOKUP(Table1[[#This Row],[Province]],[1]Sheet1!$A$3:$K$37,11,FALSE)</f>
        <v>1319300</v>
      </c>
      <c r="K3697">
        <v>0</v>
      </c>
      <c r="L3697" s="4">
        <v>1.570999</v>
      </c>
      <c r="M3697" s="4">
        <v>127.808769</v>
      </c>
      <c r="N3697" s="6"/>
      <c r="P3697"/>
      <c r="Q3697" s="12"/>
      <c r="R3697" s="12"/>
    </row>
    <row r="3698" spans="1:18" x14ac:dyDescent="0.2">
      <c r="A3698">
        <v>32</v>
      </c>
      <c r="B3698" t="s">
        <v>20</v>
      </c>
      <c r="C3698">
        <v>2013</v>
      </c>
      <c r="D3698">
        <v>5</v>
      </c>
      <c r="E3698" s="4">
        <v>0</v>
      </c>
      <c r="F3698" s="9">
        <v>0</v>
      </c>
      <c r="G3698" s="6">
        <v>1184</v>
      </c>
      <c r="H3698" s="9">
        <f t="shared" si="57"/>
        <v>0</v>
      </c>
      <c r="I3698" s="6">
        <v>14000</v>
      </c>
      <c r="J3698" s="6">
        <f>VLOOKUP(Table1[[#This Row],[Province]],[1]Sheet1!$A$3:$K$37,11,FALSE)</f>
        <v>1319300</v>
      </c>
      <c r="K3698">
        <v>0</v>
      </c>
      <c r="L3698" s="4">
        <v>1.570999</v>
      </c>
      <c r="M3698" s="4">
        <v>127.808769</v>
      </c>
      <c r="N3698" s="6"/>
      <c r="P3698"/>
      <c r="Q3698" s="12"/>
      <c r="R3698" s="12"/>
    </row>
    <row r="3699" spans="1:18" x14ac:dyDescent="0.2">
      <c r="A3699">
        <v>32</v>
      </c>
      <c r="B3699" t="s">
        <v>20</v>
      </c>
      <c r="C3699">
        <v>2013</v>
      </c>
      <c r="D3699">
        <v>6</v>
      </c>
      <c r="E3699" s="4">
        <v>0</v>
      </c>
      <c r="F3699" s="9">
        <v>0</v>
      </c>
      <c r="G3699" s="6">
        <v>986</v>
      </c>
      <c r="H3699" s="9">
        <f t="shared" si="57"/>
        <v>0</v>
      </c>
      <c r="I3699" s="6">
        <v>14000</v>
      </c>
      <c r="J3699" s="6">
        <f>VLOOKUP(Table1[[#This Row],[Province]],[1]Sheet1!$A$3:$K$37,11,FALSE)</f>
        <v>1319300</v>
      </c>
      <c r="K3699">
        <v>0</v>
      </c>
      <c r="L3699" s="4">
        <v>1.570999</v>
      </c>
      <c r="M3699" s="4">
        <v>127.808769</v>
      </c>
      <c r="N3699" s="6"/>
      <c r="P3699"/>
      <c r="Q3699" s="12"/>
      <c r="R3699" s="12"/>
    </row>
    <row r="3700" spans="1:18" x14ac:dyDescent="0.2">
      <c r="A3700">
        <v>32</v>
      </c>
      <c r="B3700" t="s">
        <v>20</v>
      </c>
      <c r="C3700">
        <v>2013</v>
      </c>
      <c r="D3700">
        <v>7</v>
      </c>
      <c r="E3700" s="4">
        <v>0</v>
      </c>
      <c r="F3700" s="9">
        <v>0</v>
      </c>
      <c r="G3700" s="6">
        <v>1710</v>
      </c>
      <c r="H3700" s="9">
        <f t="shared" si="57"/>
        <v>0</v>
      </c>
      <c r="I3700" s="6">
        <v>15273</v>
      </c>
      <c r="J3700" s="6">
        <f>VLOOKUP(Table1[[#This Row],[Province]],[1]Sheet1!$A$3:$K$37,11,FALSE)</f>
        <v>1319300</v>
      </c>
      <c r="K3700">
        <v>1</v>
      </c>
      <c r="L3700" s="4">
        <v>1.570999</v>
      </c>
      <c r="M3700" s="4">
        <v>127.808769</v>
      </c>
      <c r="N3700" s="6"/>
      <c r="P3700"/>
      <c r="Q3700" s="12"/>
      <c r="R3700" s="12"/>
    </row>
    <row r="3701" spans="1:18" x14ac:dyDescent="0.2">
      <c r="A3701">
        <v>32</v>
      </c>
      <c r="B3701" t="s">
        <v>20</v>
      </c>
      <c r="C3701">
        <v>2013</v>
      </c>
      <c r="D3701">
        <v>8</v>
      </c>
      <c r="E3701" s="4">
        <v>0</v>
      </c>
      <c r="F3701" s="9">
        <v>0</v>
      </c>
      <c r="G3701" s="6">
        <v>626</v>
      </c>
      <c r="H3701" s="9">
        <f t="shared" si="57"/>
        <v>0</v>
      </c>
      <c r="I3701" s="6">
        <v>14000</v>
      </c>
      <c r="J3701" s="6">
        <f>VLOOKUP(Table1[[#This Row],[Province]],[1]Sheet1!$A$3:$K$37,11,FALSE)</f>
        <v>1319300</v>
      </c>
      <c r="K3701">
        <v>0</v>
      </c>
      <c r="L3701" s="4">
        <v>1.570999</v>
      </c>
      <c r="M3701" s="4">
        <v>127.808769</v>
      </c>
      <c r="N3701" s="6"/>
      <c r="P3701"/>
      <c r="Q3701" s="12"/>
      <c r="R3701" s="12"/>
    </row>
    <row r="3702" spans="1:18" x14ac:dyDescent="0.2">
      <c r="A3702">
        <v>32</v>
      </c>
      <c r="B3702" t="s">
        <v>20</v>
      </c>
      <c r="C3702">
        <v>2013</v>
      </c>
      <c r="D3702">
        <v>9</v>
      </c>
      <c r="E3702" s="4">
        <v>0</v>
      </c>
      <c r="F3702" s="9">
        <v>0</v>
      </c>
      <c r="G3702" s="6">
        <v>1337</v>
      </c>
      <c r="H3702" s="9">
        <f t="shared" si="57"/>
        <v>0</v>
      </c>
      <c r="I3702" s="6">
        <v>14000</v>
      </c>
      <c r="J3702" s="6">
        <f>VLOOKUP(Table1[[#This Row],[Province]],[1]Sheet1!$A$3:$K$37,11,FALSE)</f>
        <v>1319300</v>
      </c>
      <c r="K3702">
        <v>0</v>
      </c>
      <c r="L3702" s="4">
        <v>1.570999</v>
      </c>
      <c r="M3702" s="4">
        <v>127.808769</v>
      </c>
      <c r="N3702" s="6"/>
      <c r="P3702"/>
      <c r="Q3702" s="12"/>
      <c r="R3702" s="12"/>
    </row>
    <row r="3703" spans="1:18" x14ac:dyDescent="0.2">
      <c r="A3703">
        <v>32</v>
      </c>
      <c r="B3703" t="s">
        <v>20</v>
      </c>
      <c r="C3703">
        <v>2013</v>
      </c>
      <c r="D3703">
        <v>10</v>
      </c>
      <c r="E3703" s="4">
        <v>0</v>
      </c>
      <c r="F3703" s="9">
        <v>0</v>
      </c>
      <c r="G3703" s="6">
        <v>1094</v>
      </c>
      <c r="H3703" s="9">
        <f t="shared" si="57"/>
        <v>0</v>
      </c>
      <c r="I3703" s="6">
        <v>14000</v>
      </c>
      <c r="J3703" s="6">
        <f>VLOOKUP(Table1[[#This Row],[Province]],[1]Sheet1!$A$3:$K$37,11,FALSE)</f>
        <v>1319300</v>
      </c>
      <c r="K3703">
        <v>0</v>
      </c>
      <c r="L3703" s="4">
        <v>1.570999</v>
      </c>
      <c r="M3703" s="4">
        <v>127.808769</v>
      </c>
      <c r="N3703" s="6"/>
      <c r="P3703"/>
      <c r="Q3703" s="12"/>
      <c r="R3703" s="12"/>
    </row>
    <row r="3704" spans="1:18" x14ac:dyDescent="0.2">
      <c r="A3704">
        <v>32</v>
      </c>
      <c r="B3704" t="s">
        <v>20</v>
      </c>
      <c r="C3704">
        <v>2013</v>
      </c>
      <c r="D3704">
        <v>11</v>
      </c>
      <c r="E3704" s="4">
        <v>0</v>
      </c>
      <c r="F3704" s="9">
        <v>0</v>
      </c>
      <c r="G3704" s="6">
        <v>806</v>
      </c>
      <c r="H3704" s="9">
        <f t="shared" si="57"/>
        <v>0</v>
      </c>
      <c r="I3704" s="6">
        <v>14000</v>
      </c>
      <c r="J3704" s="6">
        <f>VLOOKUP(Table1[[#This Row],[Province]],[1]Sheet1!$A$3:$K$37,11,FALSE)</f>
        <v>1319300</v>
      </c>
      <c r="K3704">
        <v>0</v>
      </c>
      <c r="L3704" s="4">
        <v>1.570999</v>
      </c>
      <c r="M3704" s="4">
        <v>127.808769</v>
      </c>
      <c r="N3704" s="6"/>
      <c r="P3704"/>
      <c r="Q3704" s="12"/>
      <c r="R3704" s="12"/>
    </row>
    <row r="3705" spans="1:18" x14ac:dyDescent="0.2">
      <c r="A3705">
        <v>32</v>
      </c>
      <c r="B3705" t="s">
        <v>20</v>
      </c>
      <c r="C3705">
        <v>2013</v>
      </c>
      <c r="D3705">
        <v>12</v>
      </c>
      <c r="E3705" s="4">
        <v>0</v>
      </c>
      <c r="F3705" s="9">
        <v>0</v>
      </c>
      <c r="G3705" s="6">
        <v>1121</v>
      </c>
      <c r="H3705" s="9">
        <f t="shared" si="57"/>
        <v>0</v>
      </c>
      <c r="I3705" s="6">
        <v>14000</v>
      </c>
      <c r="J3705" s="6">
        <f>VLOOKUP(Table1[[#This Row],[Province]],[1]Sheet1!$A$3:$K$37,11,FALSE)</f>
        <v>1319300</v>
      </c>
      <c r="K3705">
        <v>1</v>
      </c>
      <c r="L3705" s="4">
        <v>1.570999</v>
      </c>
      <c r="M3705" s="4">
        <v>127.808769</v>
      </c>
      <c r="N3705" s="6"/>
      <c r="P3705"/>
      <c r="Q3705" s="12"/>
      <c r="R3705" s="12"/>
    </row>
    <row r="3706" spans="1:18" x14ac:dyDescent="0.2">
      <c r="A3706">
        <v>32</v>
      </c>
      <c r="B3706" t="s">
        <v>20</v>
      </c>
      <c r="C3706">
        <v>2014</v>
      </c>
      <c r="D3706">
        <v>1</v>
      </c>
      <c r="E3706" s="4">
        <v>0</v>
      </c>
      <c r="F3706" s="9">
        <v>0</v>
      </c>
      <c r="G3706" s="6">
        <v>784</v>
      </c>
      <c r="H3706" s="9">
        <f t="shared" si="57"/>
        <v>0</v>
      </c>
      <c r="I3706" s="6">
        <v>13015</v>
      </c>
      <c r="J3706" s="6">
        <f>VLOOKUP(Table1[[#This Row],[Province]],[1]Sheet1!$A$3:$K$37,11,FALSE)</f>
        <v>1319300</v>
      </c>
      <c r="K3706">
        <v>0</v>
      </c>
      <c r="L3706" s="4">
        <v>1.570999</v>
      </c>
      <c r="M3706" s="4">
        <v>127.808769</v>
      </c>
      <c r="N3706" s="6"/>
      <c r="P3706"/>
      <c r="Q3706" s="12"/>
      <c r="R3706" s="12"/>
    </row>
    <row r="3707" spans="1:18" x14ac:dyDescent="0.2">
      <c r="A3707">
        <v>32</v>
      </c>
      <c r="B3707" t="s">
        <v>20</v>
      </c>
      <c r="C3707">
        <v>2014</v>
      </c>
      <c r="D3707">
        <v>2</v>
      </c>
      <c r="E3707" s="4">
        <v>0</v>
      </c>
      <c r="F3707" s="9">
        <v>0</v>
      </c>
      <c r="G3707" s="6">
        <v>700</v>
      </c>
      <c r="H3707" s="9">
        <f t="shared" si="57"/>
        <v>0</v>
      </c>
      <c r="I3707" s="6">
        <v>12500</v>
      </c>
      <c r="J3707" s="6">
        <f>VLOOKUP(Table1[[#This Row],[Province]],[1]Sheet1!$A$3:$K$37,11,FALSE)</f>
        <v>1319300</v>
      </c>
      <c r="K3707">
        <v>0</v>
      </c>
      <c r="L3707" s="4">
        <v>1.570999</v>
      </c>
      <c r="M3707" s="4">
        <v>127.808769</v>
      </c>
      <c r="N3707" s="6"/>
      <c r="P3707"/>
      <c r="Q3707" s="12"/>
      <c r="R3707" s="12"/>
    </row>
    <row r="3708" spans="1:18" x14ac:dyDescent="0.2">
      <c r="A3708">
        <v>32</v>
      </c>
      <c r="B3708" t="s">
        <v>20</v>
      </c>
      <c r="C3708">
        <v>2014</v>
      </c>
      <c r="D3708">
        <v>3</v>
      </c>
      <c r="E3708" s="4">
        <v>0</v>
      </c>
      <c r="F3708" s="9">
        <v>0</v>
      </c>
      <c r="G3708" s="6">
        <v>786</v>
      </c>
      <c r="H3708" s="9">
        <f t="shared" si="57"/>
        <v>0</v>
      </c>
      <c r="I3708" s="6">
        <v>12500</v>
      </c>
      <c r="J3708" s="6">
        <f>VLOOKUP(Table1[[#This Row],[Province]],[1]Sheet1!$A$3:$K$37,11,FALSE)</f>
        <v>1319300</v>
      </c>
      <c r="K3708">
        <v>0</v>
      </c>
      <c r="L3708" s="4">
        <v>1.570999</v>
      </c>
      <c r="M3708" s="4">
        <v>127.808769</v>
      </c>
      <c r="N3708" s="6"/>
      <c r="P3708"/>
      <c r="Q3708" s="12"/>
      <c r="R3708" s="12"/>
    </row>
    <row r="3709" spans="1:18" x14ac:dyDescent="0.2">
      <c r="A3709">
        <v>32</v>
      </c>
      <c r="B3709" t="s">
        <v>20</v>
      </c>
      <c r="C3709">
        <v>2014</v>
      </c>
      <c r="D3709">
        <v>4</v>
      </c>
      <c r="E3709" s="4">
        <v>0</v>
      </c>
      <c r="F3709" s="9">
        <v>0</v>
      </c>
      <c r="G3709" s="6">
        <v>1012</v>
      </c>
      <c r="H3709" s="9">
        <f t="shared" si="57"/>
        <v>0</v>
      </c>
      <c r="I3709" s="6">
        <v>12500</v>
      </c>
      <c r="J3709" s="6">
        <f>VLOOKUP(Table1[[#This Row],[Province]],[1]Sheet1!$A$3:$K$37,11,FALSE)</f>
        <v>1319300</v>
      </c>
      <c r="K3709">
        <v>0</v>
      </c>
      <c r="L3709" s="4">
        <v>1.570999</v>
      </c>
      <c r="M3709" s="4">
        <v>127.808769</v>
      </c>
      <c r="N3709" s="6"/>
      <c r="P3709"/>
      <c r="Q3709" s="12"/>
      <c r="R3709" s="12"/>
    </row>
    <row r="3710" spans="1:18" x14ac:dyDescent="0.2">
      <c r="A3710">
        <v>32</v>
      </c>
      <c r="B3710" t="s">
        <v>20</v>
      </c>
      <c r="C3710">
        <v>2014</v>
      </c>
      <c r="D3710">
        <v>5</v>
      </c>
      <c r="E3710" s="4">
        <v>0</v>
      </c>
      <c r="F3710" s="9">
        <v>0</v>
      </c>
      <c r="G3710" s="6">
        <v>1134</v>
      </c>
      <c r="H3710" s="9">
        <f t="shared" si="57"/>
        <v>0</v>
      </c>
      <c r="I3710" s="6">
        <v>12500</v>
      </c>
      <c r="J3710" s="6">
        <f>VLOOKUP(Table1[[#This Row],[Province]],[1]Sheet1!$A$3:$K$37,11,FALSE)</f>
        <v>1319300</v>
      </c>
      <c r="K3710">
        <v>0</v>
      </c>
      <c r="L3710" s="4">
        <v>1.570999</v>
      </c>
      <c r="M3710" s="4">
        <v>127.808769</v>
      </c>
      <c r="N3710" s="6"/>
      <c r="P3710"/>
      <c r="Q3710" s="12"/>
      <c r="R3710" s="12"/>
    </row>
    <row r="3711" spans="1:18" x14ac:dyDescent="0.2">
      <c r="A3711">
        <v>32</v>
      </c>
      <c r="B3711" t="s">
        <v>20</v>
      </c>
      <c r="C3711">
        <v>2014</v>
      </c>
      <c r="D3711">
        <v>6</v>
      </c>
      <c r="E3711" s="4">
        <v>0</v>
      </c>
      <c r="F3711" s="9">
        <v>0</v>
      </c>
      <c r="G3711" s="6">
        <v>1613</v>
      </c>
      <c r="H3711" s="9">
        <f t="shared" si="57"/>
        <v>0</v>
      </c>
      <c r="I3711" s="6">
        <v>12500</v>
      </c>
      <c r="J3711" s="6">
        <f>VLOOKUP(Table1[[#This Row],[Province]],[1]Sheet1!$A$3:$K$37,11,FALSE)</f>
        <v>1319300</v>
      </c>
      <c r="K3711">
        <v>1</v>
      </c>
      <c r="L3711" s="4">
        <v>1.570999</v>
      </c>
      <c r="M3711" s="4">
        <v>127.808769</v>
      </c>
      <c r="N3711" s="6"/>
      <c r="P3711"/>
      <c r="Q3711" s="12"/>
      <c r="R3711" s="12"/>
    </row>
    <row r="3712" spans="1:18" x14ac:dyDescent="0.2">
      <c r="A3712">
        <v>32</v>
      </c>
      <c r="B3712" t="s">
        <v>20</v>
      </c>
      <c r="C3712">
        <v>2014</v>
      </c>
      <c r="D3712">
        <v>7</v>
      </c>
      <c r="E3712" s="4">
        <v>0</v>
      </c>
      <c r="F3712" s="9">
        <v>0</v>
      </c>
      <c r="G3712" s="6">
        <v>1012</v>
      </c>
      <c r="H3712" s="9">
        <f t="shared" si="57"/>
        <v>0</v>
      </c>
      <c r="I3712" s="6">
        <v>12500</v>
      </c>
      <c r="J3712" s="6">
        <f>VLOOKUP(Table1[[#This Row],[Province]],[1]Sheet1!$A$3:$K$37,11,FALSE)</f>
        <v>1319300</v>
      </c>
      <c r="K3712">
        <v>0</v>
      </c>
      <c r="L3712" s="4">
        <v>1.570999</v>
      </c>
      <c r="M3712" s="4">
        <v>127.808769</v>
      </c>
      <c r="N3712" s="6"/>
      <c r="P3712"/>
      <c r="Q3712" s="12"/>
      <c r="R3712" s="12"/>
    </row>
    <row r="3713" spans="1:18" x14ac:dyDescent="0.2">
      <c r="A3713">
        <v>32</v>
      </c>
      <c r="B3713" t="s">
        <v>20</v>
      </c>
      <c r="C3713">
        <v>2014</v>
      </c>
      <c r="D3713">
        <v>8</v>
      </c>
      <c r="E3713" s="4">
        <v>0</v>
      </c>
      <c r="F3713" s="9">
        <v>0</v>
      </c>
      <c r="G3713" s="6">
        <v>976</v>
      </c>
      <c r="H3713" s="9">
        <f t="shared" si="57"/>
        <v>0</v>
      </c>
      <c r="I3713" s="6">
        <v>12500</v>
      </c>
      <c r="J3713" s="6">
        <f>VLOOKUP(Table1[[#This Row],[Province]],[1]Sheet1!$A$3:$K$37,11,FALSE)</f>
        <v>1319300</v>
      </c>
      <c r="K3713">
        <v>0</v>
      </c>
      <c r="L3713" s="4">
        <v>1.570999</v>
      </c>
      <c r="M3713" s="4">
        <v>127.808769</v>
      </c>
      <c r="N3713" s="6"/>
      <c r="P3713"/>
      <c r="Q3713" s="12"/>
      <c r="R3713" s="12"/>
    </row>
    <row r="3714" spans="1:18" x14ac:dyDescent="0.2">
      <c r="A3714">
        <v>32</v>
      </c>
      <c r="B3714" t="s">
        <v>20</v>
      </c>
      <c r="C3714">
        <v>2014</v>
      </c>
      <c r="D3714">
        <v>9</v>
      </c>
      <c r="E3714" s="4">
        <v>0</v>
      </c>
      <c r="F3714" s="9">
        <v>0</v>
      </c>
      <c r="G3714" s="6">
        <v>982</v>
      </c>
      <c r="H3714" s="9">
        <f t="shared" ref="H3714:H3777" si="58">F3714+E3714</f>
        <v>0</v>
      </c>
      <c r="I3714" s="6">
        <v>12500</v>
      </c>
      <c r="J3714" s="6">
        <f>VLOOKUP(Table1[[#This Row],[Province]],[1]Sheet1!$A$3:$K$37,11,FALSE)</f>
        <v>1319300</v>
      </c>
      <c r="K3714">
        <v>0</v>
      </c>
      <c r="L3714" s="4">
        <v>1.570999</v>
      </c>
      <c r="M3714" s="4">
        <v>127.808769</v>
      </c>
      <c r="N3714" s="6"/>
      <c r="P3714"/>
      <c r="Q3714" s="12"/>
      <c r="R3714" s="12"/>
    </row>
    <row r="3715" spans="1:18" x14ac:dyDescent="0.2">
      <c r="A3715">
        <v>32</v>
      </c>
      <c r="B3715" t="s">
        <v>20</v>
      </c>
      <c r="C3715">
        <v>2014</v>
      </c>
      <c r="D3715">
        <v>10</v>
      </c>
      <c r="E3715" s="4">
        <v>0</v>
      </c>
      <c r="F3715" s="9">
        <v>0</v>
      </c>
      <c r="G3715" s="6">
        <v>1457</v>
      </c>
      <c r="H3715" s="9">
        <f t="shared" si="58"/>
        <v>0</v>
      </c>
      <c r="I3715" s="6">
        <v>12500</v>
      </c>
      <c r="J3715" s="6">
        <f>VLOOKUP(Table1[[#This Row],[Province]],[1]Sheet1!$A$3:$K$37,11,FALSE)</f>
        <v>1319300</v>
      </c>
      <c r="K3715">
        <v>0</v>
      </c>
      <c r="L3715" s="4">
        <v>1.570999</v>
      </c>
      <c r="M3715" s="4">
        <v>127.808769</v>
      </c>
      <c r="N3715" s="6"/>
      <c r="P3715"/>
      <c r="Q3715" s="12"/>
      <c r="R3715" s="12"/>
    </row>
    <row r="3716" spans="1:18" x14ac:dyDescent="0.2">
      <c r="A3716">
        <v>32</v>
      </c>
      <c r="B3716" t="s">
        <v>20</v>
      </c>
      <c r="C3716">
        <v>2014</v>
      </c>
      <c r="D3716">
        <v>11</v>
      </c>
      <c r="E3716" s="4">
        <v>0</v>
      </c>
      <c r="F3716" s="9">
        <v>0</v>
      </c>
      <c r="G3716" s="6">
        <v>1162</v>
      </c>
      <c r="H3716" s="9">
        <f t="shared" si="58"/>
        <v>0</v>
      </c>
      <c r="I3716" s="6">
        <v>12500</v>
      </c>
      <c r="J3716" s="6">
        <f>VLOOKUP(Table1[[#This Row],[Province]],[1]Sheet1!$A$3:$K$37,11,FALSE)</f>
        <v>1319300</v>
      </c>
      <c r="K3716">
        <v>0</v>
      </c>
      <c r="L3716" s="4">
        <v>1.570999</v>
      </c>
      <c r="M3716" s="4">
        <v>127.808769</v>
      </c>
      <c r="N3716" s="6"/>
      <c r="P3716"/>
      <c r="Q3716" s="12"/>
      <c r="R3716" s="12"/>
    </row>
    <row r="3717" spans="1:18" x14ac:dyDescent="0.2">
      <c r="A3717">
        <v>32</v>
      </c>
      <c r="B3717" t="s">
        <v>20</v>
      </c>
      <c r="C3717">
        <v>2014</v>
      </c>
      <c r="D3717">
        <v>12</v>
      </c>
      <c r="E3717" s="4">
        <v>0</v>
      </c>
      <c r="F3717" s="9">
        <v>0</v>
      </c>
      <c r="G3717" s="6">
        <v>1355</v>
      </c>
      <c r="H3717" s="9">
        <f t="shared" si="58"/>
        <v>0</v>
      </c>
      <c r="I3717" s="6">
        <v>12500</v>
      </c>
      <c r="J3717" s="6">
        <f>VLOOKUP(Table1[[#This Row],[Province]],[1]Sheet1!$A$3:$K$37,11,FALSE)</f>
        <v>1319300</v>
      </c>
      <c r="K3717">
        <v>1</v>
      </c>
      <c r="L3717" s="4">
        <v>1.570999</v>
      </c>
      <c r="M3717" s="4">
        <v>127.808769</v>
      </c>
      <c r="N3717" s="6"/>
      <c r="P3717"/>
      <c r="Q3717" s="12"/>
      <c r="R3717" s="12"/>
    </row>
    <row r="3718" spans="1:18" x14ac:dyDescent="0.2">
      <c r="A3718">
        <v>32</v>
      </c>
      <c r="B3718" t="s">
        <v>20</v>
      </c>
      <c r="C3718">
        <v>2015</v>
      </c>
      <c r="D3718">
        <v>1</v>
      </c>
      <c r="E3718" s="4">
        <v>0</v>
      </c>
      <c r="F3718" s="9">
        <v>0</v>
      </c>
      <c r="G3718" s="6">
        <v>666</v>
      </c>
      <c r="H3718" s="9">
        <f t="shared" si="58"/>
        <v>0</v>
      </c>
      <c r="I3718" s="6">
        <v>12500</v>
      </c>
      <c r="J3718" s="6">
        <f>VLOOKUP(Table1[[#This Row],[Province]],[1]Sheet1!$A$3:$K$37,11,FALSE)</f>
        <v>1319300</v>
      </c>
      <c r="K3718">
        <v>0</v>
      </c>
      <c r="L3718" s="4">
        <v>1.570999</v>
      </c>
      <c r="M3718" s="4">
        <v>127.808769</v>
      </c>
      <c r="N3718" s="6"/>
      <c r="P3718"/>
      <c r="Q3718" s="12"/>
      <c r="R3718" s="12"/>
    </row>
    <row r="3719" spans="1:18" x14ac:dyDescent="0.2">
      <c r="A3719">
        <v>32</v>
      </c>
      <c r="B3719" t="s">
        <v>20</v>
      </c>
      <c r="C3719">
        <v>2015</v>
      </c>
      <c r="D3719">
        <v>2</v>
      </c>
      <c r="E3719" s="4">
        <v>0</v>
      </c>
      <c r="F3719" s="9">
        <v>0</v>
      </c>
      <c r="G3719" s="6">
        <v>1680</v>
      </c>
      <c r="H3719" s="9">
        <f t="shared" si="58"/>
        <v>0</v>
      </c>
      <c r="I3719" s="6">
        <v>12500</v>
      </c>
      <c r="J3719" s="6">
        <f>VLOOKUP(Table1[[#This Row],[Province]],[1]Sheet1!$A$3:$K$37,11,FALSE)</f>
        <v>1319300</v>
      </c>
      <c r="K3719">
        <v>0</v>
      </c>
      <c r="L3719" s="4">
        <v>1.570999</v>
      </c>
      <c r="M3719" s="4">
        <v>127.808769</v>
      </c>
      <c r="N3719" s="6"/>
      <c r="P3719"/>
      <c r="Q3719" s="12"/>
      <c r="R3719" s="12"/>
    </row>
    <row r="3720" spans="1:18" x14ac:dyDescent="0.2">
      <c r="A3720">
        <v>32</v>
      </c>
      <c r="B3720" t="s">
        <v>20</v>
      </c>
      <c r="C3720">
        <v>2015</v>
      </c>
      <c r="D3720">
        <v>3</v>
      </c>
      <c r="E3720" s="4">
        <v>0</v>
      </c>
      <c r="F3720" s="9">
        <v>0</v>
      </c>
      <c r="G3720" s="6">
        <v>762</v>
      </c>
      <c r="H3720" s="9">
        <f t="shared" si="58"/>
        <v>0</v>
      </c>
      <c r="I3720" s="6">
        <v>12500</v>
      </c>
      <c r="J3720" s="6">
        <f>VLOOKUP(Table1[[#This Row],[Province]],[1]Sheet1!$A$3:$K$37,11,FALSE)</f>
        <v>1319300</v>
      </c>
      <c r="K3720">
        <v>0</v>
      </c>
      <c r="L3720" s="4">
        <v>1.570999</v>
      </c>
      <c r="M3720" s="4">
        <v>127.808769</v>
      </c>
      <c r="N3720" s="6"/>
      <c r="P3720"/>
      <c r="Q3720" s="12"/>
      <c r="R3720" s="12"/>
    </row>
    <row r="3721" spans="1:18" x14ac:dyDescent="0.2">
      <c r="A3721">
        <v>32</v>
      </c>
      <c r="B3721" t="s">
        <v>20</v>
      </c>
      <c r="C3721">
        <v>2015</v>
      </c>
      <c r="D3721">
        <v>4</v>
      </c>
      <c r="E3721" s="4">
        <v>0</v>
      </c>
      <c r="F3721" s="9">
        <v>0</v>
      </c>
      <c r="G3721" s="6">
        <v>1263</v>
      </c>
      <c r="H3721" s="9">
        <f t="shared" si="58"/>
        <v>0</v>
      </c>
      <c r="I3721" s="6">
        <v>12667</v>
      </c>
      <c r="J3721" s="6">
        <f>VLOOKUP(Table1[[#This Row],[Province]],[1]Sheet1!$A$3:$K$37,11,FALSE)</f>
        <v>1319300</v>
      </c>
      <c r="K3721">
        <v>0</v>
      </c>
      <c r="L3721" s="4">
        <v>1.570999</v>
      </c>
      <c r="M3721" s="4">
        <v>127.808769</v>
      </c>
      <c r="N3721" s="6"/>
      <c r="P3721"/>
      <c r="Q3721" s="12"/>
      <c r="R3721" s="12"/>
    </row>
    <row r="3722" spans="1:18" x14ac:dyDescent="0.2">
      <c r="A3722">
        <v>32</v>
      </c>
      <c r="B3722" t="s">
        <v>20</v>
      </c>
      <c r="C3722">
        <v>2015</v>
      </c>
      <c r="D3722">
        <v>5</v>
      </c>
      <c r="E3722" s="4">
        <v>0</v>
      </c>
      <c r="F3722" s="9">
        <v>0</v>
      </c>
      <c r="G3722" s="6">
        <v>1210</v>
      </c>
      <c r="H3722" s="9">
        <f t="shared" si="58"/>
        <v>0</v>
      </c>
      <c r="I3722" s="6">
        <v>13263</v>
      </c>
      <c r="J3722" s="6">
        <f>VLOOKUP(Table1[[#This Row],[Province]],[1]Sheet1!$A$3:$K$37,11,FALSE)</f>
        <v>1319300</v>
      </c>
      <c r="K3722">
        <v>0</v>
      </c>
      <c r="L3722" s="4">
        <v>1.570999</v>
      </c>
      <c r="M3722" s="4">
        <v>127.808769</v>
      </c>
      <c r="N3722" s="6"/>
      <c r="P3722"/>
      <c r="Q3722" s="12"/>
      <c r="R3722" s="12"/>
    </row>
    <row r="3723" spans="1:18" x14ac:dyDescent="0.2">
      <c r="A3723">
        <v>32</v>
      </c>
      <c r="B3723" t="s">
        <v>20</v>
      </c>
      <c r="C3723">
        <v>2015</v>
      </c>
      <c r="D3723">
        <v>6</v>
      </c>
      <c r="E3723" s="4">
        <v>0</v>
      </c>
      <c r="F3723" s="9">
        <v>0</v>
      </c>
      <c r="G3723" s="6">
        <v>1375</v>
      </c>
      <c r="H3723" s="9">
        <f t="shared" si="58"/>
        <v>0</v>
      </c>
      <c r="I3723" s="6">
        <v>14012</v>
      </c>
      <c r="J3723" s="6">
        <f>VLOOKUP(Table1[[#This Row],[Province]],[1]Sheet1!$A$3:$K$37,11,FALSE)</f>
        <v>1319300</v>
      </c>
      <c r="K3723">
        <v>1</v>
      </c>
      <c r="L3723" s="4">
        <v>1.570999</v>
      </c>
      <c r="M3723" s="4">
        <v>127.808769</v>
      </c>
      <c r="N3723" s="6"/>
      <c r="P3723"/>
      <c r="Q3723" s="12"/>
      <c r="R3723" s="12"/>
    </row>
    <row r="3724" spans="1:18" x14ac:dyDescent="0.2">
      <c r="A3724">
        <v>32</v>
      </c>
      <c r="B3724" t="s">
        <v>20</v>
      </c>
      <c r="C3724">
        <v>2015</v>
      </c>
      <c r="D3724">
        <v>7</v>
      </c>
      <c r="E3724" s="4">
        <v>0</v>
      </c>
      <c r="F3724" s="9">
        <v>0</v>
      </c>
      <c r="G3724" s="6">
        <v>939</v>
      </c>
      <c r="H3724" s="9">
        <f t="shared" si="58"/>
        <v>0</v>
      </c>
      <c r="I3724" s="6">
        <v>13868</v>
      </c>
      <c r="J3724" s="6">
        <f>VLOOKUP(Table1[[#This Row],[Province]],[1]Sheet1!$A$3:$K$37,11,FALSE)</f>
        <v>1319300</v>
      </c>
      <c r="K3724">
        <v>0</v>
      </c>
      <c r="L3724" s="4">
        <v>1.570999</v>
      </c>
      <c r="M3724" s="4">
        <v>127.808769</v>
      </c>
      <c r="N3724" s="6"/>
      <c r="P3724"/>
      <c r="Q3724" s="12"/>
      <c r="R3724" s="12"/>
    </row>
    <row r="3725" spans="1:18" x14ac:dyDescent="0.2">
      <c r="A3725">
        <v>32</v>
      </c>
      <c r="B3725" t="s">
        <v>20</v>
      </c>
      <c r="C3725">
        <v>2015</v>
      </c>
      <c r="D3725">
        <v>8</v>
      </c>
      <c r="E3725" s="4">
        <v>0</v>
      </c>
      <c r="F3725" s="9">
        <v>0</v>
      </c>
      <c r="G3725" s="6">
        <v>929</v>
      </c>
      <c r="H3725" s="9">
        <f t="shared" si="58"/>
        <v>0</v>
      </c>
      <c r="I3725" s="6">
        <v>13925</v>
      </c>
      <c r="J3725" s="6">
        <f>VLOOKUP(Table1[[#This Row],[Province]],[1]Sheet1!$A$3:$K$37,11,FALSE)</f>
        <v>1319300</v>
      </c>
      <c r="K3725">
        <v>0</v>
      </c>
      <c r="L3725" s="4">
        <v>1.570999</v>
      </c>
      <c r="M3725" s="4">
        <v>127.808769</v>
      </c>
      <c r="N3725" s="6"/>
      <c r="P3725"/>
      <c r="Q3725" s="12"/>
      <c r="R3725" s="12"/>
    </row>
    <row r="3726" spans="1:18" x14ac:dyDescent="0.2">
      <c r="A3726">
        <v>32</v>
      </c>
      <c r="B3726" t="s">
        <v>20</v>
      </c>
      <c r="C3726">
        <v>2015</v>
      </c>
      <c r="D3726">
        <v>9</v>
      </c>
      <c r="E3726" s="4">
        <v>0</v>
      </c>
      <c r="F3726" s="9">
        <v>0</v>
      </c>
      <c r="G3726" s="6">
        <v>1247</v>
      </c>
      <c r="H3726" s="9">
        <f t="shared" si="58"/>
        <v>0</v>
      </c>
      <c r="I3726" s="6">
        <v>14000</v>
      </c>
      <c r="J3726" s="6">
        <f>VLOOKUP(Table1[[#This Row],[Province]],[1]Sheet1!$A$3:$K$37,11,FALSE)</f>
        <v>1319300</v>
      </c>
      <c r="K3726">
        <v>0</v>
      </c>
      <c r="L3726" s="4">
        <v>1.570999</v>
      </c>
      <c r="M3726" s="4">
        <v>127.808769</v>
      </c>
      <c r="N3726" s="6"/>
      <c r="P3726"/>
      <c r="Q3726" s="12"/>
      <c r="R3726" s="12"/>
    </row>
    <row r="3727" spans="1:18" x14ac:dyDescent="0.2">
      <c r="A3727">
        <v>32</v>
      </c>
      <c r="B3727" t="s">
        <v>20</v>
      </c>
      <c r="C3727">
        <v>2015</v>
      </c>
      <c r="D3727">
        <v>10</v>
      </c>
      <c r="E3727" s="4">
        <v>0</v>
      </c>
      <c r="F3727" s="9">
        <v>0</v>
      </c>
      <c r="G3727" s="6">
        <v>831</v>
      </c>
      <c r="H3727" s="9">
        <f t="shared" si="58"/>
        <v>0</v>
      </c>
      <c r="I3727" s="6">
        <v>13798</v>
      </c>
      <c r="J3727" s="6">
        <f>VLOOKUP(Table1[[#This Row],[Province]],[1]Sheet1!$A$3:$K$37,11,FALSE)</f>
        <v>1319300</v>
      </c>
      <c r="K3727">
        <v>0</v>
      </c>
      <c r="L3727" s="4">
        <v>1.570999</v>
      </c>
      <c r="M3727" s="4">
        <v>127.808769</v>
      </c>
      <c r="N3727" s="6"/>
      <c r="P3727"/>
      <c r="Q3727" s="12"/>
      <c r="R3727" s="12"/>
    </row>
    <row r="3728" spans="1:18" x14ac:dyDescent="0.2">
      <c r="A3728">
        <v>32</v>
      </c>
      <c r="B3728" t="s">
        <v>20</v>
      </c>
      <c r="C3728">
        <v>2015</v>
      </c>
      <c r="D3728">
        <v>11</v>
      </c>
      <c r="E3728" s="4">
        <v>0</v>
      </c>
      <c r="F3728" s="9">
        <v>0</v>
      </c>
      <c r="G3728" s="6">
        <v>1096</v>
      </c>
      <c r="H3728" s="9">
        <f t="shared" si="58"/>
        <v>0</v>
      </c>
      <c r="I3728" s="6">
        <v>13750</v>
      </c>
      <c r="J3728" s="6">
        <f>VLOOKUP(Table1[[#This Row],[Province]],[1]Sheet1!$A$3:$K$37,11,FALSE)</f>
        <v>1319300</v>
      </c>
      <c r="K3728">
        <v>0</v>
      </c>
      <c r="L3728" s="4">
        <v>1.570999</v>
      </c>
      <c r="M3728" s="4">
        <v>127.808769</v>
      </c>
      <c r="N3728" s="6"/>
      <c r="P3728"/>
      <c r="Q3728" s="12"/>
      <c r="R3728" s="12"/>
    </row>
    <row r="3729" spans="1:18" x14ac:dyDescent="0.2">
      <c r="A3729">
        <v>32</v>
      </c>
      <c r="B3729" t="s">
        <v>20</v>
      </c>
      <c r="C3729">
        <v>2015</v>
      </c>
      <c r="D3729">
        <v>12</v>
      </c>
      <c r="E3729" s="4">
        <v>0</v>
      </c>
      <c r="F3729" s="9">
        <v>0</v>
      </c>
      <c r="G3729" s="6">
        <v>1175</v>
      </c>
      <c r="H3729" s="9">
        <f t="shared" si="58"/>
        <v>0</v>
      </c>
      <c r="I3729" s="6">
        <v>13750</v>
      </c>
      <c r="J3729" s="6">
        <f>VLOOKUP(Table1[[#This Row],[Province]],[1]Sheet1!$A$3:$K$37,11,FALSE)</f>
        <v>1319300</v>
      </c>
      <c r="K3729">
        <v>1</v>
      </c>
      <c r="L3729" s="4">
        <v>1.570999</v>
      </c>
      <c r="M3729" s="4">
        <v>127.808769</v>
      </c>
      <c r="N3729" s="6"/>
      <c r="P3729"/>
      <c r="Q3729" s="12"/>
      <c r="R3729" s="12"/>
    </row>
    <row r="3730" spans="1:18" x14ac:dyDescent="0.2">
      <c r="A3730">
        <v>32</v>
      </c>
      <c r="B3730" t="s">
        <v>20</v>
      </c>
      <c r="C3730">
        <v>2016</v>
      </c>
      <c r="D3730">
        <v>1</v>
      </c>
      <c r="E3730" s="4">
        <v>0</v>
      </c>
      <c r="F3730" s="9">
        <v>0</v>
      </c>
      <c r="G3730" s="6">
        <v>1582</v>
      </c>
      <c r="H3730" s="9">
        <f t="shared" si="58"/>
        <v>0</v>
      </c>
      <c r="I3730" s="6">
        <v>13750</v>
      </c>
      <c r="J3730" s="6">
        <f>VLOOKUP(Table1[[#This Row],[Province]],[1]Sheet1!$A$3:$K$37,11,FALSE)</f>
        <v>1319300</v>
      </c>
      <c r="K3730">
        <v>0</v>
      </c>
      <c r="L3730" s="4">
        <v>1.570999</v>
      </c>
      <c r="M3730" s="4">
        <v>127.808769</v>
      </c>
      <c r="N3730" s="13">
        <v>5.77</v>
      </c>
      <c r="P3730"/>
      <c r="Q3730" s="12"/>
      <c r="R3730" s="12"/>
    </row>
    <row r="3731" spans="1:18" x14ac:dyDescent="0.2">
      <c r="A3731">
        <v>32</v>
      </c>
      <c r="B3731" t="s">
        <v>20</v>
      </c>
      <c r="C3731">
        <v>2016</v>
      </c>
      <c r="D3731">
        <v>2</v>
      </c>
      <c r="E3731" s="4">
        <v>0</v>
      </c>
      <c r="F3731" s="9">
        <v>0</v>
      </c>
      <c r="G3731" s="6">
        <v>591</v>
      </c>
      <c r="H3731" s="9">
        <f t="shared" si="58"/>
        <v>0</v>
      </c>
      <c r="I3731" s="6">
        <v>13750</v>
      </c>
      <c r="J3731" s="6">
        <f>VLOOKUP(Table1[[#This Row],[Province]],[1]Sheet1!$A$3:$K$37,11,FALSE)</f>
        <v>1319300</v>
      </c>
      <c r="K3731">
        <v>0</v>
      </c>
      <c r="L3731" s="4">
        <v>1.570999</v>
      </c>
      <c r="M3731" s="4">
        <v>127.808769</v>
      </c>
      <c r="N3731" s="13">
        <v>5.77</v>
      </c>
      <c r="P3731"/>
      <c r="Q3731" s="12"/>
      <c r="R3731" s="12"/>
    </row>
    <row r="3732" spans="1:18" x14ac:dyDescent="0.2">
      <c r="A3732">
        <v>32</v>
      </c>
      <c r="B3732" t="s">
        <v>20</v>
      </c>
      <c r="C3732">
        <v>2016</v>
      </c>
      <c r="D3732">
        <v>3</v>
      </c>
      <c r="E3732" s="4">
        <v>0</v>
      </c>
      <c r="F3732" s="9">
        <v>0</v>
      </c>
      <c r="G3732" s="6">
        <v>1259</v>
      </c>
      <c r="H3732" s="9">
        <f t="shared" si="58"/>
        <v>0</v>
      </c>
      <c r="I3732" s="6">
        <v>13750</v>
      </c>
      <c r="J3732" s="6">
        <f>VLOOKUP(Table1[[#This Row],[Province]],[1]Sheet1!$A$3:$K$37,11,FALSE)</f>
        <v>1319300</v>
      </c>
      <c r="K3732">
        <v>0</v>
      </c>
      <c r="L3732" s="4">
        <v>1.570999</v>
      </c>
      <c r="M3732" s="4">
        <v>127.808769</v>
      </c>
      <c r="N3732" s="13">
        <v>5.77</v>
      </c>
      <c r="P3732"/>
      <c r="Q3732" s="12"/>
      <c r="R3732" s="12"/>
    </row>
    <row r="3733" spans="1:18" x14ac:dyDescent="0.2">
      <c r="A3733">
        <v>32</v>
      </c>
      <c r="B3733" t="s">
        <v>20</v>
      </c>
      <c r="C3733">
        <v>2016</v>
      </c>
      <c r="D3733">
        <v>4</v>
      </c>
      <c r="E3733" s="4">
        <v>0</v>
      </c>
      <c r="F3733" s="9">
        <v>0</v>
      </c>
      <c r="G3733" s="6">
        <v>101</v>
      </c>
      <c r="H3733" s="9">
        <f t="shared" si="58"/>
        <v>0</v>
      </c>
      <c r="I3733" s="6">
        <v>13750</v>
      </c>
      <c r="J3733" s="6">
        <f>VLOOKUP(Table1[[#This Row],[Province]],[1]Sheet1!$A$3:$K$37,11,FALSE)</f>
        <v>1319300</v>
      </c>
      <c r="K3733">
        <v>0</v>
      </c>
      <c r="L3733" s="4">
        <v>1.570999</v>
      </c>
      <c r="M3733" s="4">
        <v>127.808769</v>
      </c>
      <c r="N3733" s="13">
        <v>5.77</v>
      </c>
      <c r="P3733"/>
      <c r="Q3733" s="12"/>
      <c r="R3733" s="12"/>
    </row>
    <row r="3734" spans="1:18" x14ac:dyDescent="0.2">
      <c r="A3734">
        <v>32</v>
      </c>
      <c r="B3734" t="s">
        <v>20</v>
      </c>
      <c r="C3734">
        <v>2016</v>
      </c>
      <c r="D3734">
        <v>5</v>
      </c>
      <c r="E3734" s="4">
        <v>0</v>
      </c>
      <c r="F3734" s="9">
        <v>0</v>
      </c>
      <c r="G3734" s="6">
        <v>806</v>
      </c>
      <c r="H3734" s="9">
        <f t="shared" si="58"/>
        <v>0</v>
      </c>
      <c r="I3734" s="6">
        <v>15288</v>
      </c>
      <c r="J3734" s="6">
        <f>VLOOKUP(Table1[[#This Row],[Province]],[1]Sheet1!$A$3:$K$37,11,FALSE)</f>
        <v>1319300</v>
      </c>
      <c r="K3734">
        <v>0</v>
      </c>
      <c r="L3734" s="4">
        <v>1.570999</v>
      </c>
      <c r="M3734" s="4">
        <v>127.808769</v>
      </c>
      <c r="N3734" s="13">
        <v>5.77</v>
      </c>
      <c r="P3734"/>
      <c r="Q3734" s="12"/>
      <c r="R3734" s="12"/>
    </row>
    <row r="3735" spans="1:18" x14ac:dyDescent="0.2">
      <c r="A3735">
        <v>32</v>
      </c>
      <c r="B3735" t="s">
        <v>20</v>
      </c>
      <c r="C3735">
        <v>2016</v>
      </c>
      <c r="D3735">
        <v>6</v>
      </c>
      <c r="E3735" s="4">
        <v>0</v>
      </c>
      <c r="F3735" s="9">
        <v>0</v>
      </c>
      <c r="G3735" s="6">
        <v>1223</v>
      </c>
      <c r="H3735" s="9">
        <f t="shared" si="58"/>
        <v>0</v>
      </c>
      <c r="I3735" s="6">
        <v>16489</v>
      </c>
      <c r="J3735" s="6">
        <f>VLOOKUP(Table1[[#This Row],[Province]],[1]Sheet1!$A$3:$K$37,11,FALSE)</f>
        <v>1319300</v>
      </c>
      <c r="K3735">
        <v>1</v>
      </c>
      <c r="L3735" s="4">
        <v>1.570999</v>
      </c>
      <c r="M3735" s="4">
        <v>127.808769</v>
      </c>
      <c r="N3735" s="13">
        <v>5.77</v>
      </c>
      <c r="P3735"/>
      <c r="Q3735" s="12"/>
      <c r="R3735" s="12"/>
    </row>
    <row r="3736" spans="1:18" x14ac:dyDescent="0.2">
      <c r="A3736">
        <v>32</v>
      </c>
      <c r="B3736" t="s">
        <v>20</v>
      </c>
      <c r="C3736">
        <v>2016</v>
      </c>
      <c r="D3736">
        <v>7</v>
      </c>
      <c r="E3736" s="4">
        <v>0</v>
      </c>
      <c r="F3736" s="9">
        <v>0</v>
      </c>
      <c r="G3736" s="6">
        <v>1167</v>
      </c>
      <c r="H3736" s="9">
        <f t="shared" si="58"/>
        <v>0</v>
      </c>
      <c r="I3736" s="6">
        <v>17938</v>
      </c>
      <c r="J3736" s="6">
        <f>VLOOKUP(Table1[[#This Row],[Province]],[1]Sheet1!$A$3:$K$37,11,FALSE)</f>
        <v>1319300</v>
      </c>
      <c r="K3736">
        <v>0</v>
      </c>
      <c r="L3736" s="4">
        <v>1.570999</v>
      </c>
      <c r="M3736" s="4">
        <v>127.808769</v>
      </c>
      <c r="N3736" s="13">
        <v>5.77</v>
      </c>
      <c r="P3736"/>
      <c r="Q3736" s="12"/>
      <c r="R3736" s="12"/>
    </row>
    <row r="3737" spans="1:18" x14ac:dyDescent="0.2">
      <c r="A3737">
        <v>32</v>
      </c>
      <c r="B3737" t="s">
        <v>20</v>
      </c>
      <c r="C3737">
        <v>2016</v>
      </c>
      <c r="D3737">
        <v>8</v>
      </c>
      <c r="E3737" s="4">
        <v>0</v>
      </c>
      <c r="F3737" s="9">
        <v>0</v>
      </c>
      <c r="G3737" s="6">
        <v>1153</v>
      </c>
      <c r="H3737" s="9">
        <f t="shared" si="58"/>
        <v>0</v>
      </c>
      <c r="I3737" s="6">
        <v>17693</v>
      </c>
      <c r="J3737" s="6">
        <f>VLOOKUP(Table1[[#This Row],[Province]],[1]Sheet1!$A$3:$K$37,11,FALSE)</f>
        <v>1319300</v>
      </c>
      <c r="K3737">
        <v>0</v>
      </c>
      <c r="L3737" s="4">
        <v>1.570999</v>
      </c>
      <c r="M3737" s="4">
        <v>127.808769</v>
      </c>
      <c r="N3737" s="13">
        <v>5.77</v>
      </c>
      <c r="P3737"/>
      <c r="Q3737" s="12"/>
      <c r="R3737" s="12"/>
    </row>
    <row r="3738" spans="1:18" x14ac:dyDescent="0.2">
      <c r="A3738">
        <v>32</v>
      </c>
      <c r="B3738" t="s">
        <v>20</v>
      </c>
      <c r="C3738">
        <v>2016</v>
      </c>
      <c r="D3738">
        <v>9</v>
      </c>
      <c r="E3738" s="4">
        <v>0</v>
      </c>
      <c r="F3738" s="9">
        <v>0</v>
      </c>
      <c r="G3738" s="6">
        <v>446</v>
      </c>
      <c r="H3738" s="9">
        <f t="shared" si="58"/>
        <v>0</v>
      </c>
      <c r="I3738" s="6">
        <v>17500</v>
      </c>
      <c r="J3738" s="6">
        <f>VLOOKUP(Table1[[#This Row],[Province]],[1]Sheet1!$A$3:$K$37,11,FALSE)</f>
        <v>1319300</v>
      </c>
      <c r="K3738">
        <v>0</v>
      </c>
      <c r="L3738" s="4">
        <v>1.570999</v>
      </c>
      <c r="M3738" s="4">
        <v>127.808769</v>
      </c>
      <c r="N3738" s="13">
        <v>5.77</v>
      </c>
      <c r="P3738"/>
      <c r="Q3738" s="12"/>
      <c r="R3738" s="12"/>
    </row>
    <row r="3739" spans="1:18" x14ac:dyDescent="0.2">
      <c r="A3739">
        <v>32</v>
      </c>
      <c r="B3739" t="s">
        <v>20</v>
      </c>
      <c r="C3739">
        <v>2016</v>
      </c>
      <c r="D3739">
        <v>10</v>
      </c>
      <c r="E3739" s="4">
        <v>0</v>
      </c>
      <c r="F3739" s="9">
        <v>0</v>
      </c>
      <c r="G3739" s="6">
        <v>1947</v>
      </c>
      <c r="H3739" s="9">
        <f t="shared" si="58"/>
        <v>0</v>
      </c>
      <c r="I3739" s="6">
        <v>16452</v>
      </c>
      <c r="J3739" s="6">
        <f>VLOOKUP(Table1[[#This Row],[Province]],[1]Sheet1!$A$3:$K$37,11,FALSE)</f>
        <v>1319300</v>
      </c>
      <c r="K3739">
        <v>0</v>
      </c>
      <c r="L3739" s="4">
        <v>1.570999</v>
      </c>
      <c r="M3739" s="4">
        <v>127.808769</v>
      </c>
      <c r="N3739" s="13">
        <v>5.77</v>
      </c>
      <c r="P3739"/>
      <c r="Q3739" s="12"/>
      <c r="R3739" s="12"/>
    </row>
    <row r="3740" spans="1:18" x14ac:dyDescent="0.2">
      <c r="A3740">
        <v>32</v>
      </c>
      <c r="B3740" t="s">
        <v>20</v>
      </c>
      <c r="C3740">
        <v>2016</v>
      </c>
      <c r="D3740">
        <v>11</v>
      </c>
      <c r="E3740" s="4">
        <v>0</v>
      </c>
      <c r="F3740" s="9">
        <v>0</v>
      </c>
      <c r="G3740" s="6">
        <v>551</v>
      </c>
      <c r="H3740" s="9">
        <f t="shared" si="58"/>
        <v>0</v>
      </c>
      <c r="I3740" s="6">
        <v>15773</v>
      </c>
      <c r="J3740" s="6">
        <f>VLOOKUP(Table1[[#This Row],[Province]],[1]Sheet1!$A$3:$K$37,11,FALSE)</f>
        <v>1319300</v>
      </c>
      <c r="K3740">
        <v>0</v>
      </c>
      <c r="L3740" s="4">
        <v>1.570999</v>
      </c>
      <c r="M3740" s="4">
        <v>127.808769</v>
      </c>
      <c r="N3740" s="13">
        <v>5.77</v>
      </c>
      <c r="P3740"/>
      <c r="Q3740" s="12"/>
      <c r="R3740" s="12"/>
    </row>
    <row r="3741" spans="1:18" x14ac:dyDescent="0.2">
      <c r="A3741">
        <v>32</v>
      </c>
      <c r="B3741" t="s">
        <v>20</v>
      </c>
      <c r="C3741">
        <v>2016</v>
      </c>
      <c r="D3741">
        <v>12</v>
      </c>
      <c r="E3741" s="4">
        <v>0</v>
      </c>
      <c r="F3741" s="9">
        <v>0</v>
      </c>
      <c r="G3741" s="6">
        <v>552</v>
      </c>
      <c r="H3741" s="9">
        <f t="shared" si="58"/>
        <v>0</v>
      </c>
      <c r="I3741" s="6">
        <v>15738</v>
      </c>
      <c r="J3741" s="6">
        <f>VLOOKUP(Table1[[#This Row],[Province]],[1]Sheet1!$A$3:$K$37,11,FALSE)</f>
        <v>1319300</v>
      </c>
      <c r="K3741">
        <v>1</v>
      </c>
      <c r="L3741" s="4">
        <v>1.570999</v>
      </c>
      <c r="M3741" s="4">
        <v>127.808769</v>
      </c>
      <c r="N3741" s="13">
        <v>5.77</v>
      </c>
      <c r="P3741"/>
      <c r="Q3741" s="12"/>
      <c r="R3741" s="12"/>
    </row>
    <row r="3742" spans="1:18" x14ac:dyDescent="0.2">
      <c r="A3742">
        <v>32</v>
      </c>
      <c r="B3742" t="s">
        <v>20</v>
      </c>
      <c r="C3742">
        <v>2017</v>
      </c>
      <c r="D3742">
        <v>1</v>
      </c>
      <c r="E3742" s="4">
        <v>0</v>
      </c>
      <c r="F3742" s="9">
        <v>0</v>
      </c>
      <c r="G3742" s="6">
        <v>1093</v>
      </c>
      <c r="H3742" s="9">
        <f t="shared" si="58"/>
        <v>0</v>
      </c>
      <c r="I3742" s="6">
        <v>15699</v>
      </c>
      <c r="J3742" s="6">
        <f>VLOOKUP(Table1[[#This Row],[Province]],[1]Sheet1!$A$3:$K$37,11,FALSE)</f>
        <v>1319300</v>
      </c>
      <c r="K3742">
        <v>0</v>
      </c>
      <c r="L3742" s="4">
        <v>1.570999</v>
      </c>
      <c r="M3742" s="4">
        <v>127.808769</v>
      </c>
      <c r="N3742" s="13">
        <v>7.67</v>
      </c>
      <c r="P3742"/>
      <c r="Q3742" s="12"/>
      <c r="R3742" s="12"/>
    </row>
    <row r="3743" spans="1:18" x14ac:dyDescent="0.2">
      <c r="A3743">
        <v>32</v>
      </c>
      <c r="B3743" t="s">
        <v>20</v>
      </c>
      <c r="C3743">
        <v>2017</v>
      </c>
      <c r="D3743">
        <v>2</v>
      </c>
      <c r="E3743" s="4">
        <v>0</v>
      </c>
      <c r="F3743" s="9">
        <v>0</v>
      </c>
      <c r="G3743" s="6">
        <v>628</v>
      </c>
      <c r="H3743" s="9">
        <f t="shared" si="58"/>
        <v>0</v>
      </c>
      <c r="I3743" s="6">
        <v>15667</v>
      </c>
      <c r="J3743" s="6">
        <f>VLOOKUP(Table1[[#This Row],[Province]],[1]Sheet1!$A$3:$K$37,11,FALSE)</f>
        <v>1319300</v>
      </c>
      <c r="K3743">
        <v>0</v>
      </c>
      <c r="L3743" s="4">
        <v>1.570999</v>
      </c>
      <c r="M3743" s="4">
        <v>127.808769</v>
      </c>
      <c r="N3743" s="13">
        <v>7.67</v>
      </c>
      <c r="P3743"/>
      <c r="Q3743" s="12"/>
      <c r="R3743" s="12"/>
    </row>
    <row r="3744" spans="1:18" x14ac:dyDescent="0.2">
      <c r="A3744">
        <v>32</v>
      </c>
      <c r="B3744" t="s">
        <v>20</v>
      </c>
      <c r="C3744">
        <v>2017</v>
      </c>
      <c r="D3744">
        <v>3</v>
      </c>
      <c r="E3744" s="4">
        <v>0</v>
      </c>
      <c r="F3744" s="9">
        <v>0</v>
      </c>
      <c r="G3744" s="6">
        <v>491</v>
      </c>
      <c r="H3744" s="9">
        <f t="shared" si="58"/>
        <v>0</v>
      </c>
      <c r="I3744" s="6">
        <v>15667</v>
      </c>
      <c r="J3744" s="6">
        <f>VLOOKUP(Table1[[#This Row],[Province]],[1]Sheet1!$A$3:$K$37,11,FALSE)</f>
        <v>1319300</v>
      </c>
      <c r="K3744">
        <v>0</v>
      </c>
      <c r="L3744" s="4">
        <v>1.570999</v>
      </c>
      <c r="M3744" s="4">
        <v>127.808769</v>
      </c>
      <c r="N3744" s="13">
        <v>7.67</v>
      </c>
      <c r="P3744"/>
      <c r="Q3744" s="12"/>
      <c r="R3744" s="12"/>
    </row>
    <row r="3745" spans="1:18" x14ac:dyDescent="0.2">
      <c r="A3745">
        <v>32</v>
      </c>
      <c r="B3745" t="s">
        <v>20</v>
      </c>
      <c r="C3745">
        <v>2017</v>
      </c>
      <c r="D3745">
        <v>4</v>
      </c>
      <c r="E3745" s="4">
        <v>0</v>
      </c>
      <c r="F3745" s="9">
        <v>0</v>
      </c>
      <c r="G3745" s="6">
        <v>351</v>
      </c>
      <c r="H3745" s="9">
        <f t="shared" si="58"/>
        <v>0</v>
      </c>
      <c r="I3745" s="6">
        <v>15059</v>
      </c>
      <c r="J3745" s="6">
        <f>VLOOKUP(Table1[[#This Row],[Province]],[1]Sheet1!$A$3:$K$37,11,FALSE)</f>
        <v>1319300</v>
      </c>
      <c r="K3745">
        <v>0</v>
      </c>
      <c r="L3745" s="4">
        <v>1.570999</v>
      </c>
      <c r="M3745" s="4">
        <v>127.808769</v>
      </c>
      <c r="N3745" s="13">
        <v>7.67</v>
      </c>
      <c r="P3745"/>
      <c r="Q3745" s="12"/>
      <c r="R3745" s="12"/>
    </row>
    <row r="3746" spans="1:18" x14ac:dyDescent="0.2">
      <c r="A3746">
        <v>32</v>
      </c>
      <c r="B3746" t="s">
        <v>20</v>
      </c>
      <c r="C3746">
        <v>2017</v>
      </c>
      <c r="D3746">
        <v>5</v>
      </c>
      <c r="E3746" s="4">
        <v>0</v>
      </c>
      <c r="F3746" s="9">
        <v>0</v>
      </c>
      <c r="G3746" s="6">
        <v>338</v>
      </c>
      <c r="H3746" s="9">
        <f t="shared" si="58"/>
        <v>0</v>
      </c>
      <c r="I3746" s="6">
        <v>14800</v>
      </c>
      <c r="J3746" s="6">
        <f>VLOOKUP(Table1[[#This Row],[Province]],[1]Sheet1!$A$3:$K$37,11,FALSE)</f>
        <v>1319300</v>
      </c>
      <c r="K3746">
        <v>1</v>
      </c>
      <c r="L3746" s="4">
        <v>1.570999</v>
      </c>
      <c r="M3746" s="4">
        <v>127.808769</v>
      </c>
      <c r="N3746" s="13">
        <v>7.67</v>
      </c>
      <c r="P3746"/>
      <c r="Q3746" s="12"/>
      <c r="R3746" s="12"/>
    </row>
    <row r="3747" spans="1:18" x14ac:dyDescent="0.2">
      <c r="A3747">
        <v>32</v>
      </c>
      <c r="B3747" t="s">
        <v>20</v>
      </c>
      <c r="C3747">
        <v>2017</v>
      </c>
      <c r="D3747">
        <v>6</v>
      </c>
      <c r="E3747" s="4">
        <v>0</v>
      </c>
      <c r="F3747" s="9">
        <v>0</v>
      </c>
      <c r="G3747" s="6">
        <v>625</v>
      </c>
      <c r="H3747" s="9">
        <f t="shared" si="58"/>
        <v>0</v>
      </c>
      <c r="I3747" s="6">
        <v>14667</v>
      </c>
      <c r="J3747" s="6">
        <f>VLOOKUP(Table1[[#This Row],[Province]],[1]Sheet1!$A$3:$K$37,11,FALSE)</f>
        <v>1319300</v>
      </c>
      <c r="K3747">
        <v>0</v>
      </c>
      <c r="L3747" s="4">
        <v>1.570999</v>
      </c>
      <c r="M3747" s="4">
        <v>127.808769</v>
      </c>
      <c r="N3747" s="13">
        <v>7.67</v>
      </c>
      <c r="P3747"/>
      <c r="Q3747" s="12"/>
      <c r="R3747" s="12"/>
    </row>
    <row r="3748" spans="1:18" x14ac:dyDescent="0.2">
      <c r="A3748">
        <v>32</v>
      </c>
      <c r="B3748" t="s">
        <v>20</v>
      </c>
      <c r="C3748">
        <v>2017</v>
      </c>
      <c r="D3748">
        <v>7</v>
      </c>
      <c r="E3748" s="4">
        <v>0</v>
      </c>
      <c r="F3748" s="9">
        <v>0</v>
      </c>
      <c r="G3748" s="6">
        <v>695</v>
      </c>
      <c r="H3748" s="9">
        <f t="shared" si="58"/>
        <v>0</v>
      </c>
      <c r="I3748" s="6">
        <v>14651</v>
      </c>
      <c r="J3748" s="6">
        <f>VLOOKUP(Table1[[#This Row],[Province]],[1]Sheet1!$A$3:$K$37,11,FALSE)</f>
        <v>1319300</v>
      </c>
      <c r="K3748">
        <v>0</v>
      </c>
      <c r="L3748" s="4">
        <v>1.570999</v>
      </c>
      <c r="M3748" s="4">
        <v>127.808769</v>
      </c>
      <c r="N3748" s="13">
        <v>7.67</v>
      </c>
      <c r="P3748"/>
      <c r="Q3748" s="12"/>
      <c r="R3748" s="12"/>
    </row>
    <row r="3749" spans="1:18" x14ac:dyDescent="0.2">
      <c r="A3749">
        <v>32</v>
      </c>
      <c r="B3749" t="s">
        <v>20</v>
      </c>
      <c r="C3749">
        <v>2017</v>
      </c>
      <c r="D3749">
        <v>8</v>
      </c>
      <c r="E3749" s="4">
        <v>0</v>
      </c>
      <c r="F3749" s="9">
        <v>0</v>
      </c>
      <c r="G3749" s="6">
        <v>1333</v>
      </c>
      <c r="H3749" s="9">
        <f t="shared" si="58"/>
        <v>0</v>
      </c>
      <c r="I3749" s="6">
        <v>14621</v>
      </c>
      <c r="J3749" s="6">
        <f>VLOOKUP(Table1[[#This Row],[Province]],[1]Sheet1!$A$3:$K$37,11,FALSE)</f>
        <v>1319300</v>
      </c>
      <c r="K3749">
        <v>0</v>
      </c>
      <c r="L3749" s="4">
        <v>1.570999</v>
      </c>
      <c r="M3749" s="4">
        <v>127.808769</v>
      </c>
      <c r="N3749" s="13">
        <v>7.67</v>
      </c>
      <c r="P3749"/>
      <c r="Q3749" s="12"/>
      <c r="R3749" s="12"/>
    </row>
    <row r="3750" spans="1:18" x14ac:dyDescent="0.2">
      <c r="A3750">
        <v>32</v>
      </c>
      <c r="B3750" t="s">
        <v>20</v>
      </c>
      <c r="C3750">
        <v>2017</v>
      </c>
      <c r="D3750">
        <v>9</v>
      </c>
      <c r="E3750" s="4">
        <v>0</v>
      </c>
      <c r="F3750" s="9">
        <v>0</v>
      </c>
      <c r="G3750" s="6">
        <v>1292</v>
      </c>
      <c r="H3750" s="9">
        <f t="shared" si="58"/>
        <v>0</v>
      </c>
      <c r="I3750" s="6">
        <v>14686</v>
      </c>
      <c r="J3750" s="6">
        <f>VLOOKUP(Table1[[#This Row],[Province]],[1]Sheet1!$A$3:$K$37,11,FALSE)</f>
        <v>1319300</v>
      </c>
      <c r="K3750">
        <v>0</v>
      </c>
      <c r="L3750" s="4">
        <v>1.570999</v>
      </c>
      <c r="M3750" s="4">
        <v>127.808769</v>
      </c>
      <c r="N3750" s="13">
        <v>7.67</v>
      </c>
      <c r="P3750"/>
      <c r="Q3750" s="12"/>
      <c r="R3750" s="12"/>
    </row>
    <row r="3751" spans="1:18" x14ac:dyDescent="0.2">
      <c r="A3751">
        <v>32</v>
      </c>
      <c r="B3751" t="s">
        <v>20</v>
      </c>
      <c r="C3751">
        <v>2017</v>
      </c>
      <c r="D3751">
        <v>10</v>
      </c>
      <c r="E3751" s="4">
        <v>0</v>
      </c>
      <c r="F3751" s="9">
        <v>0</v>
      </c>
      <c r="G3751" s="6">
        <v>1677</v>
      </c>
      <c r="H3751" s="9">
        <f t="shared" si="58"/>
        <v>0</v>
      </c>
      <c r="I3751" s="6">
        <v>14667</v>
      </c>
      <c r="J3751" s="6">
        <f>VLOOKUP(Table1[[#This Row],[Province]],[1]Sheet1!$A$3:$K$37,11,FALSE)</f>
        <v>1319300</v>
      </c>
      <c r="K3751">
        <v>0</v>
      </c>
      <c r="L3751" s="4">
        <v>1.570999</v>
      </c>
      <c r="M3751" s="4">
        <v>127.808769</v>
      </c>
      <c r="N3751" s="13">
        <v>7.67</v>
      </c>
      <c r="P3751"/>
      <c r="Q3751" s="12"/>
      <c r="R3751" s="12"/>
    </row>
    <row r="3752" spans="1:18" x14ac:dyDescent="0.2">
      <c r="A3752">
        <v>32</v>
      </c>
      <c r="B3752" t="s">
        <v>20</v>
      </c>
      <c r="C3752">
        <v>2017</v>
      </c>
      <c r="D3752">
        <v>11</v>
      </c>
      <c r="E3752" s="4">
        <v>0</v>
      </c>
      <c r="F3752" s="9">
        <v>0</v>
      </c>
      <c r="G3752" s="6">
        <v>438</v>
      </c>
      <c r="H3752" s="9">
        <f t="shared" si="58"/>
        <v>0</v>
      </c>
      <c r="I3752" s="6">
        <v>14667</v>
      </c>
      <c r="J3752" s="6">
        <f>VLOOKUP(Table1[[#This Row],[Province]],[1]Sheet1!$A$3:$K$37,11,FALSE)</f>
        <v>1319300</v>
      </c>
      <c r="K3752">
        <v>0</v>
      </c>
      <c r="L3752" s="4">
        <v>1.570999</v>
      </c>
      <c r="M3752" s="4">
        <v>127.808769</v>
      </c>
      <c r="N3752" s="13">
        <v>7.67</v>
      </c>
      <c r="P3752"/>
      <c r="Q3752" s="12"/>
      <c r="R3752" s="12"/>
    </row>
    <row r="3753" spans="1:18" x14ac:dyDescent="0.2">
      <c r="A3753">
        <v>32</v>
      </c>
      <c r="B3753" t="s">
        <v>20</v>
      </c>
      <c r="C3753">
        <v>2017</v>
      </c>
      <c r="D3753">
        <v>12</v>
      </c>
      <c r="E3753" s="4">
        <v>0</v>
      </c>
      <c r="F3753" s="9">
        <v>0</v>
      </c>
      <c r="G3753" s="6">
        <v>816</v>
      </c>
      <c r="H3753" s="9">
        <f t="shared" si="58"/>
        <v>0</v>
      </c>
      <c r="I3753" s="6">
        <v>14667</v>
      </c>
      <c r="J3753" s="6">
        <f>VLOOKUP(Table1[[#This Row],[Province]],[1]Sheet1!$A$3:$K$37,11,FALSE)</f>
        <v>1319300</v>
      </c>
      <c r="K3753">
        <v>1</v>
      </c>
      <c r="L3753" s="4">
        <v>1.570999</v>
      </c>
      <c r="M3753" s="4">
        <v>127.808769</v>
      </c>
      <c r="N3753" s="13">
        <v>7.67</v>
      </c>
      <c r="P3753"/>
      <c r="Q3753" s="12"/>
      <c r="R3753" s="12"/>
    </row>
    <row r="3754" spans="1:18" x14ac:dyDescent="0.2">
      <c r="A3754">
        <v>32</v>
      </c>
      <c r="B3754" t="s">
        <v>20</v>
      </c>
      <c r="C3754">
        <v>2018</v>
      </c>
      <c r="D3754">
        <v>1</v>
      </c>
      <c r="E3754" s="4">
        <v>0</v>
      </c>
      <c r="F3754" s="9">
        <v>0</v>
      </c>
      <c r="G3754" s="6">
        <v>1400</v>
      </c>
      <c r="H3754" s="9">
        <f t="shared" si="58"/>
        <v>0</v>
      </c>
      <c r="I3754" s="6">
        <v>14080</v>
      </c>
      <c r="J3754" s="6">
        <f>VLOOKUP(Table1[[#This Row],[Province]],[1]Sheet1!$A$3:$K$37,11,FALSE)</f>
        <v>1319300</v>
      </c>
      <c r="K3754">
        <v>0</v>
      </c>
      <c r="L3754" s="4">
        <v>1.570999</v>
      </c>
      <c r="M3754" s="4">
        <v>127.808769</v>
      </c>
      <c r="N3754" s="13">
        <v>7.86</v>
      </c>
      <c r="P3754"/>
      <c r="Q3754" s="12"/>
      <c r="R3754" s="12"/>
    </row>
    <row r="3755" spans="1:18" x14ac:dyDescent="0.2">
      <c r="A3755">
        <v>32</v>
      </c>
      <c r="B3755" t="s">
        <v>20</v>
      </c>
      <c r="C3755">
        <v>2018</v>
      </c>
      <c r="D3755">
        <v>2</v>
      </c>
      <c r="E3755" s="4">
        <v>0</v>
      </c>
      <c r="F3755" s="9">
        <v>0</v>
      </c>
      <c r="G3755" s="6">
        <v>1549</v>
      </c>
      <c r="H3755" s="9">
        <f t="shared" si="58"/>
        <v>0</v>
      </c>
      <c r="I3755" s="6">
        <v>13263</v>
      </c>
      <c r="J3755" s="6">
        <f>VLOOKUP(Table1[[#This Row],[Province]],[1]Sheet1!$A$3:$K$37,11,FALSE)</f>
        <v>1319300</v>
      </c>
      <c r="K3755">
        <v>0</v>
      </c>
      <c r="L3755" s="4">
        <v>1.570999</v>
      </c>
      <c r="M3755" s="4">
        <v>127.808769</v>
      </c>
      <c r="N3755" s="13">
        <v>7.86</v>
      </c>
      <c r="P3755"/>
      <c r="Q3755" s="12"/>
      <c r="R3755" s="12"/>
    </row>
    <row r="3756" spans="1:18" x14ac:dyDescent="0.2">
      <c r="A3756">
        <v>32</v>
      </c>
      <c r="B3756" t="s">
        <v>20</v>
      </c>
      <c r="C3756">
        <v>2018</v>
      </c>
      <c r="D3756">
        <v>3</v>
      </c>
      <c r="E3756" s="4">
        <v>0</v>
      </c>
      <c r="F3756" s="9">
        <v>0</v>
      </c>
      <c r="G3756" s="6">
        <v>1009</v>
      </c>
      <c r="H3756" s="9">
        <f t="shared" si="58"/>
        <v>0</v>
      </c>
      <c r="I3756" s="6">
        <v>13536</v>
      </c>
      <c r="J3756" s="6">
        <f>VLOOKUP(Table1[[#This Row],[Province]],[1]Sheet1!$A$3:$K$37,11,FALSE)</f>
        <v>1319300</v>
      </c>
      <c r="K3756">
        <v>0</v>
      </c>
      <c r="L3756" s="4">
        <v>1.570999</v>
      </c>
      <c r="M3756" s="4">
        <v>127.808769</v>
      </c>
      <c r="N3756" s="13">
        <v>7.86</v>
      </c>
      <c r="P3756"/>
      <c r="Q3756" s="12"/>
      <c r="R3756" s="12"/>
    </row>
    <row r="3757" spans="1:18" x14ac:dyDescent="0.2">
      <c r="A3757">
        <v>32</v>
      </c>
      <c r="B3757" t="s">
        <v>20</v>
      </c>
      <c r="C3757">
        <v>2018</v>
      </c>
      <c r="D3757">
        <v>4</v>
      </c>
      <c r="E3757" s="4">
        <v>0</v>
      </c>
      <c r="F3757" s="9">
        <v>0</v>
      </c>
      <c r="G3757" s="6">
        <v>1403</v>
      </c>
      <c r="H3757" s="9">
        <f t="shared" si="58"/>
        <v>0</v>
      </c>
      <c r="I3757" s="6">
        <v>14143</v>
      </c>
      <c r="J3757" s="6">
        <f>VLOOKUP(Table1[[#This Row],[Province]],[1]Sheet1!$A$3:$K$37,11,FALSE)</f>
        <v>1319300</v>
      </c>
      <c r="K3757">
        <v>0</v>
      </c>
      <c r="L3757" s="4">
        <v>1.570999</v>
      </c>
      <c r="M3757" s="4">
        <v>127.808769</v>
      </c>
      <c r="N3757" s="13">
        <v>7.86</v>
      </c>
      <c r="P3757"/>
      <c r="Q3757" s="12"/>
      <c r="R3757" s="12"/>
    </row>
    <row r="3758" spans="1:18" x14ac:dyDescent="0.2">
      <c r="A3758">
        <v>32</v>
      </c>
      <c r="B3758" t="s">
        <v>20</v>
      </c>
      <c r="C3758">
        <v>2018</v>
      </c>
      <c r="D3758">
        <v>5</v>
      </c>
      <c r="E3758" s="4">
        <v>0</v>
      </c>
      <c r="F3758" s="9">
        <v>0</v>
      </c>
      <c r="G3758" s="6">
        <v>1127</v>
      </c>
      <c r="H3758" s="9">
        <f t="shared" si="58"/>
        <v>0</v>
      </c>
      <c r="I3758" s="6">
        <v>13313</v>
      </c>
      <c r="J3758" s="6">
        <f>VLOOKUP(Table1[[#This Row],[Province]],[1]Sheet1!$A$3:$K$37,11,FALSE)</f>
        <v>1319300</v>
      </c>
      <c r="K3758">
        <v>1</v>
      </c>
      <c r="L3758" s="4">
        <v>1.570999</v>
      </c>
      <c r="M3758" s="4">
        <v>127.808769</v>
      </c>
      <c r="N3758" s="13">
        <v>7.86</v>
      </c>
      <c r="P3758"/>
      <c r="Q3758" s="12"/>
      <c r="R3758" s="12"/>
    </row>
    <row r="3759" spans="1:18" x14ac:dyDescent="0.2">
      <c r="A3759">
        <v>32</v>
      </c>
      <c r="B3759" t="s">
        <v>20</v>
      </c>
      <c r="C3759">
        <v>2018</v>
      </c>
      <c r="D3759">
        <v>6</v>
      </c>
      <c r="E3759" s="4">
        <v>0</v>
      </c>
      <c r="F3759" s="9">
        <v>0</v>
      </c>
      <c r="G3759" s="6">
        <v>1323</v>
      </c>
      <c r="H3759" s="9">
        <f t="shared" si="58"/>
        <v>0</v>
      </c>
      <c r="I3759" s="6">
        <v>12025</v>
      </c>
      <c r="J3759" s="6">
        <f>VLOOKUP(Table1[[#This Row],[Province]],[1]Sheet1!$A$3:$K$37,11,FALSE)</f>
        <v>1319300</v>
      </c>
      <c r="K3759">
        <v>0</v>
      </c>
      <c r="L3759" s="4">
        <v>1.570999</v>
      </c>
      <c r="M3759" s="4">
        <v>127.808769</v>
      </c>
      <c r="N3759" s="13">
        <v>7.86</v>
      </c>
      <c r="P3759"/>
      <c r="Q3759" s="12"/>
      <c r="R3759" s="12"/>
    </row>
    <row r="3760" spans="1:18" x14ac:dyDescent="0.2">
      <c r="A3760">
        <v>32</v>
      </c>
      <c r="B3760" t="s">
        <v>20</v>
      </c>
      <c r="C3760">
        <v>2018</v>
      </c>
      <c r="D3760">
        <v>7</v>
      </c>
      <c r="E3760" s="4">
        <v>0</v>
      </c>
      <c r="F3760" s="9">
        <v>0</v>
      </c>
      <c r="G3760" s="6">
        <v>1077</v>
      </c>
      <c r="H3760" s="9">
        <f t="shared" si="58"/>
        <v>0</v>
      </c>
      <c r="I3760" s="6">
        <v>13000</v>
      </c>
      <c r="J3760" s="6">
        <f>VLOOKUP(Table1[[#This Row],[Province]],[1]Sheet1!$A$3:$K$37,11,FALSE)</f>
        <v>1319300</v>
      </c>
      <c r="K3760">
        <v>0</v>
      </c>
      <c r="L3760" s="4">
        <v>1.570999</v>
      </c>
      <c r="M3760" s="4">
        <v>127.808769</v>
      </c>
      <c r="N3760" s="13">
        <v>7.86</v>
      </c>
      <c r="P3760"/>
      <c r="Q3760" s="12"/>
      <c r="R3760" s="12"/>
    </row>
    <row r="3761" spans="1:18" x14ac:dyDescent="0.2">
      <c r="A3761">
        <v>32</v>
      </c>
      <c r="B3761" t="s">
        <v>20</v>
      </c>
      <c r="C3761">
        <v>2018</v>
      </c>
      <c r="D3761">
        <v>8</v>
      </c>
      <c r="E3761" s="4">
        <v>0</v>
      </c>
      <c r="F3761" s="9">
        <v>0</v>
      </c>
      <c r="G3761" s="6">
        <v>1099</v>
      </c>
      <c r="H3761" s="9">
        <f t="shared" si="58"/>
        <v>0</v>
      </c>
      <c r="I3761" s="6">
        <v>13000</v>
      </c>
      <c r="J3761" s="6">
        <f>VLOOKUP(Table1[[#This Row],[Province]],[1]Sheet1!$A$3:$K$37,11,FALSE)</f>
        <v>1319300</v>
      </c>
      <c r="K3761">
        <v>0</v>
      </c>
      <c r="L3761" s="4">
        <v>1.570999</v>
      </c>
      <c r="M3761" s="4">
        <v>127.808769</v>
      </c>
      <c r="N3761" s="13">
        <v>7.86</v>
      </c>
      <c r="P3761"/>
      <c r="Q3761" s="12"/>
      <c r="R3761" s="12"/>
    </row>
    <row r="3762" spans="1:18" x14ac:dyDescent="0.2">
      <c r="A3762">
        <v>32</v>
      </c>
      <c r="B3762" t="s">
        <v>20</v>
      </c>
      <c r="C3762">
        <v>2018</v>
      </c>
      <c r="D3762">
        <v>9</v>
      </c>
      <c r="E3762" s="4">
        <v>0</v>
      </c>
      <c r="F3762" s="9">
        <v>0</v>
      </c>
      <c r="G3762" s="6">
        <v>1272</v>
      </c>
      <c r="H3762" s="9">
        <f t="shared" si="58"/>
        <v>0</v>
      </c>
      <c r="I3762" s="6">
        <v>13000</v>
      </c>
      <c r="J3762" s="6">
        <f>VLOOKUP(Table1[[#This Row],[Province]],[1]Sheet1!$A$3:$K$37,11,FALSE)</f>
        <v>1319300</v>
      </c>
      <c r="K3762">
        <v>0</v>
      </c>
      <c r="L3762" s="4">
        <v>1.570999</v>
      </c>
      <c r="M3762" s="4">
        <v>127.808769</v>
      </c>
      <c r="N3762" s="13">
        <v>7.86</v>
      </c>
      <c r="P3762"/>
      <c r="Q3762" s="12"/>
      <c r="R3762" s="12"/>
    </row>
    <row r="3763" spans="1:18" x14ac:dyDescent="0.2">
      <c r="A3763">
        <v>32</v>
      </c>
      <c r="B3763" t="s">
        <v>20</v>
      </c>
      <c r="C3763">
        <v>2018</v>
      </c>
      <c r="D3763">
        <v>10</v>
      </c>
      <c r="E3763" s="4">
        <v>0</v>
      </c>
      <c r="F3763" s="9">
        <v>0</v>
      </c>
      <c r="G3763" s="6">
        <v>1207</v>
      </c>
      <c r="H3763" s="9">
        <f t="shared" si="58"/>
        <v>0</v>
      </c>
      <c r="I3763" s="6">
        <v>13000</v>
      </c>
      <c r="J3763" s="6">
        <f>VLOOKUP(Table1[[#This Row],[Province]],[1]Sheet1!$A$3:$K$37,11,FALSE)</f>
        <v>1319300</v>
      </c>
      <c r="K3763">
        <v>0</v>
      </c>
      <c r="L3763" s="4">
        <v>1.570999</v>
      </c>
      <c r="M3763" s="4">
        <v>127.808769</v>
      </c>
      <c r="N3763" s="13">
        <v>7.86</v>
      </c>
      <c r="P3763"/>
      <c r="Q3763" s="12"/>
      <c r="R3763" s="12"/>
    </row>
    <row r="3764" spans="1:18" x14ac:dyDescent="0.2">
      <c r="A3764">
        <v>32</v>
      </c>
      <c r="B3764" t="s">
        <v>20</v>
      </c>
      <c r="C3764">
        <v>2018</v>
      </c>
      <c r="D3764">
        <v>11</v>
      </c>
      <c r="E3764" s="4">
        <v>0</v>
      </c>
      <c r="F3764" s="9">
        <v>0</v>
      </c>
      <c r="G3764" s="6">
        <v>1909</v>
      </c>
      <c r="H3764" s="9">
        <f t="shared" si="58"/>
        <v>0</v>
      </c>
      <c r="I3764" s="6">
        <v>12688</v>
      </c>
      <c r="J3764" s="6">
        <f>VLOOKUP(Table1[[#This Row],[Province]],[1]Sheet1!$A$3:$K$37,11,FALSE)</f>
        <v>1319300</v>
      </c>
      <c r="K3764">
        <v>0</v>
      </c>
      <c r="L3764" s="4">
        <v>1.570999</v>
      </c>
      <c r="M3764" s="4">
        <v>127.808769</v>
      </c>
      <c r="N3764" s="13">
        <v>7.86</v>
      </c>
      <c r="P3764"/>
      <c r="Q3764" s="12"/>
      <c r="R3764" s="12"/>
    </row>
    <row r="3765" spans="1:18" x14ac:dyDescent="0.2">
      <c r="A3765">
        <v>32</v>
      </c>
      <c r="B3765" t="s">
        <v>20</v>
      </c>
      <c r="C3765">
        <v>2018</v>
      </c>
      <c r="D3765">
        <v>12</v>
      </c>
      <c r="E3765" s="4">
        <v>0</v>
      </c>
      <c r="F3765" s="9">
        <v>0</v>
      </c>
      <c r="G3765" s="6">
        <v>772</v>
      </c>
      <c r="H3765" s="9">
        <f t="shared" si="58"/>
        <v>0</v>
      </c>
      <c r="I3765" s="6">
        <v>12313</v>
      </c>
      <c r="J3765" s="6">
        <f>VLOOKUP(Table1[[#This Row],[Province]],[1]Sheet1!$A$3:$K$37,11,FALSE)</f>
        <v>1319300</v>
      </c>
      <c r="K3765">
        <v>1</v>
      </c>
      <c r="L3765" s="4">
        <v>1.570999</v>
      </c>
      <c r="M3765" s="4">
        <v>127.808769</v>
      </c>
      <c r="N3765" s="13">
        <v>7.86</v>
      </c>
      <c r="P3765"/>
      <c r="Q3765" s="12"/>
      <c r="R3765" s="12"/>
    </row>
    <row r="3766" spans="1:18" x14ac:dyDescent="0.2">
      <c r="A3766">
        <v>32</v>
      </c>
      <c r="B3766" t="s">
        <v>20</v>
      </c>
      <c r="C3766">
        <v>2019</v>
      </c>
      <c r="D3766">
        <v>1</v>
      </c>
      <c r="E3766" s="4">
        <v>0</v>
      </c>
      <c r="F3766" s="9">
        <v>0</v>
      </c>
      <c r="G3766" s="6">
        <v>1156</v>
      </c>
      <c r="H3766" s="9">
        <f t="shared" si="58"/>
        <v>0</v>
      </c>
      <c r="I3766" s="6">
        <v>12143</v>
      </c>
      <c r="J3766" s="6">
        <f>VLOOKUP(Table1[[#This Row],[Province]],[1]Sheet1!$A$3:$K$37,11,FALSE)</f>
        <v>1319300</v>
      </c>
      <c r="K3766">
        <v>0</v>
      </c>
      <c r="L3766" s="4">
        <v>1.570999</v>
      </c>
      <c r="M3766" s="4">
        <v>127.808769</v>
      </c>
      <c r="N3766" s="13">
        <v>6.25</v>
      </c>
      <c r="P3766"/>
      <c r="Q3766" s="12"/>
      <c r="R3766" s="12"/>
    </row>
    <row r="3767" spans="1:18" x14ac:dyDescent="0.2">
      <c r="A3767">
        <v>32</v>
      </c>
      <c r="B3767" t="s">
        <v>20</v>
      </c>
      <c r="C3767">
        <v>2019</v>
      </c>
      <c r="D3767">
        <v>2</v>
      </c>
      <c r="E3767" s="4">
        <v>0</v>
      </c>
      <c r="F3767" s="9">
        <v>0</v>
      </c>
      <c r="G3767" s="6">
        <v>1347</v>
      </c>
      <c r="H3767" s="9">
        <f t="shared" si="58"/>
        <v>0</v>
      </c>
      <c r="I3767" s="6">
        <v>12000</v>
      </c>
      <c r="J3767" s="6">
        <f>VLOOKUP(Table1[[#This Row],[Province]],[1]Sheet1!$A$3:$K$37,11,FALSE)</f>
        <v>1319300</v>
      </c>
      <c r="K3767">
        <v>0</v>
      </c>
      <c r="L3767" s="4">
        <v>1.570999</v>
      </c>
      <c r="M3767" s="4">
        <v>127.808769</v>
      </c>
      <c r="N3767" s="13">
        <v>6.25</v>
      </c>
      <c r="P3767"/>
      <c r="Q3767" s="12"/>
      <c r="R3767" s="12"/>
    </row>
    <row r="3768" spans="1:18" x14ac:dyDescent="0.2">
      <c r="A3768">
        <v>32</v>
      </c>
      <c r="B3768" t="s">
        <v>20</v>
      </c>
      <c r="C3768">
        <v>2019</v>
      </c>
      <c r="D3768">
        <v>3</v>
      </c>
      <c r="E3768" s="4">
        <v>0</v>
      </c>
      <c r="F3768" s="9">
        <v>0</v>
      </c>
      <c r="G3768" s="6">
        <v>1179</v>
      </c>
      <c r="H3768" s="9">
        <f t="shared" si="58"/>
        <v>0</v>
      </c>
      <c r="I3768" s="6">
        <v>12291</v>
      </c>
      <c r="J3768" s="6">
        <f>VLOOKUP(Table1[[#This Row],[Province]],[1]Sheet1!$A$3:$K$37,11,FALSE)</f>
        <v>1319300</v>
      </c>
      <c r="K3768">
        <v>0</v>
      </c>
      <c r="L3768" s="4">
        <v>1.570999</v>
      </c>
      <c r="M3768" s="4">
        <v>127.808769</v>
      </c>
      <c r="N3768" s="13">
        <v>6.25</v>
      </c>
      <c r="P3768"/>
      <c r="Q3768" s="12"/>
      <c r="R3768" s="12"/>
    </row>
    <row r="3769" spans="1:18" x14ac:dyDescent="0.2">
      <c r="A3769">
        <v>32</v>
      </c>
      <c r="B3769" t="s">
        <v>20</v>
      </c>
      <c r="C3769">
        <v>2019</v>
      </c>
      <c r="D3769">
        <v>4</v>
      </c>
      <c r="E3769" s="4">
        <v>0</v>
      </c>
      <c r="F3769" s="9">
        <v>0</v>
      </c>
      <c r="G3769" s="6">
        <v>1531</v>
      </c>
      <c r="H3769" s="9">
        <f t="shared" si="58"/>
        <v>0</v>
      </c>
      <c r="I3769" s="6">
        <v>12250</v>
      </c>
      <c r="J3769" s="6">
        <f>VLOOKUP(Table1[[#This Row],[Province]],[1]Sheet1!$A$3:$K$37,11,FALSE)</f>
        <v>1319300</v>
      </c>
      <c r="K3769">
        <v>0</v>
      </c>
      <c r="L3769" s="4">
        <v>1.570999</v>
      </c>
      <c r="M3769" s="4">
        <v>127.808769</v>
      </c>
      <c r="N3769" s="13">
        <v>6.25</v>
      </c>
      <c r="P3769"/>
      <c r="Q3769" s="12"/>
      <c r="R3769" s="12"/>
    </row>
    <row r="3770" spans="1:18" x14ac:dyDescent="0.2">
      <c r="A3770">
        <v>32</v>
      </c>
      <c r="B3770" t="s">
        <v>20</v>
      </c>
      <c r="C3770">
        <v>2019</v>
      </c>
      <c r="D3770">
        <v>5</v>
      </c>
      <c r="E3770" s="4">
        <v>0</v>
      </c>
      <c r="F3770" s="9">
        <v>0</v>
      </c>
      <c r="G3770" s="6">
        <v>1616</v>
      </c>
      <c r="H3770" s="9">
        <f t="shared" si="58"/>
        <v>0</v>
      </c>
      <c r="I3770" s="6">
        <v>12089</v>
      </c>
      <c r="J3770" s="6">
        <f>VLOOKUP(Table1[[#This Row],[Province]],[1]Sheet1!$A$3:$K$37,11,FALSE)</f>
        <v>1319300</v>
      </c>
      <c r="K3770">
        <v>1</v>
      </c>
      <c r="L3770" s="4">
        <v>1.570999</v>
      </c>
      <c r="M3770" s="4">
        <v>127.808769</v>
      </c>
      <c r="N3770" s="13">
        <v>6.25</v>
      </c>
      <c r="P3770"/>
      <c r="Q3770" s="12"/>
      <c r="R3770" s="12"/>
    </row>
    <row r="3771" spans="1:18" x14ac:dyDescent="0.2">
      <c r="A3771">
        <v>32</v>
      </c>
      <c r="B3771" t="s">
        <v>20</v>
      </c>
      <c r="C3771">
        <v>2019</v>
      </c>
      <c r="D3771">
        <v>6</v>
      </c>
      <c r="E3771" s="4">
        <v>0</v>
      </c>
      <c r="F3771" s="9">
        <v>0</v>
      </c>
      <c r="G3771" s="6">
        <v>783</v>
      </c>
      <c r="H3771" s="9">
        <f t="shared" si="58"/>
        <v>0</v>
      </c>
      <c r="I3771" s="6">
        <v>12683</v>
      </c>
      <c r="J3771" s="6">
        <f>VLOOKUP(Table1[[#This Row],[Province]],[1]Sheet1!$A$3:$K$37,11,FALSE)</f>
        <v>1319300</v>
      </c>
      <c r="K3771">
        <v>0</v>
      </c>
      <c r="L3771" s="4">
        <v>1.570999</v>
      </c>
      <c r="M3771" s="4">
        <v>127.808769</v>
      </c>
      <c r="N3771" s="13">
        <v>6.25</v>
      </c>
      <c r="P3771"/>
      <c r="Q3771" s="12"/>
      <c r="R3771" s="12"/>
    </row>
    <row r="3772" spans="1:18" x14ac:dyDescent="0.2">
      <c r="A3772">
        <v>32</v>
      </c>
      <c r="B3772" t="s">
        <v>20</v>
      </c>
      <c r="C3772">
        <v>2019</v>
      </c>
      <c r="D3772">
        <v>7</v>
      </c>
      <c r="E3772" s="4">
        <v>0</v>
      </c>
      <c r="F3772" s="9">
        <v>0</v>
      </c>
      <c r="G3772" s="6">
        <v>920</v>
      </c>
      <c r="H3772" s="9">
        <f t="shared" si="58"/>
        <v>0</v>
      </c>
      <c r="I3772" s="6">
        <v>12758</v>
      </c>
      <c r="J3772" s="6">
        <f>VLOOKUP(Table1[[#This Row],[Province]],[1]Sheet1!$A$3:$K$37,11,FALSE)</f>
        <v>1319300</v>
      </c>
      <c r="K3772">
        <v>0</v>
      </c>
      <c r="L3772" s="4">
        <v>1.570999</v>
      </c>
      <c r="M3772" s="4">
        <v>127.808769</v>
      </c>
      <c r="N3772" s="13">
        <v>6.25</v>
      </c>
      <c r="P3772"/>
      <c r="Q3772" s="12"/>
      <c r="R3772" s="12"/>
    </row>
    <row r="3773" spans="1:18" x14ac:dyDescent="0.2">
      <c r="A3773">
        <v>32</v>
      </c>
      <c r="B3773" t="s">
        <v>20</v>
      </c>
      <c r="C3773">
        <v>2019</v>
      </c>
      <c r="D3773">
        <v>8</v>
      </c>
      <c r="E3773" s="4">
        <v>0</v>
      </c>
      <c r="F3773" s="9">
        <v>0</v>
      </c>
      <c r="G3773" s="6">
        <v>1287</v>
      </c>
      <c r="H3773" s="9">
        <f t="shared" si="58"/>
        <v>0</v>
      </c>
      <c r="I3773" s="6">
        <v>12756</v>
      </c>
      <c r="J3773" s="6">
        <f>VLOOKUP(Table1[[#This Row],[Province]],[1]Sheet1!$A$3:$K$37,11,FALSE)</f>
        <v>1319300</v>
      </c>
      <c r="K3773">
        <v>0</v>
      </c>
      <c r="L3773" s="4">
        <v>1.570999</v>
      </c>
      <c r="M3773" s="4">
        <v>127.808769</v>
      </c>
      <c r="N3773" s="13">
        <v>6.25</v>
      </c>
      <c r="P3773"/>
      <c r="Q3773" s="12"/>
      <c r="R3773" s="12"/>
    </row>
    <row r="3774" spans="1:18" x14ac:dyDescent="0.2">
      <c r="A3774">
        <v>32</v>
      </c>
      <c r="B3774" t="s">
        <v>20</v>
      </c>
      <c r="C3774">
        <v>2019</v>
      </c>
      <c r="D3774">
        <v>9</v>
      </c>
      <c r="E3774" s="4">
        <v>0</v>
      </c>
      <c r="F3774" s="9">
        <v>0</v>
      </c>
      <c r="G3774" s="6">
        <v>1138</v>
      </c>
      <c r="H3774" s="9">
        <f t="shared" si="58"/>
        <v>0</v>
      </c>
      <c r="I3774" s="6">
        <v>12755</v>
      </c>
      <c r="J3774" s="6">
        <f>VLOOKUP(Table1[[#This Row],[Province]],[1]Sheet1!$A$3:$K$37,11,FALSE)</f>
        <v>1319300</v>
      </c>
      <c r="K3774">
        <v>0</v>
      </c>
      <c r="L3774" s="4">
        <v>1.570999</v>
      </c>
      <c r="M3774" s="4">
        <v>127.808769</v>
      </c>
      <c r="N3774" s="13">
        <v>6.25</v>
      </c>
      <c r="P3774"/>
      <c r="Q3774" s="12"/>
      <c r="R3774" s="12"/>
    </row>
    <row r="3775" spans="1:18" x14ac:dyDescent="0.2">
      <c r="A3775">
        <v>32</v>
      </c>
      <c r="B3775" t="s">
        <v>20</v>
      </c>
      <c r="C3775">
        <v>2019</v>
      </c>
      <c r="D3775">
        <v>10</v>
      </c>
      <c r="E3775" s="4">
        <v>0</v>
      </c>
      <c r="F3775" s="9">
        <v>0</v>
      </c>
      <c r="G3775" s="6">
        <v>711</v>
      </c>
      <c r="H3775" s="9">
        <f t="shared" si="58"/>
        <v>0</v>
      </c>
      <c r="I3775" s="6">
        <v>12773</v>
      </c>
      <c r="J3775" s="6">
        <f>VLOOKUP(Table1[[#This Row],[Province]],[1]Sheet1!$A$3:$K$37,11,FALSE)</f>
        <v>1319300</v>
      </c>
      <c r="K3775">
        <v>0</v>
      </c>
      <c r="L3775" s="4">
        <v>1.570999</v>
      </c>
      <c r="M3775" s="4">
        <v>127.808769</v>
      </c>
      <c r="N3775" s="13">
        <v>6.25</v>
      </c>
      <c r="P3775"/>
      <c r="Q3775" s="12"/>
      <c r="R3775" s="12"/>
    </row>
    <row r="3776" spans="1:18" x14ac:dyDescent="0.2">
      <c r="A3776">
        <v>32</v>
      </c>
      <c r="B3776" t="s">
        <v>20</v>
      </c>
      <c r="C3776">
        <v>2019</v>
      </c>
      <c r="D3776">
        <v>11</v>
      </c>
      <c r="E3776" s="4">
        <v>0</v>
      </c>
      <c r="F3776" s="9">
        <v>0</v>
      </c>
      <c r="G3776" s="6">
        <v>823</v>
      </c>
      <c r="H3776" s="9">
        <f t="shared" si="58"/>
        <v>0</v>
      </c>
      <c r="I3776" s="6">
        <v>13384</v>
      </c>
      <c r="J3776" s="6">
        <f>VLOOKUP(Table1[[#This Row],[Province]],[1]Sheet1!$A$3:$K$37,11,FALSE)</f>
        <v>1319300</v>
      </c>
      <c r="K3776">
        <v>0</v>
      </c>
      <c r="L3776" s="4">
        <v>1.570999</v>
      </c>
      <c r="M3776" s="4">
        <v>127.808769</v>
      </c>
      <c r="N3776" s="13">
        <v>6.25</v>
      </c>
      <c r="P3776"/>
      <c r="Q3776" s="12"/>
      <c r="R3776" s="12"/>
    </row>
    <row r="3777" spans="1:18" x14ac:dyDescent="0.2">
      <c r="A3777">
        <v>32</v>
      </c>
      <c r="B3777" t="s">
        <v>20</v>
      </c>
      <c r="C3777">
        <v>2019</v>
      </c>
      <c r="D3777">
        <v>12</v>
      </c>
      <c r="E3777" s="4">
        <v>0</v>
      </c>
      <c r="F3777" s="9">
        <v>0</v>
      </c>
      <c r="G3777" s="6">
        <v>670</v>
      </c>
      <c r="H3777" s="9">
        <f t="shared" si="58"/>
        <v>0</v>
      </c>
      <c r="I3777" s="6">
        <v>13283</v>
      </c>
      <c r="J3777" s="6">
        <f>VLOOKUP(Table1[[#This Row],[Province]],[1]Sheet1!$A$3:$K$37,11,FALSE)</f>
        <v>1319300</v>
      </c>
      <c r="K3777">
        <v>1</v>
      </c>
      <c r="L3777" s="4">
        <v>1.570999</v>
      </c>
      <c r="M3777" s="4">
        <v>127.808769</v>
      </c>
      <c r="N3777" s="13">
        <v>6.25</v>
      </c>
      <c r="P3777"/>
      <c r="Q3777" s="12"/>
      <c r="R3777" s="12"/>
    </row>
    <row r="3778" spans="1:18" x14ac:dyDescent="0.2">
      <c r="A3778">
        <v>32</v>
      </c>
      <c r="B3778" t="s">
        <v>20</v>
      </c>
      <c r="C3778">
        <v>2020</v>
      </c>
      <c r="D3778">
        <v>2</v>
      </c>
      <c r="E3778" s="4">
        <v>0</v>
      </c>
      <c r="F3778" s="9">
        <v>0</v>
      </c>
      <c r="G3778" s="6">
        <v>874</v>
      </c>
      <c r="H3778" s="9">
        <f t="shared" ref="H3778:H3841" si="59">F3778+E3778</f>
        <v>0</v>
      </c>
      <c r="I3778" s="6">
        <v>14354</v>
      </c>
      <c r="J3778" s="6">
        <f>VLOOKUP(Table1[[#This Row],[Province]],[1]Sheet1!$A$3:$K$37,11,FALSE)</f>
        <v>1319300</v>
      </c>
      <c r="K3778">
        <v>0</v>
      </c>
      <c r="L3778" s="4">
        <v>1.570999</v>
      </c>
      <c r="M3778" s="4">
        <v>127.808769</v>
      </c>
      <c r="N3778" s="13">
        <v>5.39</v>
      </c>
      <c r="P3778"/>
      <c r="Q3778" s="12"/>
      <c r="R3778" s="12"/>
    </row>
    <row r="3779" spans="1:18" x14ac:dyDescent="0.2">
      <c r="A3779">
        <v>32</v>
      </c>
      <c r="B3779" t="s">
        <v>20</v>
      </c>
      <c r="C3779">
        <v>2020</v>
      </c>
      <c r="D3779">
        <v>3</v>
      </c>
      <c r="E3779" s="4">
        <v>0</v>
      </c>
      <c r="F3779" s="9">
        <v>0</v>
      </c>
      <c r="G3779" s="6">
        <v>644</v>
      </c>
      <c r="H3779" s="9">
        <f t="shared" si="59"/>
        <v>0</v>
      </c>
      <c r="I3779" s="6">
        <v>17499</v>
      </c>
      <c r="J3779" s="6">
        <f>VLOOKUP(Table1[[#This Row],[Province]],[1]Sheet1!$A$3:$K$37,11,FALSE)</f>
        <v>1319300</v>
      </c>
      <c r="K3779">
        <v>0</v>
      </c>
      <c r="L3779" s="4">
        <v>1.570999</v>
      </c>
      <c r="M3779" s="4">
        <v>127.808769</v>
      </c>
      <c r="N3779" s="13">
        <v>5.39</v>
      </c>
      <c r="P3779"/>
      <c r="Q3779" s="12"/>
      <c r="R3779" s="12"/>
    </row>
    <row r="3780" spans="1:18" x14ac:dyDescent="0.2">
      <c r="A3780">
        <v>32</v>
      </c>
      <c r="B3780" t="s">
        <v>20</v>
      </c>
      <c r="C3780">
        <v>2020</v>
      </c>
      <c r="D3780">
        <v>4</v>
      </c>
      <c r="E3780" s="4">
        <v>0</v>
      </c>
      <c r="F3780" s="9">
        <v>0</v>
      </c>
      <c r="G3780" s="6">
        <v>775</v>
      </c>
      <c r="H3780" s="9">
        <f t="shared" si="59"/>
        <v>0</v>
      </c>
      <c r="I3780" s="6">
        <v>18859</v>
      </c>
      <c r="J3780" s="6">
        <f>VLOOKUP(Table1[[#This Row],[Province]],[1]Sheet1!$A$3:$K$37,11,FALSE)</f>
        <v>1319300</v>
      </c>
      <c r="K3780">
        <v>1</v>
      </c>
      <c r="L3780" s="4">
        <v>1.570999</v>
      </c>
      <c r="M3780" s="4">
        <v>127.808769</v>
      </c>
      <c r="N3780" s="13">
        <v>5.39</v>
      </c>
      <c r="P3780"/>
      <c r="Q3780" s="12"/>
      <c r="R3780" s="12"/>
    </row>
    <row r="3781" spans="1:18" x14ac:dyDescent="0.2">
      <c r="A3781">
        <v>32</v>
      </c>
      <c r="B3781" t="s">
        <v>20</v>
      </c>
      <c r="C3781">
        <v>2020</v>
      </c>
      <c r="D3781">
        <v>5</v>
      </c>
      <c r="E3781" s="4">
        <v>5793</v>
      </c>
      <c r="F3781" s="9">
        <v>0</v>
      </c>
      <c r="G3781" s="6">
        <v>1043</v>
      </c>
      <c r="H3781" s="9">
        <f t="shared" si="59"/>
        <v>5793</v>
      </c>
      <c r="I3781" s="6">
        <v>14000</v>
      </c>
      <c r="J3781" s="6">
        <f>VLOOKUP(Table1[[#This Row],[Province]],[1]Sheet1!$A$3:$K$37,11,FALSE)</f>
        <v>1319300</v>
      </c>
      <c r="K3781">
        <v>0</v>
      </c>
      <c r="L3781" s="4">
        <v>1.570999</v>
      </c>
      <c r="M3781" s="4">
        <v>127.808769</v>
      </c>
      <c r="N3781" s="13">
        <v>5.39</v>
      </c>
      <c r="P3781"/>
      <c r="Q3781" s="12"/>
      <c r="R3781" s="12"/>
    </row>
    <row r="3782" spans="1:18" x14ac:dyDescent="0.2">
      <c r="A3782">
        <v>32</v>
      </c>
      <c r="B3782" t="s">
        <v>20</v>
      </c>
      <c r="C3782">
        <v>2020</v>
      </c>
      <c r="D3782">
        <v>5</v>
      </c>
      <c r="E3782" s="4">
        <v>0</v>
      </c>
      <c r="F3782" s="9">
        <v>0</v>
      </c>
      <c r="G3782" s="6">
        <v>600</v>
      </c>
      <c r="H3782" s="9">
        <f t="shared" si="59"/>
        <v>0</v>
      </c>
      <c r="I3782" s="6">
        <v>18204</v>
      </c>
      <c r="J3782" s="6">
        <f>VLOOKUP(Table1[[#This Row],[Province]],[1]Sheet1!$A$3:$K$37,11,FALSE)</f>
        <v>1319300</v>
      </c>
      <c r="K3782">
        <v>0</v>
      </c>
      <c r="L3782" s="4">
        <v>1.570999</v>
      </c>
      <c r="M3782" s="4">
        <v>127.808769</v>
      </c>
      <c r="N3782" s="13">
        <v>5.39</v>
      </c>
      <c r="P3782"/>
      <c r="Q3782" s="12"/>
      <c r="R3782" s="12"/>
    </row>
    <row r="3783" spans="1:18" x14ac:dyDescent="0.2">
      <c r="A3783">
        <v>32</v>
      </c>
      <c r="B3783" t="s">
        <v>20</v>
      </c>
      <c r="C3783">
        <v>2020</v>
      </c>
      <c r="D3783">
        <v>6</v>
      </c>
      <c r="E3783" s="4">
        <v>0</v>
      </c>
      <c r="F3783" s="9">
        <v>0</v>
      </c>
      <c r="G3783" s="6">
        <v>114</v>
      </c>
      <c r="H3783" s="9">
        <f t="shared" si="59"/>
        <v>0</v>
      </c>
      <c r="I3783" s="6">
        <v>15704</v>
      </c>
      <c r="J3783" s="6">
        <f>VLOOKUP(Table1[[#This Row],[Province]],[1]Sheet1!$A$3:$K$37,11,FALSE)</f>
        <v>1319300</v>
      </c>
      <c r="K3783">
        <v>0</v>
      </c>
      <c r="L3783" s="4">
        <v>1.570999</v>
      </c>
      <c r="M3783" s="4">
        <v>127.808769</v>
      </c>
      <c r="N3783" s="13">
        <v>5.39</v>
      </c>
      <c r="P3783"/>
      <c r="Q3783" s="12"/>
      <c r="R3783" s="12"/>
    </row>
    <row r="3784" spans="1:18" x14ac:dyDescent="0.2">
      <c r="A3784">
        <v>32</v>
      </c>
      <c r="B3784" t="s">
        <v>20</v>
      </c>
      <c r="C3784">
        <v>2020</v>
      </c>
      <c r="D3784">
        <v>7</v>
      </c>
      <c r="E3784" s="4">
        <v>0</v>
      </c>
      <c r="F3784" s="9">
        <v>0</v>
      </c>
      <c r="G3784" s="6">
        <v>728</v>
      </c>
      <c r="H3784" s="9">
        <f t="shared" si="59"/>
        <v>0</v>
      </c>
      <c r="I3784" s="6">
        <v>13816</v>
      </c>
      <c r="J3784" s="6">
        <f>VLOOKUP(Table1[[#This Row],[Province]],[1]Sheet1!$A$3:$K$37,11,FALSE)</f>
        <v>1319300</v>
      </c>
      <c r="K3784">
        <v>0</v>
      </c>
      <c r="L3784" s="4">
        <v>1.570999</v>
      </c>
      <c r="M3784" s="4">
        <v>127.808769</v>
      </c>
      <c r="N3784" s="13">
        <v>5.39</v>
      </c>
      <c r="P3784"/>
      <c r="Q3784" s="12"/>
      <c r="R3784" s="12"/>
    </row>
    <row r="3785" spans="1:18" x14ac:dyDescent="0.2">
      <c r="A3785">
        <v>32</v>
      </c>
      <c r="B3785" t="s">
        <v>20</v>
      </c>
      <c r="C3785">
        <v>2020</v>
      </c>
      <c r="D3785">
        <v>8</v>
      </c>
      <c r="E3785" s="4">
        <v>0</v>
      </c>
      <c r="F3785" s="9">
        <v>0</v>
      </c>
      <c r="G3785" s="6">
        <v>1020</v>
      </c>
      <c r="H3785" s="9">
        <f t="shared" si="59"/>
        <v>0</v>
      </c>
      <c r="I3785" s="6">
        <v>13475</v>
      </c>
      <c r="J3785" s="6">
        <f>VLOOKUP(Table1[[#This Row],[Province]],[1]Sheet1!$A$3:$K$37,11,FALSE)</f>
        <v>1319300</v>
      </c>
      <c r="K3785">
        <v>0</v>
      </c>
      <c r="L3785" s="4">
        <v>1.570999</v>
      </c>
      <c r="M3785" s="4">
        <v>127.808769</v>
      </c>
      <c r="N3785" s="13">
        <v>5.39</v>
      </c>
      <c r="P3785"/>
      <c r="Q3785" s="12"/>
      <c r="R3785" s="12"/>
    </row>
    <row r="3786" spans="1:18" x14ac:dyDescent="0.2">
      <c r="A3786">
        <v>32</v>
      </c>
      <c r="B3786" t="s">
        <v>20</v>
      </c>
      <c r="C3786">
        <v>2020</v>
      </c>
      <c r="D3786">
        <v>9</v>
      </c>
      <c r="E3786" s="4">
        <v>0</v>
      </c>
      <c r="F3786" s="9">
        <v>0</v>
      </c>
      <c r="G3786" s="6">
        <v>1491</v>
      </c>
      <c r="H3786" s="9">
        <f t="shared" si="59"/>
        <v>0</v>
      </c>
      <c r="I3786" s="6">
        <v>13500</v>
      </c>
      <c r="J3786" s="6">
        <f>VLOOKUP(Table1[[#This Row],[Province]],[1]Sheet1!$A$3:$K$37,11,FALSE)</f>
        <v>1319300</v>
      </c>
      <c r="K3786">
        <v>0</v>
      </c>
      <c r="L3786" s="4">
        <v>1.570999</v>
      </c>
      <c r="M3786" s="4">
        <v>127.808769</v>
      </c>
      <c r="N3786" s="13">
        <v>5.39</v>
      </c>
      <c r="P3786"/>
      <c r="Q3786" s="12"/>
      <c r="R3786" s="12"/>
    </row>
    <row r="3787" spans="1:18" x14ac:dyDescent="0.2">
      <c r="A3787">
        <v>32</v>
      </c>
      <c r="B3787" t="s">
        <v>20</v>
      </c>
      <c r="C3787">
        <v>2020</v>
      </c>
      <c r="D3787">
        <v>10</v>
      </c>
      <c r="E3787" s="4">
        <v>0</v>
      </c>
      <c r="F3787" s="9">
        <v>0</v>
      </c>
      <c r="G3787" s="6">
        <v>908</v>
      </c>
      <c r="H3787" s="9">
        <f t="shared" si="59"/>
        <v>0</v>
      </c>
      <c r="I3787" s="6">
        <v>13500</v>
      </c>
      <c r="J3787" s="6">
        <f>VLOOKUP(Table1[[#This Row],[Province]],[1]Sheet1!$A$3:$K$37,11,FALSE)</f>
        <v>1319300</v>
      </c>
      <c r="K3787">
        <v>0</v>
      </c>
      <c r="L3787" s="4">
        <v>1.570999</v>
      </c>
      <c r="M3787" s="4">
        <v>127.808769</v>
      </c>
      <c r="N3787" s="13">
        <v>5.39</v>
      </c>
      <c r="P3787"/>
      <c r="Q3787" s="12"/>
      <c r="R3787" s="12"/>
    </row>
    <row r="3788" spans="1:18" x14ac:dyDescent="0.2">
      <c r="A3788">
        <v>32</v>
      </c>
      <c r="B3788" t="s">
        <v>20</v>
      </c>
      <c r="C3788">
        <v>2020</v>
      </c>
      <c r="D3788">
        <v>11</v>
      </c>
      <c r="E3788" s="4">
        <v>0</v>
      </c>
      <c r="F3788" s="9">
        <v>0</v>
      </c>
      <c r="G3788" s="6">
        <v>907</v>
      </c>
      <c r="H3788" s="9">
        <f t="shared" si="59"/>
        <v>0</v>
      </c>
      <c r="I3788" s="6">
        <v>13288</v>
      </c>
      <c r="J3788" s="6">
        <f>VLOOKUP(Table1[[#This Row],[Province]],[1]Sheet1!$A$3:$K$37,11,FALSE)</f>
        <v>1319300</v>
      </c>
      <c r="K3788">
        <v>0</v>
      </c>
      <c r="L3788" s="4">
        <v>1.570999</v>
      </c>
      <c r="M3788" s="4">
        <v>127.808769</v>
      </c>
      <c r="N3788" s="13">
        <v>5.39</v>
      </c>
      <c r="P3788"/>
      <c r="Q3788" s="12"/>
      <c r="R3788" s="12"/>
    </row>
    <row r="3789" spans="1:18" x14ac:dyDescent="0.2">
      <c r="A3789">
        <v>32</v>
      </c>
      <c r="B3789" t="s">
        <v>20</v>
      </c>
      <c r="C3789">
        <v>2020</v>
      </c>
      <c r="D3789">
        <v>12</v>
      </c>
      <c r="E3789" s="4">
        <v>0</v>
      </c>
      <c r="F3789" s="9">
        <v>0</v>
      </c>
      <c r="G3789" s="6">
        <v>691</v>
      </c>
      <c r="H3789" s="9">
        <f t="shared" si="59"/>
        <v>0</v>
      </c>
      <c r="I3789" s="6">
        <v>13175</v>
      </c>
      <c r="J3789" s="6">
        <f>VLOOKUP(Table1[[#This Row],[Province]],[1]Sheet1!$A$3:$K$37,11,FALSE)</f>
        <v>1319300</v>
      </c>
      <c r="K3789">
        <v>1</v>
      </c>
      <c r="L3789" s="4">
        <v>1.570999</v>
      </c>
      <c r="M3789" s="4">
        <v>127.808769</v>
      </c>
      <c r="N3789" s="13">
        <v>5.39</v>
      </c>
      <c r="P3789"/>
      <c r="Q3789" s="12"/>
      <c r="R3789" s="12"/>
    </row>
    <row r="3790" spans="1:18" x14ac:dyDescent="0.2">
      <c r="A3790">
        <v>32</v>
      </c>
      <c r="B3790" t="s">
        <v>20</v>
      </c>
      <c r="C3790">
        <v>2021</v>
      </c>
      <c r="D3790">
        <v>1</v>
      </c>
      <c r="E3790" s="4">
        <v>0</v>
      </c>
      <c r="F3790" s="9">
        <v>0</v>
      </c>
      <c r="G3790" s="6">
        <v>1114</v>
      </c>
      <c r="H3790" s="9">
        <f t="shared" si="59"/>
        <v>0</v>
      </c>
      <c r="I3790" s="6">
        <v>13219</v>
      </c>
      <c r="J3790" s="6">
        <f>VLOOKUP(Table1[[#This Row],[Province]],[1]Sheet1!$A$3:$K$37,11,FALSE)</f>
        <v>1319300</v>
      </c>
      <c r="K3790">
        <v>0</v>
      </c>
      <c r="L3790" s="4">
        <v>1.570999</v>
      </c>
      <c r="M3790" s="4">
        <v>127.808769</v>
      </c>
      <c r="N3790" s="13">
        <v>16.79</v>
      </c>
      <c r="P3790"/>
      <c r="Q3790" s="12"/>
      <c r="R3790" s="12"/>
    </row>
    <row r="3791" spans="1:18" x14ac:dyDescent="0.2">
      <c r="A3791">
        <v>32</v>
      </c>
      <c r="B3791" t="s">
        <v>20</v>
      </c>
      <c r="C3791">
        <v>2021</v>
      </c>
      <c r="D3791">
        <v>2</v>
      </c>
      <c r="E3791" s="4">
        <v>0</v>
      </c>
      <c r="F3791" s="9">
        <v>0</v>
      </c>
      <c r="G3791" s="6">
        <v>631</v>
      </c>
      <c r="H3791" s="9">
        <f t="shared" si="59"/>
        <v>0</v>
      </c>
      <c r="I3791" s="6">
        <v>13219</v>
      </c>
      <c r="J3791" s="6">
        <f>VLOOKUP(Table1[[#This Row],[Province]],[1]Sheet1!$A$3:$K$37,11,FALSE)</f>
        <v>1319300</v>
      </c>
      <c r="K3791">
        <v>0</v>
      </c>
      <c r="L3791" s="4">
        <v>1.570999</v>
      </c>
      <c r="M3791" s="4">
        <v>127.808769</v>
      </c>
      <c r="N3791" s="13">
        <v>16.79</v>
      </c>
      <c r="P3791"/>
      <c r="Q3791" s="12"/>
      <c r="R3791" s="12"/>
    </row>
    <row r="3792" spans="1:18" x14ac:dyDescent="0.2">
      <c r="A3792">
        <v>32</v>
      </c>
      <c r="B3792" t="s">
        <v>20</v>
      </c>
      <c r="C3792">
        <v>2021</v>
      </c>
      <c r="D3792">
        <v>3</v>
      </c>
      <c r="E3792" s="4">
        <v>0</v>
      </c>
      <c r="F3792" s="9">
        <v>0</v>
      </c>
      <c r="G3792" s="6">
        <v>771</v>
      </c>
      <c r="H3792" s="9">
        <f t="shared" si="59"/>
        <v>0</v>
      </c>
      <c r="I3792" s="6">
        <v>12900</v>
      </c>
      <c r="J3792" s="6">
        <f>VLOOKUP(Table1[[#This Row],[Province]],[1]Sheet1!$A$3:$K$37,11,FALSE)</f>
        <v>1319300</v>
      </c>
      <c r="K3792">
        <v>0</v>
      </c>
      <c r="L3792" s="4">
        <v>1.570999</v>
      </c>
      <c r="M3792" s="4">
        <v>127.808769</v>
      </c>
      <c r="N3792" s="13">
        <v>16.79</v>
      </c>
      <c r="P3792"/>
      <c r="Q3792" s="12"/>
      <c r="R3792" s="12"/>
    </row>
    <row r="3793" spans="1:18" x14ac:dyDescent="0.2">
      <c r="A3793">
        <v>32</v>
      </c>
      <c r="B3793" t="s">
        <v>20</v>
      </c>
      <c r="C3793">
        <v>2021</v>
      </c>
      <c r="D3793">
        <v>4</v>
      </c>
      <c r="E3793" s="4">
        <v>0</v>
      </c>
      <c r="F3793" s="9">
        <v>0</v>
      </c>
      <c r="G3793" s="6">
        <v>1260</v>
      </c>
      <c r="H3793" s="9">
        <f t="shared" si="59"/>
        <v>0</v>
      </c>
      <c r="I3793" s="6">
        <v>14250</v>
      </c>
      <c r="J3793" s="6">
        <f>VLOOKUP(Table1[[#This Row],[Province]],[1]Sheet1!$A$3:$K$37,11,FALSE)</f>
        <v>1319300</v>
      </c>
      <c r="K3793">
        <v>1</v>
      </c>
      <c r="L3793" s="4">
        <v>1.570999</v>
      </c>
      <c r="M3793" s="4">
        <v>127.808769</v>
      </c>
      <c r="N3793" s="13">
        <v>16.79</v>
      </c>
      <c r="P3793"/>
      <c r="Q3793" s="12"/>
      <c r="R3793" s="12"/>
    </row>
    <row r="3794" spans="1:18" x14ac:dyDescent="0.2">
      <c r="A3794">
        <v>32</v>
      </c>
      <c r="B3794" t="s">
        <v>20</v>
      </c>
      <c r="C3794">
        <v>2021</v>
      </c>
      <c r="D3794">
        <v>5</v>
      </c>
      <c r="E3794" s="4">
        <v>0</v>
      </c>
      <c r="F3794" s="9">
        <v>0</v>
      </c>
      <c r="G3794" s="6">
        <v>704</v>
      </c>
      <c r="H3794" s="9">
        <f t="shared" si="59"/>
        <v>0</v>
      </c>
      <c r="I3794" s="6">
        <v>14250</v>
      </c>
      <c r="J3794" s="6">
        <f>VLOOKUP(Table1[[#This Row],[Province]],[1]Sheet1!$A$3:$K$37,11,FALSE)</f>
        <v>1319300</v>
      </c>
      <c r="K3794">
        <v>0</v>
      </c>
      <c r="L3794" s="4">
        <v>1.570999</v>
      </c>
      <c r="M3794" s="4">
        <v>127.808769</v>
      </c>
      <c r="N3794" s="13">
        <v>16.79</v>
      </c>
      <c r="P3794"/>
      <c r="Q3794" s="12"/>
      <c r="R3794" s="12"/>
    </row>
    <row r="3795" spans="1:18" x14ac:dyDescent="0.2">
      <c r="A3795">
        <v>32</v>
      </c>
      <c r="B3795" t="s">
        <v>20</v>
      </c>
      <c r="C3795">
        <v>2021</v>
      </c>
      <c r="D3795">
        <v>6</v>
      </c>
      <c r="E3795" s="4">
        <v>0</v>
      </c>
      <c r="F3795" s="9">
        <v>0</v>
      </c>
      <c r="G3795" s="6">
        <v>882</v>
      </c>
      <c r="H3795" s="9">
        <f t="shared" si="59"/>
        <v>0</v>
      </c>
      <c r="I3795" s="6">
        <v>14250</v>
      </c>
      <c r="J3795" s="6">
        <f>VLOOKUP(Table1[[#This Row],[Province]],[1]Sheet1!$A$3:$K$37,11,FALSE)</f>
        <v>1319300</v>
      </c>
      <c r="K3795">
        <v>0</v>
      </c>
      <c r="L3795" s="4">
        <v>1.570999</v>
      </c>
      <c r="M3795" s="4">
        <v>127.808769</v>
      </c>
      <c r="N3795" s="13">
        <v>16.79</v>
      </c>
      <c r="P3795"/>
      <c r="Q3795" s="12"/>
      <c r="R3795" s="12"/>
    </row>
    <row r="3796" spans="1:18" x14ac:dyDescent="0.2">
      <c r="A3796">
        <v>32</v>
      </c>
      <c r="B3796" t="s">
        <v>20</v>
      </c>
      <c r="C3796">
        <v>2021</v>
      </c>
      <c r="D3796">
        <v>7</v>
      </c>
      <c r="E3796" s="4">
        <v>0</v>
      </c>
      <c r="F3796" s="9">
        <v>0</v>
      </c>
      <c r="G3796" s="6">
        <v>1158</v>
      </c>
      <c r="H3796" s="9">
        <f t="shared" si="59"/>
        <v>0</v>
      </c>
      <c r="I3796" s="6">
        <v>14250</v>
      </c>
      <c r="J3796" s="6">
        <f>VLOOKUP(Table1[[#This Row],[Province]],[1]Sheet1!$A$3:$K$37,11,FALSE)</f>
        <v>1319300</v>
      </c>
      <c r="K3796">
        <v>0</v>
      </c>
      <c r="L3796" s="4">
        <v>1.570999</v>
      </c>
      <c r="M3796" s="4">
        <v>127.808769</v>
      </c>
      <c r="N3796" s="13">
        <v>16.79</v>
      </c>
      <c r="P3796"/>
      <c r="Q3796" s="12"/>
      <c r="R3796" s="12"/>
    </row>
    <row r="3797" spans="1:18" x14ac:dyDescent="0.2">
      <c r="A3797">
        <v>32</v>
      </c>
      <c r="B3797" t="s">
        <v>20</v>
      </c>
      <c r="C3797">
        <v>2021</v>
      </c>
      <c r="D3797">
        <v>8</v>
      </c>
      <c r="E3797" s="4">
        <v>0</v>
      </c>
      <c r="F3797" s="9">
        <v>0</v>
      </c>
      <c r="G3797" s="6">
        <v>757</v>
      </c>
      <c r="H3797" s="9">
        <f t="shared" si="59"/>
        <v>0</v>
      </c>
      <c r="I3797" s="6">
        <v>14250</v>
      </c>
      <c r="J3797" s="6">
        <f>VLOOKUP(Table1[[#This Row],[Province]],[1]Sheet1!$A$3:$K$37,11,FALSE)</f>
        <v>1319300</v>
      </c>
      <c r="K3797">
        <v>0</v>
      </c>
      <c r="L3797" s="4">
        <v>1.570999</v>
      </c>
      <c r="M3797" s="4">
        <v>127.808769</v>
      </c>
      <c r="N3797" s="13">
        <v>16.79</v>
      </c>
      <c r="P3797"/>
      <c r="Q3797" s="12"/>
      <c r="R3797" s="12"/>
    </row>
    <row r="3798" spans="1:18" x14ac:dyDescent="0.2">
      <c r="A3798">
        <v>32</v>
      </c>
      <c r="B3798" t="s">
        <v>20</v>
      </c>
      <c r="C3798">
        <v>2021</v>
      </c>
      <c r="D3798">
        <v>9</v>
      </c>
      <c r="E3798" s="4">
        <v>0</v>
      </c>
      <c r="F3798" s="9">
        <v>0</v>
      </c>
      <c r="G3798" s="6">
        <v>1920</v>
      </c>
      <c r="H3798" s="9">
        <f t="shared" si="59"/>
        <v>0</v>
      </c>
      <c r="I3798" s="6">
        <v>14261</v>
      </c>
      <c r="J3798" s="6">
        <f>VLOOKUP(Table1[[#This Row],[Province]],[1]Sheet1!$A$3:$K$37,11,FALSE)</f>
        <v>1319300</v>
      </c>
      <c r="K3798">
        <v>0</v>
      </c>
      <c r="L3798" s="4">
        <v>1.570999</v>
      </c>
      <c r="M3798" s="4">
        <v>127.808769</v>
      </c>
      <c r="N3798" s="13">
        <v>16.79</v>
      </c>
      <c r="P3798"/>
      <c r="Q3798" s="12"/>
      <c r="R3798" s="12"/>
    </row>
    <row r="3799" spans="1:18" x14ac:dyDescent="0.2">
      <c r="A3799">
        <v>32</v>
      </c>
      <c r="B3799" t="s">
        <v>20</v>
      </c>
      <c r="C3799">
        <v>2021</v>
      </c>
      <c r="D3799">
        <v>10</v>
      </c>
      <c r="E3799" s="4">
        <v>0</v>
      </c>
      <c r="F3799" s="9">
        <v>0</v>
      </c>
      <c r="G3799" s="6">
        <v>738</v>
      </c>
      <c r="H3799" s="9">
        <f t="shared" si="59"/>
        <v>0</v>
      </c>
      <c r="I3799" s="6">
        <v>14500</v>
      </c>
      <c r="J3799" s="6">
        <f>VLOOKUP(Table1[[#This Row],[Province]],[1]Sheet1!$A$3:$K$37,11,FALSE)</f>
        <v>1319300</v>
      </c>
      <c r="K3799">
        <v>0</v>
      </c>
      <c r="L3799" s="4">
        <v>1.570999</v>
      </c>
      <c r="M3799" s="4">
        <v>127.808769</v>
      </c>
      <c r="N3799" s="13">
        <v>16.79</v>
      </c>
      <c r="P3799"/>
      <c r="Q3799" s="12"/>
      <c r="R3799" s="12"/>
    </row>
    <row r="3800" spans="1:18" x14ac:dyDescent="0.2">
      <c r="A3800">
        <v>32</v>
      </c>
      <c r="B3800" t="s">
        <v>20</v>
      </c>
      <c r="C3800">
        <v>2021</v>
      </c>
      <c r="D3800">
        <v>11</v>
      </c>
      <c r="E3800" s="4">
        <v>0</v>
      </c>
      <c r="F3800" s="9">
        <v>0</v>
      </c>
      <c r="G3800" s="6">
        <v>1592</v>
      </c>
      <c r="H3800" s="9">
        <f t="shared" si="59"/>
        <v>0</v>
      </c>
      <c r="I3800" s="6">
        <v>14500</v>
      </c>
      <c r="J3800" s="6">
        <f>VLOOKUP(Table1[[#This Row],[Province]],[1]Sheet1!$A$3:$K$37,11,FALSE)</f>
        <v>1319300</v>
      </c>
      <c r="K3800">
        <v>0</v>
      </c>
      <c r="L3800" s="4">
        <v>1.570999</v>
      </c>
      <c r="M3800" s="4">
        <v>127.808769</v>
      </c>
      <c r="N3800" s="13">
        <v>16.79</v>
      </c>
      <c r="P3800"/>
      <c r="Q3800" s="12"/>
      <c r="R3800" s="12"/>
    </row>
    <row r="3801" spans="1:18" x14ac:dyDescent="0.2">
      <c r="A3801">
        <v>32</v>
      </c>
      <c r="B3801" t="s">
        <v>20</v>
      </c>
      <c r="C3801">
        <v>2021</v>
      </c>
      <c r="D3801">
        <v>12</v>
      </c>
      <c r="E3801" s="4">
        <v>0</v>
      </c>
      <c r="F3801" s="9">
        <v>0</v>
      </c>
      <c r="G3801" s="6">
        <v>761</v>
      </c>
      <c r="H3801" s="9">
        <f t="shared" si="59"/>
        <v>0</v>
      </c>
      <c r="I3801" s="6">
        <v>14500</v>
      </c>
      <c r="J3801" s="6">
        <f>VLOOKUP(Table1[[#This Row],[Province]],[1]Sheet1!$A$3:$K$37,11,FALSE)</f>
        <v>1319300</v>
      </c>
      <c r="K3801">
        <v>1</v>
      </c>
      <c r="L3801" s="4">
        <v>1.570999</v>
      </c>
      <c r="M3801" s="4">
        <v>127.808769</v>
      </c>
      <c r="N3801" s="13">
        <v>16.79</v>
      </c>
      <c r="P3801"/>
      <c r="Q3801" s="12"/>
      <c r="R3801" s="12"/>
    </row>
    <row r="3802" spans="1:18" x14ac:dyDescent="0.2">
      <c r="A3802">
        <v>32</v>
      </c>
      <c r="B3802" t="s">
        <v>20</v>
      </c>
      <c r="C3802">
        <v>2022</v>
      </c>
      <c r="D3802">
        <v>1</v>
      </c>
      <c r="E3802" s="6">
        <v>0</v>
      </c>
      <c r="F3802" s="9">
        <v>0</v>
      </c>
      <c r="G3802" s="6">
        <v>1442</v>
      </c>
      <c r="H3802" s="9">
        <f t="shared" si="59"/>
        <v>0</v>
      </c>
      <c r="I3802" s="6">
        <v>14650</v>
      </c>
      <c r="J3802" s="6">
        <f>VLOOKUP(Table1[[#This Row],[Province]],[1]Sheet1!$A$3:$K$37,11,FALSE)</f>
        <v>1319300</v>
      </c>
      <c r="K3802">
        <v>0</v>
      </c>
      <c r="L3802" s="4">
        <v>1.570999</v>
      </c>
      <c r="M3802" s="4">
        <v>127.808769</v>
      </c>
      <c r="N3802" s="13">
        <v>22.94</v>
      </c>
      <c r="P3802"/>
      <c r="Q3802" s="12"/>
      <c r="R3802" s="12"/>
    </row>
    <row r="3803" spans="1:18" x14ac:dyDescent="0.2">
      <c r="A3803">
        <v>32</v>
      </c>
      <c r="B3803" t="s">
        <v>20</v>
      </c>
      <c r="C3803">
        <v>2022</v>
      </c>
      <c r="D3803">
        <v>2</v>
      </c>
      <c r="E3803" s="6">
        <v>0</v>
      </c>
      <c r="F3803" s="9">
        <v>0</v>
      </c>
      <c r="G3803" s="6">
        <v>1041</v>
      </c>
      <c r="H3803" s="9">
        <f t="shared" si="59"/>
        <v>0</v>
      </c>
      <c r="I3803" s="6">
        <v>14847</v>
      </c>
      <c r="J3803" s="6">
        <f>VLOOKUP(Table1[[#This Row],[Province]],[1]Sheet1!$A$3:$K$37,11,FALSE)</f>
        <v>1319300</v>
      </c>
      <c r="K3803">
        <v>0</v>
      </c>
      <c r="L3803" s="4">
        <v>1.570999</v>
      </c>
      <c r="M3803" s="4">
        <v>127.808769</v>
      </c>
      <c r="N3803" s="13">
        <v>22.94</v>
      </c>
      <c r="P3803"/>
      <c r="Q3803" s="12"/>
      <c r="R3803" s="12"/>
    </row>
    <row r="3804" spans="1:18" x14ac:dyDescent="0.2">
      <c r="A3804">
        <v>32</v>
      </c>
      <c r="B3804" t="s">
        <v>20</v>
      </c>
      <c r="C3804">
        <v>2022</v>
      </c>
      <c r="D3804">
        <v>3</v>
      </c>
      <c r="E3804" s="6">
        <v>0</v>
      </c>
      <c r="F3804" s="9">
        <v>0</v>
      </c>
      <c r="G3804" s="6">
        <v>616</v>
      </c>
      <c r="H3804" s="9">
        <f t="shared" si="59"/>
        <v>0</v>
      </c>
      <c r="I3804" s="6">
        <v>15136</v>
      </c>
      <c r="J3804" s="6">
        <f>VLOOKUP(Table1[[#This Row],[Province]],[1]Sheet1!$A$3:$K$37,11,FALSE)</f>
        <v>1319300</v>
      </c>
      <c r="K3804">
        <v>0</v>
      </c>
      <c r="L3804" s="4">
        <v>1.570999</v>
      </c>
      <c r="M3804" s="4">
        <v>127.808769</v>
      </c>
      <c r="N3804" s="13">
        <v>22.94</v>
      </c>
      <c r="P3804"/>
      <c r="Q3804" s="12"/>
      <c r="R3804" s="12"/>
    </row>
    <row r="3805" spans="1:18" x14ac:dyDescent="0.2">
      <c r="A3805">
        <v>32</v>
      </c>
      <c r="B3805" t="s">
        <v>20</v>
      </c>
      <c r="C3805">
        <v>2022</v>
      </c>
      <c r="D3805">
        <v>4</v>
      </c>
      <c r="E3805" s="6">
        <v>0</v>
      </c>
      <c r="F3805" s="9">
        <v>0</v>
      </c>
      <c r="G3805" s="6">
        <v>537</v>
      </c>
      <c r="H3805" s="9">
        <f t="shared" si="59"/>
        <v>0</v>
      </c>
      <c r="I3805" s="6">
        <v>15842</v>
      </c>
      <c r="J3805" s="6">
        <f>VLOOKUP(Table1[[#This Row],[Province]],[1]Sheet1!$A$3:$K$37,11,FALSE)</f>
        <v>1319300</v>
      </c>
      <c r="K3805">
        <v>1</v>
      </c>
      <c r="L3805" s="4">
        <v>1.570999</v>
      </c>
      <c r="M3805" s="4">
        <v>127.808769</v>
      </c>
      <c r="N3805" s="13">
        <v>22.94</v>
      </c>
      <c r="P3805"/>
      <c r="Q3805" s="12"/>
      <c r="R3805" s="12"/>
    </row>
    <row r="3806" spans="1:18" x14ac:dyDescent="0.2">
      <c r="A3806">
        <v>32</v>
      </c>
      <c r="B3806" t="s">
        <v>20</v>
      </c>
      <c r="C3806">
        <v>2022</v>
      </c>
      <c r="D3806">
        <v>5</v>
      </c>
      <c r="E3806" s="6">
        <v>0</v>
      </c>
      <c r="F3806" s="9">
        <v>0</v>
      </c>
      <c r="G3806" s="6">
        <v>340</v>
      </c>
      <c r="H3806" s="9">
        <f t="shared" si="59"/>
        <v>0</v>
      </c>
      <c r="I3806" s="6">
        <v>16000</v>
      </c>
      <c r="J3806" s="6">
        <f>VLOOKUP(Table1[[#This Row],[Province]],[1]Sheet1!$A$3:$K$37,11,FALSE)</f>
        <v>1319300</v>
      </c>
      <c r="K3806">
        <v>0</v>
      </c>
      <c r="L3806" s="4">
        <v>1.570999</v>
      </c>
      <c r="M3806" s="4">
        <v>127.808769</v>
      </c>
      <c r="N3806" s="13">
        <v>22.94</v>
      </c>
      <c r="P3806"/>
      <c r="Q3806" s="12"/>
      <c r="R3806" s="12"/>
    </row>
    <row r="3807" spans="1:18" x14ac:dyDescent="0.2">
      <c r="A3807">
        <v>32</v>
      </c>
      <c r="B3807" t="s">
        <v>20</v>
      </c>
      <c r="C3807">
        <v>2022</v>
      </c>
      <c r="D3807">
        <v>6</v>
      </c>
      <c r="E3807" s="6">
        <v>0</v>
      </c>
      <c r="F3807" s="9">
        <v>0</v>
      </c>
      <c r="G3807" s="6">
        <v>106</v>
      </c>
      <c r="H3807" s="9">
        <f t="shared" si="59"/>
        <v>0</v>
      </c>
      <c r="I3807" s="6">
        <v>16000</v>
      </c>
      <c r="J3807" s="6">
        <f>VLOOKUP(Table1[[#This Row],[Province]],[1]Sheet1!$A$3:$K$37,11,FALSE)</f>
        <v>1319300</v>
      </c>
      <c r="K3807">
        <v>0</v>
      </c>
      <c r="L3807" s="4">
        <v>1.570999</v>
      </c>
      <c r="M3807" s="4">
        <v>127.808769</v>
      </c>
      <c r="N3807" s="13">
        <v>22.94</v>
      </c>
      <c r="P3807"/>
      <c r="Q3807" s="12"/>
      <c r="R3807" s="12"/>
    </row>
    <row r="3808" spans="1:18" x14ac:dyDescent="0.2">
      <c r="A3808">
        <v>32</v>
      </c>
      <c r="B3808" t="s">
        <v>20</v>
      </c>
      <c r="C3808">
        <v>2022</v>
      </c>
      <c r="D3808">
        <v>7</v>
      </c>
      <c r="E3808" s="6">
        <v>0</v>
      </c>
      <c r="F3808" s="9">
        <v>0</v>
      </c>
      <c r="G3808" s="6">
        <v>710</v>
      </c>
      <c r="H3808" s="9">
        <f t="shared" si="59"/>
        <v>0</v>
      </c>
      <c r="I3808" s="6">
        <v>16000</v>
      </c>
      <c r="J3808" s="6">
        <f>VLOOKUP(Table1[[#This Row],[Province]],[1]Sheet1!$A$3:$K$37,11,FALSE)</f>
        <v>1319300</v>
      </c>
      <c r="K3808">
        <v>0</v>
      </c>
      <c r="L3808" s="4">
        <v>1.570999</v>
      </c>
      <c r="M3808" s="4">
        <v>127.808769</v>
      </c>
      <c r="N3808" s="13">
        <v>22.94</v>
      </c>
      <c r="P3808"/>
      <c r="Q3808" s="12"/>
      <c r="R3808" s="12"/>
    </row>
    <row r="3809" spans="1:18" x14ac:dyDescent="0.2">
      <c r="A3809">
        <v>32</v>
      </c>
      <c r="B3809" t="s">
        <v>20</v>
      </c>
      <c r="C3809">
        <v>2022</v>
      </c>
      <c r="D3809">
        <v>8</v>
      </c>
      <c r="E3809" s="6">
        <v>0</v>
      </c>
      <c r="F3809" s="9">
        <v>0</v>
      </c>
      <c r="G3809" s="6">
        <v>157</v>
      </c>
      <c r="H3809" s="9">
        <f t="shared" si="59"/>
        <v>0</v>
      </c>
      <c r="I3809" s="6">
        <v>16000</v>
      </c>
      <c r="J3809" s="6">
        <f>VLOOKUP(Table1[[#This Row],[Province]],[1]Sheet1!$A$3:$K$37,11,FALSE)</f>
        <v>1319300</v>
      </c>
      <c r="K3809">
        <v>0</v>
      </c>
      <c r="L3809" s="4">
        <v>1.570999</v>
      </c>
      <c r="M3809" s="4">
        <v>127.808769</v>
      </c>
      <c r="N3809" s="13">
        <v>22.94</v>
      </c>
      <c r="P3809"/>
      <c r="Q3809" s="12"/>
      <c r="R3809" s="12"/>
    </row>
    <row r="3810" spans="1:18" x14ac:dyDescent="0.2">
      <c r="A3810">
        <v>32</v>
      </c>
      <c r="B3810" t="s">
        <v>20</v>
      </c>
      <c r="C3810">
        <v>2022</v>
      </c>
      <c r="D3810">
        <v>9</v>
      </c>
      <c r="E3810" s="6">
        <v>0</v>
      </c>
      <c r="F3810" s="9">
        <v>0</v>
      </c>
      <c r="G3810" s="6">
        <v>314</v>
      </c>
      <c r="H3810" s="9">
        <f t="shared" si="59"/>
        <v>0</v>
      </c>
      <c r="I3810" s="6">
        <v>15304</v>
      </c>
      <c r="J3810" s="6">
        <f>VLOOKUP(Table1[[#This Row],[Province]],[1]Sheet1!$A$3:$K$37,11,FALSE)</f>
        <v>1319300</v>
      </c>
      <c r="K3810">
        <v>0</v>
      </c>
      <c r="L3810" s="4">
        <v>1.570999</v>
      </c>
      <c r="M3810" s="4">
        <v>127.808769</v>
      </c>
      <c r="N3810" s="13">
        <v>22.94</v>
      </c>
      <c r="P3810"/>
      <c r="Q3810" s="12"/>
      <c r="R3810" s="12"/>
    </row>
    <row r="3811" spans="1:18" x14ac:dyDescent="0.2">
      <c r="A3811">
        <v>32</v>
      </c>
      <c r="B3811" t="s">
        <v>20</v>
      </c>
      <c r="C3811">
        <v>2022</v>
      </c>
      <c r="D3811">
        <v>10</v>
      </c>
      <c r="E3811" s="6">
        <v>0</v>
      </c>
      <c r="F3811" s="9">
        <v>0</v>
      </c>
      <c r="G3811" s="6">
        <v>971</v>
      </c>
      <c r="H3811" s="9">
        <f t="shared" si="59"/>
        <v>0</v>
      </c>
      <c r="I3811" s="6">
        <v>15273</v>
      </c>
      <c r="J3811" s="6">
        <f>VLOOKUP(Table1[[#This Row],[Province]],[1]Sheet1!$A$3:$K$37,11,FALSE)</f>
        <v>1319300</v>
      </c>
      <c r="K3811">
        <v>0</v>
      </c>
      <c r="L3811" s="4">
        <v>1.570999</v>
      </c>
      <c r="M3811" s="4">
        <v>127.808769</v>
      </c>
      <c r="N3811" s="13">
        <v>22.94</v>
      </c>
      <c r="P3811"/>
      <c r="Q3811" s="12"/>
      <c r="R3811" s="12"/>
    </row>
    <row r="3812" spans="1:18" x14ac:dyDescent="0.2">
      <c r="A3812">
        <v>32</v>
      </c>
      <c r="B3812" t="s">
        <v>20</v>
      </c>
      <c r="C3812">
        <v>2022</v>
      </c>
      <c r="D3812">
        <v>11</v>
      </c>
      <c r="E3812" s="6">
        <v>0</v>
      </c>
      <c r="F3812" s="9">
        <v>0</v>
      </c>
      <c r="G3812" s="6">
        <v>510</v>
      </c>
      <c r="H3812" s="9">
        <f t="shared" si="59"/>
        <v>0</v>
      </c>
      <c r="I3812" s="6">
        <v>16000</v>
      </c>
      <c r="J3812" s="6">
        <f>VLOOKUP(Table1[[#This Row],[Province]],[1]Sheet1!$A$3:$K$37,11,FALSE)</f>
        <v>1319300</v>
      </c>
      <c r="K3812">
        <v>0</v>
      </c>
      <c r="L3812" s="4">
        <v>1.570999</v>
      </c>
      <c r="M3812" s="4">
        <v>127.808769</v>
      </c>
      <c r="N3812" s="13">
        <v>22.94</v>
      </c>
      <c r="P3812"/>
      <c r="Q3812" s="12"/>
      <c r="R3812" s="12"/>
    </row>
    <row r="3813" spans="1:18" x14ac:dyDescent="0.2">
      <c r="A3813">
        <v>32</v>
      </c>
      <c r="B3813" t="s">
        <v>20</v>
      </c>
      <c r="C3813">
        <v>2022</v>
      </c>
      <c r="D3813">
        <v>12</v>
      </c>
      <c r="E3813" s="6">
        <v>0</v>
      </c>
      <c r="F3813" s="9">
        <v>0</v>
      </c>
      <c r="G3813" s="6">
        <v>1694</v>
      </c>
      <c r="H3813" s="9">
        <f t="shared" si="59"/>
        <v>0</v>
      </c>
      <c r="I3813" s="6">
        <v>15557</v>
      </c>
      <c r="J3813" s="6">
        <f>VLOOKUP(Table1[[#This Row],[Province]],[1]Sheet1!$A$3:$K$37,11,FALSE)</f>
        <v>1319300</v>
      </c>
      <c r="K3813">
        <v>1</v>
      </c>
      <c r="L3813" s="4">
        <v>1.570999</v>
      </c>
      <c r="M3813" s="4">
        <v>127.808769</v>
      </c>
      <c r="N3813" s="13">
        <v>22.94</v>
      </c>
      <c r="P3813"/>
      <c r="Q3813" s="12"/>
      <c r="R3813" s="12"/>
    </row>
    <row r="3814" spans="1:18" x14ac:dyDescent="0.2">
      <c r="A3814">
        <v>33</v>
      </c>
      <c r="B3814" t="s">
        <v>24</v>
      </c>
      <c r="C3814">
        <v>2013</v>
      </c>
      <c r="D3814">
        <v>1</v>
      </c>
      <c r="E3814" s="4">
        <v>0</v>
      </c>
      <c r="F3814" s="9">
        <v>0</v>
      </c>
      <c r="G3814" s="6">
        <v>558</v>
      </c>
      <c r="H3814" s="9">
        <f t="shared" si="59"/>
        <v>0</v>
      </c>
      <c r="I3814" s="6">
        <v>15000</v>
      </c>
      <c r="J3814" s="6">
        <f>VLOOKUP(Table1[[#This Row],[Province]],[1]Sheet1!$A$3:$K$37,11,FALSE)</f>
        <v>1183300</v>
      </c>
      <c r="K3814">
        <v>0</v>
      </c>
      <c r="L3814" s="4">
        <v>1.3361149999999999</v>
      </c>
      <c r="M3814" s="4">
        <v>133.17471599999999</v>
      </c>
      <c r="N3814" s="6"/>
      <c r="P3814"/>
      <c r="Q3814" s="12"/>
      <c r="R3814" s="12"/>
    </row>
    <row r="3815" spans="1:18" x14ac:dyDescent="0.2">
      <c r="A3815">
        <v>33</v>
      </c>
      <c r="B3815" t="s">
        <v>24</v>
      </c>
      <c r="C3815">
        <v>2013</v>
      </c>
      <c r="D3815">
        <v>2</v>
      </c>
      <c r="E3815" s="4">
        <v>0</v>
      </c>
      <c r="F3815" s="9">
        <v>0</v>
      </c>
      <c r="G3815" s="6">
        <v>535</v>
      </c>
      <c r="H3815" s="9">
        <f t="shared" si="59"/>
        <v>0</v>
      </c>
      <c r="I3815" s="6">
        <v>15000</v>
      </c>
      <c r="J3815" s="6">
        <f>VLOOKUP(Table1[[#This Row],[Province]],[1]Sheet1!$A$3:$K$37,11,FALSE)</f>
        <v>1183300</v>
      </c>
      <c r="K3815">
        <v>0</v>
      </c>
      <c r="L3815" s="4">
        <v>1.3361149999999999</v>
      </c>
      <c r="M3815" s="4">
        <v>133.17471599999999</v>
      </c>
      <c r="N3815" s="6"/>
      <c r="P3815"/>
      <c r="Q3815" s="12"/>
      <c r="R3815" s="12"/>
    </row>
    <row r="3816" spans="1:18" x14ac:dyDescent="0.2">
      <c r="A3816">
        <v>33</v>
      </c>
      <c r="B3816" t="s">
        <v>24</v>
      </c>
      <c r="C3816">
        <v>2013</v>
      </c>
      <c r="D3816">
        <v>3</v>
      </c>
      <c r="E3816" s="4">
        <v>0</v>
      </c>
      <c r="F3816" s="9">
        <v>0</v>
      </c>
      <c r="G3816" s="6">
        <v>551</v>
      </c>
      <c r="H3816" s="9">
        <f t="shared" si="59"/>
        <v>0</v>
      </c>
      <c r="I3816" s="6">
        <v>15000</v>
      </c>
      <c r="J3816" s="6">
        <f>VLOOKUP(Table1[[#This Row],[Province]],[1]Sheet1!$A$3:$K$37,11,FALSE)</f>
        <v>1183300</v>
      </c>
      <c r="K3816">
        <v>0</v>
      </c>
      <c r="L3816" s="4">
        <v>1.3361149999999999</v>
      </c>
      <c r="M3816" s="4">
        <v>133.17471599999999</v>
      </c>
      <c r="N3816" s="6"/>
      <c r="P3816"/>
      <c r="Q3816" s="12"/>
      <c r="R3816" s="12"/>
    </row>
    <row r="3817" spans="1:18" x14ac:dyDescent="0.2">
      <c r="A3817">
        <v>33</v>
      </c>
      <c r="B3817" t="s">
        <v>24</v>
      </c>
      <c r="C3817">
        <v>2013</v>
      </c>
      <c r="D3817">
        <v>4</v>
      </c>
      <c r="E3817" s="4">
        <v>0</v>
      </c>
      <c r="F3817" s="9">
        <v>0</v>
      </c>
      <c r="G3817" s="6">
        <v>716</v>
      </c>
      <c r="H3817" s="9">
        <f t="shared" si="59"/>
        <v>0</v>
      </c>
      <c r="I3817" s="6">
        <v>15000</v>
      </c>
      <c r="J3817" s="6">
        <f>VLOOKUP(Table1[[#This Row],[Province]],[1]Sheet1!$A$3:$K$37,11,FALSE)</f>
        <v>1183300</v>
      </c>
      <c r="K3817">
        <v>0</v>
      </c>
      <c r="L3817" s="4">
        <v>1.3361149999999999</v>
      </c>
      <c r="M3817" s="4">
        <v>133.17471599999999</v>
      </c>
      <c r="N3817" s="6"/>
      <c r="P3817"/>
      <c r="Q3817" s="12"/>
      <c r="R3817" s="12"/>
    </row>
    <row r="3818" spans="1:18" x14ac:dyDescent="0.2">
      <c r="A3818">
        <v>33</v>
      </c>
      <c r="B3818" t="s">
        <v>24</v>
      </c>
      <c r="C3818">
        <v>2013</v>
      </c>
      <c r="D3818">
        <v>5</v>
      </c>
      <c r="E3818" s="4">
        <v>0</v>
      </c>
      <c r="F3818" s="9">
        <v>0</v>
      </c>
      <c r="G3818" s="6">
        <v>868</v>
      </c>
      <c r="H3818" s="9">
        <f t="shared" si="59"/>
        <v>0</v>
      </c>
      <c r="I3818" s="6">
        <v>15000</v>
      </c>
      <c r="J3818" s="6">
        <f>VLOOKUP(Table1[[#This Row],[Province]],[1]Sheet1!$A$3:$K$37,11,FALSE)</f>
        <v>1183300</v>
      </c>
      <c r="K3818">
        <v>0</v>
      </c>
      <c r="L3818" s="4">
        <v>1.3361149999999999</v>
      </c>
      <c r="M3818" s="4">
        <v>133.17471599999999</v>
      </c>
      <c r="N3818" s="6"/>
      <c r="P3818"/>
      <c r="Q3818" s="12"/>
      <c r="R3818" s="12"/>
    </row>
    <row r="3819" spans="1:18" x14ac:dyDescent="0.2">
      <c r="A3819">
        <v>33</v>
      </c>
      <c r="B3819" t="s">
        <v>24</v>
      </c>
      <c r="C3819">
        <v>2013</v>
      </c>
      <c r="D3819">
        <v>6</v>
      </c>
      <c r="E3819" s="4">
        <v>0</v>
      </c>
      <c r="F3819" s="9">
        <v>0</v>
      </c>
      <c r="G3819" s="6">
        <v>723</v>
      </c>
      <c r="H3819" s="9">
        <f t="shared" si="59"/>
        <v>0</v>
      </c>
      <c r="I3819" s="6">
        <v>14921</v>
      </c>
      <c r="J3819" s="6">
        <f>VLOOKUP(Table1[[#This Row],[Province]],[1]Sheet1!$A$3:$K$37,11,FALSE)</f>
        <v>1183300</v>
      </c>
      <c r="K3819">
        <v>0</v>
      </c>
      <c r="L3819" s="4">
        <v>1.3361149999999999</v>
      </c>
      <c r="M3819" s="4">
        <v>133.17471599999999</v>
      </c>
      <c r="N3819" s="6"/>
      <c r="P3819"/>
      <c r="Q3819" s="12"/>
      <c r="R3819" s="12"/>
    </row>
    <row r="3820" spans="1:18" x14ac:dyDescent="0.2">
      <c r="A3820">
        <v>33</v>
      </c>
      <c r="B3820" t="s">
        <v>24</v>
      </c>
      <c r="C3820">
        <v>2013</v>
      </c>
      <c r="D3820">
        <v>7</v>
      </c>
      <c r="E3820" s="4">
        <v>0</v>
      </c>
      <c r="F3820" s="9">
        <v>0</v>
      </c>
      <c r="G3820" s="6">
        <v>1254</v>
      </c>
      <c r="H3820" s="9">
        <f t="shared" si="59"/>
        <v>0</v>
      </c>
      <c r="I3820" s="6">
        <v>15372</v>
      </c>
      <c r="J3820" s="6">
        <f>VLOOKUP(Table1[[#This Row],[Province]],[1]Sheet1!$A$3:$K$37,11,FALSE)</f>
        <v>1183300</v>
      </c>
      <c r="K3820">
        <v>1</v>
      </c>
      <c r="L3820" s="4">
        <v>1.3361149999999999</v>
      </c>
      <c r="M3820" s="4">
        <v>133.17471599999999</v>
      </c>
      <c r="N3820" s="6"/>
      <c r="P3820"/>
      <c r="Q3820" s="12"/>
      <c r="R3820" s="12"/>
    </row>
    <row r="3821" spans="1:18" x14ac:dyDescent="0.2">
      <c r="A3821">
        <v>33</v>
      </c>
      <c r="B3821" t="s">
        <v>24</v>
      </c>
      <c r="C3821">
        <v>2013</v>
      </c>
      <c r="D3821">
        <v>8</v>
      </c>
      <c r="E3821" s="4">
        <v>0</v>
      </c>
      <c r="F3821" s="9">
        <v>0</v>
      </c>
      <c r="G3821" s="6">
        <v>459</v>
      </c>
      <c r="H3821" s="9">
        <f t="shared" si="59"/>
        <v>0</v>
      </c>
      <c r="I3821" s="6">
        <v>14000</v>
      </c>
      <c r="J3821" s="6">
        <f>VLOOKUP(Table1[[#This Row],[Province]],[1]Sheet1!$A$3:$K$37,11,FALSE)</f>
        <v>1183300</v>
      </c>
      <c r="K3821">
        <v>0</v>
      </c>
      <c r="L3821" s="4">
        <v>1.3361149999999999</v>
      </c>
      <c r="M3821" s="4">
        <v>133.17471599999999</v>
      </c>
      <c r="N3821" s="6"/>
      <c r="P3821"/>
      <c r="Q3821" s="12"/>
      <c r="R3821" s="12"/>
    </row>
    <row r="3822" spans="1:18" x14ac:dyDescent="0.2">
      <c r="A3822">
        <v>33</v>
      </c>
      <c r="B3822" t="s">
        <v>24</v>
      </c>
      <c r="C3822">
        <v>2013</v>
      </c>
      <c r="D3822">
        <v>9</v>
      </c>
      <c r="E3822" s="4">
        <v>0</v>
      </c>
      <c r="F3822" s="9">
        <v>0</v>
      </c>
      <c r="G3822" s="6">
        <v>980</v>
      </c>
      <c r="H3822" s="9">
        <f t="shared" si="59"/>
        <v>0</v>
      </c>
      <c r="I3822" s="6">
        <v>14000</v>
      </c>
      <c r="J3822" s="6">
        <f>VLOOKUP(Table1[[#This Row],[Province]],[1]Sheet1!$A$3:$K$37,11,FALSE)</f>
        <v>1183300</v>
      </c>
      <c r="K3822">
        <v>0</v>
      </c>
      <c r="L3822" s="4">
        <v>1.3361149999999999</v>
      </c>
      <c r="M3822" s="4">
        <v>133.17471599999999</v>
      </c>
      <c r="N3822" s="6"/>
      <c r="P3822"/>
      <c r="Q3822" s="12"/>
      <c r="R3822" s="12"/>
    </row>
    <row r="3823" spans="1:18" x14ac:dyDescent="0.2">
      <c r="A3823">
        <v>33</v>
      </c>
      <c r="B3823" t="s">
        <v>24</v>
      </c>
      <c r="C3823">
        <v>2013</v>
      </c>
      <c r="D3823">
        <v>10</v>
      </c>
      <c r="E3823" s="4">
        <v>0</v>
      </c>
      <c r="F3823" s="9">
        <v>0</v>
      </c>
      <c r="G3823" s="6">
        <v>802</v>
      </c>
      <c r="H3823" s="9">
        <f t="shared" si="59"/>
        <v>0</v>
      </c>
      <c r="I3823" s="6">
        <v>14000</v>
      </c>
      <c r="J3823" s="6">
        <f>VLOOKUP(Table1[[#This Row],[Province]],[1]Sheet1!$A$3:$K$37,11,FALSE)</f>
        <v>1183300</v>
      </c>
      <c r="K3823">
        <v>0</v>
      </c>
      <c r="L3823" s="4">
        <v>1.3361149999999999</v>
      </c>
      <c r="M3823" s="4">
        <v>133.17471599999999</v>
      </c>
      <c r="N3823" s="6"/>
      <c r="P3823"/>
      <c r="Q3823" s="12"/>
      <c r="R3823" s="12"/>
    </row>
    <row r="3824" spans="1:18" x14ac:dyDescent="0.2">
      <c r="A3824">
        <v>33</v>
      </c>
      <c r="B3824" t="s">
        <v>24</v>
      </c>
      <c r="C3824">
        <v>2013</v>
      </c>
      <c r="D3824">
        <v>11</v>
      </c>
      <c r="E3824" s="4">
        <v>0</v>
      </c>
      <c r="F3824" s="9">
        <v>0</v>
      </c>
      <c r="G3824" s="6">
        <v>591</v>
      </c>
      <c r="H3824" s="9">
        <f t="shared" si="59"/>
        <v>0</v>
      </c>
      <c r="I3824" s="6">
        <v>14000</v>
      </c>
      <c r="J3824" s="6">
        <f>VLOOKUP(Table1[[#This Row],[Province]],[1]Sheet1!$A$3:$K$37,11,FALSE)</f>
        <v>1183300</v>
      </c>
      <c r="K3824">
        <v>0</v>
      </c>
      <c r="L3824" s="4">
        <v>1.3361149999999999</v>
      </c>
      <c r="M3824" s="4">
        <v>133.17471599999999</v>
      </c>
      <c r="N3824" s="6"/>
      <c r="P3824"/>
      <c r="Q3824" s="12"/>
      <c r="R3824" s="12"/>
    </row>
    <row r="3825" spans="1:18" x14ac:dyDescent="0.2">
      <c r="A3825">
        <v>33</v>
      </c>
      <c r="B3825" t="s">
        <v>24</v>
      </c>
      <c r="C3825">
        <v>2013</v>
      </c>
      <c r="D3825">
        <v>12</v>
      </c>
      <c r="E3825" s="4">
        <v>0</v>
      </c>
      <c r="F3825" s="9">
        <v>0</v>
      </c>
      <c r="G3825" s="6">
        <v>822</v>
      </c>
      <c r="H3825" s="9">
        <f t="shared" si="59"/>
        <v>0</v>
      </c>
      <c r="I3825" s="6">
        <v>14000</v>
      </c>
      <c r="J3825" s="6">
        <f>VLOOKUP(Table1[[#This Row],[Province]],[1]Sheet1!$A$3:$K$37,11,FALSE)</f>
        <v>1183300</v>
      </c>
      <c r="K3825">
        <v>1</v>
      </c>
      <c r="L3825" s="4">
        <v>1.3361149999999999</v>
      </c>
      <c r="M3825" s="4">
        <v>133.17471599999999</v>
      </c>
      <c r="N3825" s="6"/>
      <c r="P3825"/>
      <c r="Q3825" s="12"/>
      <c r="R3825" s="12"/>
    </row>
    <row r="3826" spans="1:18" x14ac:dyDescent="0.2">
      <c r="A3826">
        <v>33</v>
      </c>
      <c r="B3826" t="s">
        <v>24</v>
      </c>
      <c r="C3826">
        <v>2014</v>
      </c>
      <c r="D3826">
        <v>1</v>
      </c>
      <c r="E3826" s="4">
        <v>0</v>
      </c>
      <c r="F3826" s="9">
        <v>0</v>
      </c>
      <c r="G3826" s="6">
        <v>593</v>
      </c>
      <c r="H3826" s="9">
        <f t="shared" si="59"/>
        <v>0</v>
      </c>
      <c r="I3826" s="6">
        <v>14000</v>
      </c>
      <c r="J3826" s="6">
        <f>VLOOKUP(Table1[[#This Row],[Province]],[1]Sheet1!$A$3:$K$37,11,FALSE)</f>
        <v>1183300</v>
      </c>
      <c r="K3826">
        <v>0</v>
      </c>
      <c r="L3826" s="4">
        <v>1.3361149999999999</v>
      </c>
      <c r="M3826" s="4">
        <v>133.17471599999999</v>
      </c>
      <c r="N3826" s="6"/>
      <c r="P3826"/>
      <c r="Q3826" s="12"/>
      <c r="R3826" s="12"/>
    </row>
    <row r="3827" spans="1:18" x14ac:dyDescent="0.2">
      <c r="A3827">
        <v>33</v>
      </c>
      <c r="B3827" t="s">
        <v>24</v>
      </c>
      <c r="C3827">
        <v>2014</v>
      </c>
      <c r="D3827">
        <v>2</v>
      </c>
      <c r="E3827" s="4">
        <v>0</v>
      </c>
      <c r="F3827" s="9">
        <v>0</v>
      </c>
      <c r="G3827" s="6">
        <v>529</v>
      </c>
      <c r="H3827" s="9">
        <f t="shared" si="59"/>
        <v>0</v>
      </c>
      <c r="I3827" s="6">
        <v>14000</v>
      </c>
      <c r="J3827" s="6">
        <f>VLOOKUP(Table1[[#This Row],[Province]],[1]Sheet1!$A$3:$K$37,11,FALSE)</f>
        <v>1183300</v>
      </c>
      <c r="K3827">
        <v>0</v>
      </c>
      <c r="L3827" s="4">
        <v>1.3361149999999999</v>
      </c>
      <c r="M3827" s="4">
        <v>133.17471599999999</v>
      </c>
      <c r="N3827" s="6"/>
      <c r="P3827"/>
      <c r="Q3827" s="12"/>
      <c r="R3827" s="12"/>
    </row>
    <row r="3828" spans="1:18" x14ac:dyDescent="0.2">
      <c r="A3828">
        <v>33</v>
      </c>
      <c r="B3828" t="s">
        <v>24</v>
      </c>
      <c r="C3828">
        <v>2014</v>
      </c>
      <c r="D3828">
        <v>3</v>
      </c>
      <c r="E3828" s="4">
        <v>0</v>
      </c>
      <c r="F3828" s="9">
        <v>0</v>
      </c>
      <c r="G3828" s="6">
        <v>594</v>
      </c>
      <c r="H3828" s="9">
        <f t="shared" si="59"/>
        <v>0</v>
      </c>
      <c r="I3828" s="6">
        <v>14000</v>
      </c>
      <c r="J3828" s="6">
        <f>VLOOKUP(Table1[[#This Row],[Province]],[1]Sheet1!$A$3:$K$37,11,FALSE)</f>
        <v>1183300</v>
      </c>
      <c r="K3828">
        <v>0</v>
      </c>
      <c r="L3828" s="4">
        <v>1.3361149999999999</v>
      </c>
      <c r="M3828" s="4">
        <v>133.17471599999999</v>
      </c>
      <c r="N3828" s="6"/>
      <c r="P3828"/>
      <c r="Q3828" s="12"/>
      <c r="R3828" s="12"/>
    </row>
    <row r="3829" spans="1:18" x14ac:dyDescent="0.2">
      <c r="A3829">
        <v>33</v>
      </c>
      <c r="B3829" t="s">
        <v>24</v>
      </c>
      <c r="C3829">
        <v>2014</v>
      </c>
      <c r="D3829">
        <v>4</v>
      </c>
      <c r="E3829" s="4">
        <v>0</v>
      </c>
      <c r="F3829" s="9">
        <v>0</v>
      </c>
      <c r="G3829" s="6">
        <v>765</v>
      </c>
      <c r="H3829" s="9">
        <f t="shared" si="59"/>
        <v>0</v>
      </c>
      <c r="I3829" s="6">
        <v>14000</v>
      </c>
      <c r="J3829" s="6">
        <f>VLOOKUP(Table1[[#This Row],[Province]],[1]Sheet1!$A$3:$K$37,11,FALSE)</f>
        <v>1183300</v>
      </c>
      <c r="K3829">
        <v>0</v>
      </c>
      <c r="L3829" s="4">
        <v>1.3361149999999999</v>
      </c>
      <c r="M3829" s="4">
        <v>133.17471599999999</v>
      </c>
      <c r="N3829" s="6"/>
      <c r="P3829"/>
      <c r="Q3829" s="12"/>
      <c r="R3829" s="12"/>
    </row>
    <row r="3830" spans="1:18" x14ac:dyDescent="0.2">
      <c r="A3830">
        <v>33</v>
      </c>
      <c r="B3830" t="s">
        <v>24</v>
      </c>
      <c r="C3830">
        <v>2014</v>
      </c>
      <c r="D3830">
        <v>5</v>
      </c>
      <c r="E3830" s="4">
        <v>0</v>
      </c>
      <c r="F3830" s="9">
        <v>0</v>
      </c>
      <c r="G3830" s="6">
        <v>856</v>
      </c>
      <c r="H3830" s="9">
        <f t="shared" si="59"/>
        <v>0</v>
      </c>
      <c r="I3830" s="6">
        <v>14000</v>
      </c>
      <c r="J3830" s="6">
        <f>VLOOKUP(Table1[[#This Row],[Province]],[1]Sheet1!$A$3:$K$37,11,FALSE)</f>
        <v>1183300</v>
      </c>
      <c r="K3830">
        <v>0</v>
      </c>
      <c r="L3830" s="4">
        <v>1.3361149999999999</v>
      </c>
      <c r="M3830" s="4">
        <v>133.17471599999999</v>
      </c>
      <c r="N3830" s="6"/>
      <c r="P3830"/>
      <c r="Q3830" s="12"/>
      <c r="R3830" s="12"/>
    </row>
    <row r="3831" spans="1:18" x14ac:dyDescent="0.2">
      <c r="A3831">
        <v>33</v>
      </c>
      <c r="B3831" t="s">
        <v>24</v>
      </c>
      <c r="C3831">
        <v>2014</v>
      </c>
      <c r="D3831">
        <v>6</v>
      </c>
      <c r="E3831" s="4">
        <v>0</v>
      </c>
      <c r="F3831" s="9">
        <v>0</v>
      </c>
      <c r="G3831" s="6">
        <v>1219</v>
      </c>
      <c r="H3831" s="9">
        <f t="shared" si="59"/>
        <v>0</v>
      </c>
      <c r="I3831" s="6">
        <v>14000</v>
      </c>
      <c r="J3831" s="6">
        <f>VLOOKUP(Table1[[#This Row],[Province]],[1]Sheet1!$A$3:$K$37,11,FALSE)</f>
        <v>1183300</v>
      </c>
      <c r="K3831">
        <v>1</v>
      </c>
      <c r="L3831" s="4">
        <v>1.3361149999999999</v>
      </c>
      <c r="M3831" s="4">
        <v>133.17471599999999</v>
      </c>
      <c r="N3831" s="6"/>
      <c r="P3831"/>
      <c r="Q3831" s="12"/>
      <c r="R3831" s="12"/>
    </row>
    <row r="3832" spans="1:18" x14ac:dyDescent="0.2">
      <c r="A3832">
        <v>33</v>
      </c>
      <c r="B3832" t="s">
        <v>24</v>
      </c>
      <c r="C3832">
        <v>2014</v>
      </c>
      <c r="D3832">
        <v>7</v>
      </c>
      <c r="E3832" s="4">
        <v>0</v>
      </c>
      <c r="F3832" s="9">
        <v>0</v>
      </c>
      <c r="G3832" s="6">
        <v>765</v>
      </c>
      <c r="H3832" s="9">
        <f t="shared" si="59"/>
        <v>0</v>
      </c>
      <c r="I3832" s="6">
        <v>14000</v>
      </c>
      <c r="J3832" s="6">
        <f>VLOOKUP(Table1[[#This Row],[Province]],[1]Sheet1!$A$3:$K$37,11,FALSE)</f>
        <v>1183300</v>
      </c>
      <c r="K3832">
        <v>0</v>
      </c>
      <c r="L3832" s="4">
        <v>1.3361149999999999</v>
      </c>
      <c r="M3832" s="4">
        <v>133.17471599999999</v>
      </c>
      <c r="N3832" s="6"/>
      <c r="P3832"/>
      <c r="Q3832" s="12"/>
      <c r="R3832" s="12"/>
    </row>
    <row r="3833" spans="1:18" x14ac:dyDescent="0.2">
      <c r="A3833">
        <v>33</v>
      </c>
      <c r="B3833" t="s">
        <v>24</v>
      </c>
      <c r="C3833">
        <v>2014</v>
      </c>
      <c r="D3833">
        <v>8</v>
      </c>
      <c r="E3833" s="4">
        <v>0</v>
      </c>
      <c r="F3833" s="9">
        <v>0</v>
      </c>
      <c r="G3833" s="6">
        <v>737</v>
      </c>
      <c r="H3833" s="9">
        <f t="shared" si="59"/>
        <v>0</v>
      </c>
      <c r="I3833" s="6">
        <v>14050</v>
      </c>
      <c r="J3833" s="6">
        <f>VLOOKUP(Table1[[#This Row],[Province]],[1]Sheet1!$A$3:$K$37,11,FALSE)</f>
        <v>1183300</v>
      </c>
      <c r="K3833">
        <v>0</v>
      </c>
      <c r="L3833" s="4">
        <v>1.3361149999999999</v>
      </c>
      <c r="M3833" s="4">
        <v>133.17471599999999</v>
      </c>
      <c r="N3833" s="6"/>
      <c r="P3833"/>
      <c r="Q3833" s="12"/>
      <c r="R3833" s="12"/>
    </row>
    <row r="3834" spans="1:18" x14ac:dyDescent="0.2">
      <c r="A3834">
        <v>33</v>
      </c>
      <c r="B3834" t="s">
        <v>24</v>
      </c>
      <c r="C3834">
        <v>2014</v>
      </c>
      <c r="D3834">
        <v>9</v>
      </c>
      <c r="E3834" s="4">
        <v>0</v>
      </c>
      <c r="F3834" s="9">
        <v>0</v>
      </c>
      <c r="G3834" s="6">
        <v>742</v>
      </c>
      <c r="H3834" s="9">
        <f t="shared" si="59"/>
        <v>0</v>
      </c>
      <c r="I3834" s="6">
        <v>14000</v>
      </c>
      <c r="J3834" s="6">
        <f>VLOOKUP(Table1[[#This Row],[Province]],[1]Sheet1!$A$3:$K$37,11,FALSE)</f>
        <v>1183300</v>
      </c>
      <c r="K3834">
        <v>0</v>
      </c>
      <c r="L3834" s="4">
        <v>1.3361149999999999</v>
      </c>
      <c r="M3834" s="4">
        <v>133.17471599999999</v>
      </c>
      <c r="N3834" s="6"/>
      <c r="P3834"/>
      <c r="Q3834" s="12"/>
      <c r="R3834" s="12"/>
    </row>
    <row r="3835" spans="1:18" x14ac:dyDescent="0.2">
      <c r="A3835">
        <v>33</v>
      </c>
      <c r="B3835" t="s">
        <v>24</v>
      </c>
      <c r="C3835">
        <v>2014</v>
      </c>
      <c r="D3835">
        <v>10</v>
      </c>
      <c r="E3835" s="4">
        <v>0</v>
      </c>
      <c r="F3835" s="9">
        <v>0</v>
      </c>
      <c r="G3835" s="6">
        <v>1101</v>
      </c>
      <c r="H3835" s="9">
        <f t="shared" si="59"/>
        <v>0</v>
      </c>
      <c r="I3835" s="6">
        <v>13942</v>
      </c>
      <c r="J3835" s="6">
        <f>VLOOKUP(Table1[[#This Row],[Province]],[1]Sheet1!$A$3:$K$37,11,FALSE)</f>
        <v>1183300</v>
      </c>
      <c r="K3835">
        <v>0</v>
      </c>
      <c r="L3835" s="4">
        <v>1.3361149999999999</v>
      </c>
      <c r="M3835" s="4">
        <v>133.17471599999999</v>
      </c>
      <c r="N3835" s="6"/>
      <c r="P3835"/>
      <c r="Q3835" s="12"/>
      <c r="R3835" s="12"/>
    </row>
    <row r="3836" spans="1:18" x14ac:dyDescent="0.2">
      <c r="A3836">
        <v>33</v>
      </c>
      <c r="B3836" t="s">
        <v>24</v>
      </c>
      <c r="C3836">
        <v>2014</v>
      </c>
      <c r="D3836">
        <v>11</v>
      </c>
      <c r="E3836" s="4">
        <v>0</v>
      </c>
      <c r="F3836" s="9">
        <v>0</v>
      </c>
      <c r="G3836" s="6">
        <v>878</v>
      </c>
      <c r="H3836" s="9">
        <f t="shared" si="59"/>
        <v>0</v>
      </c>
      <c r="I3836" s="6">
        <v>14000</v>
      </c>
      <c r="J3836" s="6">
        <f>VLOOKUP(Table1[[#This Row],[Province]],[1]Sheet1!$A$3:$K$37,11,FALSE)</f>
        <v>1183300</v>
      </c>
      <c r="K3836">
        <v>0</v>
      </c>
      <c r="L3836" s="4">
        <v>1.3361149999999999</v>
      </c>
      <c r="M3836" s="4">
        <v>133.17471599999999</v>
      </c>
      <c r="N3836" s="6"/>
      <c r="P3836"/>
      <c r="Q3836" s="12"/>
      <c r="R3836" s="12"/>
    </row>
    <row r="3837" spans="1:18" x14ac:dyDescent="0.2">
      <c r="A3837">
        <v>33</v>
      </c>
      <c r="B3837" t="s">
        <v>24</v>
      </c>
      <c r="C3837">
        <v>2014</v>
      </c>
      <c r="D3837">
        <v>12</v>
      </c>
      <c r="E3837" s="4">
        <v>0</v>
      </c>
      <c r="F3837" s="9">
        <v>0</v>
      </c>
      <c r="G3837" s="6">
        <v>1024</v>
      </c>
      <c r="H3837" s="9">
        <f t="shared" si="59"/>
        <v>0</v>
      </c>
      <c r="I3837" s="6">
        <v>14000</v>
      </c>
      <c r="J3837" s="6">
        <f>VLOOKUP(Table1[[#This Row],[Province]],[1]Sheet1!$A$3:$K$37,11,FALSE)</f>
        <v>1183300</v>
      </c>
      <c r="K3837">
        <v>1</v>
      </c>
      <c r="L3837" s="4">
        <v>1.3361149999999999</v>
      </c>
      <c r="M3837" s="4">
        <v>133.17471599999999</v>
      </c>
      <c r="N3837" s="6"/>
      <c r="P3837"/>
      <c r="Q3837" s="12"/>
      <c r="R3837" s="12"/>
    </row>
    <row r="3838" spans="1:18" x14ac:dyDescent="0.2">
      <c r="A3838">
        <v>33</v>
      </c>
      <c r="B3838" t="s">
        <v>24</v>
      </c>
      <c r="C3838">
        <v>2015</v>
      </c>
      <c r="D3838">
        <v>1</v>
      </c>
      <c r="E3838" s="4">
        <v>0</v>
      </c>
      <c r="F3838" s="9">
        <v>0</v>
      </c>
      <c r="G3838" s="6">
        <v>503</v>
      </c>
      <c r="H3838" s="9">
        <f t="shared" si="59"/>
        <v>0</v>
      </c>
      <c r="I3838" s="6">
        <v>14000</v>
      </c>
      <c r="J3838" s="6">
        <f>VLOOKUP(Table1[[#This Row],[Province]],[1]Sheet1!$A$3:$K$37,11,FALSE)</f>
        <v>1183300</v>
      </c>
      <c r="K3838">
        <v>0</v>
      </c>
      <c r="L3838" s="4">
        <v>1.3361149999999999</v>
      </c>
      <c r="M3838" s="4">
        <v>133.17471599999999</v>
      </c>
      <c r="N3838" s="6"/>
      <c r="P3838"/>
      <c r="Q3838" s="12"/>
      <c r="R3838" s="12"/>
    </row>
    <row r="3839" spans="1:18" x14ac:dyDescent="0.2">
      <c r="A3839">
        <v>33</v>
      </c>
      <c r="B3839" t="s">
        <v>24</v>
      </c>
      <c r="C3839">
        <v>2015</v>
      </c>
      <c r="D3839">
        <v>2</v>
      </c>
      <c r="E3839" s="4">
        <v>0</v>
      </c>
      <c r="F3839" s="9">
        <v>0</v>
      </c>
      <c r="G3839" s="6">
        <v>1270</v>
      </c>
      <c r="H3839" s="9">
        <f t="shared" si="59"/>
        <v>0</v>
      </c>
      <c r="I3839" s="6">
        <v>14000</v>
      </c>
      <c r="J3839" s="6">
        <f>VLOOKUP(Table1[[#This Row],[Province]],[1]Sheet1!$A$3:$K$37,11,FALSE)</f>
        <v>1183300</v>
      </c>
      <c r="K3839">
        <v>0</v>
      </c>
      <c r="L3839" s="4">
        <v>1.3361149999999999</v>
      </c>
      <c r="M3839" s="4">
        <v>133.17471599999999</v>
      </c>
      <c r="N3839" s="6"/>
      <c r="P3839"/>
      <c r="Q3839" s="12"/>
      <c r="R3839" s="12"/>
    </row>
    <row r="3840" spans="1:18" x14ac:dyDescent="0.2">
      <c r="A3840">
        <v>33</v>
      </c>
      <c r="B3840" t="s">
        <v>24</v>
      </c>
      <c r="C3840">
        <v>2015</v>
      </c>
      <c r="D3840">
        <v>3</v>
      </c>
      <c r="E3840" s="4">
        <v>0</v>
      </c>
      <c r="F3840" s="9">
        <v>0</v>
      </c>
      <c r="G3840" s="6">
        <v>576</v>
      </c>
      <c r="H3840" s="9">
        <f t="shared" si="59"/>
        <v>0</v>
      </c>
      <c r="I3840" s="6">
        <v>14000</v>
      </c>
      <c r="J3840" s="6">
        <f>VLOOKUP(Table1[[#This Row],[Province]],[1]Sheet1!$A$3:$K$37,11,FALSE)</f>
        <v>1183300</v>
      </c>
      <c r="K3840">
        <v>0</v>
      </c>
      <c r="L3840" s="4">
        <v>1.3361149999999999</v>
      </c>
      <c r="M3840" s="4">
        <v>133.17471599999999</v>
      </c>
      <c r="N3840" s="6"/>
      <c r="P3840"/>
      <c r="Q3840" s="12"/>
      <c r="R3840" s="12"/>
    </row>
    <row r="3841" spans="1:18" x14ac:dyDescent="0.2">
      <c r="A3841">
        <v>33</v>
      </c>
      <c r="B3841" t="s">
        <v>24</v>
      </c>
      <c r="C3841">
        <v>2015</v>
      </c>
      <c r="D3841">
        <v>4</v>
      </c>
      <c r="E3841" s="4">
        <v>0</v>
      </c>
      <c r="F3841" s="9">
        <v>0</v>
      </c>
      <c r="G3841" s="6">
        <v>954</v>
      </c>
      <c r="H3841" s="9">
        <f t="shared" si="59"/>
        <v>0</v>
      </c>
      <c r="I3841" s="6">
        <v>14000</v>
      </c>
      <c r="J3841" s="6">
        <f>VLOOKUP(Table1[[#This Row],[Province]],[1]Sheet1!$A$3:$K$37,11,FALSE)</f>
        <v>1183300</v>
      </c>
      <c r="K3841">
        <v>0</v>
      </c>
      <c r="L3841" s="4">
        <v>1.3361149999999999</v>
      </c>
      <c r="M3841" s="4">
        <v>133.17471599999999</v>
      </c>
      <c r="N3841" s="6"/>
      <c r="P3841"/>
      <c r="Q3841" s="12"/>
      <c r="R3841" s="12"/>
    </row>
    <row r="3842" spans="1:18" x14ac:dyDescent="0.2">
      <c r="A3842">
        <v>33</v>
      </c>
      <c r="B3842" t="s">
        <v>24</v>
      </c>
      <c r="C3842">
        <v>2015</v>
      </c>
      <c r="D3842">
        <v>5</v>
      </c>
      <c r="E3842" s="4">
        <v>0</v>
      </c>
      <c r="F3842" s="9">
        <v>0</v>
      </c>
      <c r="G3842" s="6">
        <v>914</v>
      </c>
      <c r="H3842" s="9">
        <f t="shared" ref="H3842:H3905" si="60">F3842+E3842</f>
        <v>0</v>
      </c>
      <c r="I3842" s="6">
        <v>14000</v>
      </c>
      <c r="J3842" s="6">
        <f>VLOOKUP(Table1[[#This Row],[Province]],[1]Sheet1!$A$3:$K$37,11,FALSE)</f>
        <v>1183300</v>
      </c>
      <c r="K3842">
        <v>0</v>
      </c>
      <c r="L3842" s="4">
        <v>1.3361149999999999</v>
      </c>
      <c r="M3842" s="4">
        <v>133.17471599999999</v>
      </c>
      <c r="N3842" s="6"/>
      <c r="P3842"/>
      <c r="Q3842" s="12"/>
      <c r="R3842" s="12"/>
    </row>
    <row r="3843" spans="1:18" x14ac:dyDescent="0.2">
      <c r="A3843">
        <v>33</v>
      </c>
      <c r="B3843" t="s">
        <v>24</v>
      </c>
      <c r="C3843">
        <v>2015</v>
      </c>
      <c r="D3843">
        <v>6</v>
      </c>
      <c r="E3843" s="4">
        <v>0</v>
      </c>
      <c r="F3843" s="9">
        <v>0</v>
      </c>
      <c r="G3843" s="6">
        <v>1039</v>
      </c>
      <c r="H3843" s="9">
        <f t="shared" si="60"/>
        <v>0</v>
      </c>
      <c r="I3843" s="6">
        <v>14143</v>
      </c>
      <c r="J3843" s="6">
        <f>VLOOKUP(Table1[[#This Row],[Province]],[1]Sheet1!$A$3:$K$37,11,FALSE)</f>
        <v>1183300</v>
      </c>
      <c r="K3843">
        <v>1</v>
      </c>
      <c r="L3843" s="4">
        <v>1.3361149999999999</v>
      </c>
      <c r="M3843" s="4">
        <v>133.17471599999999</v>
      </c>
      <c r="N3843" s="6"/>
      <c r="P3843"/>
      <c r="Q3843" s="12"/>
      <c r="R3843" s="12"/>
    </row>
    <row r="3844" spans="1:18" x14ac:dyDescent="0.2">
      <c r="A3844">
        <v>33</v>
      </c>
      <c r="B3844" t="s">
        <v>24</v>
      </c>
      <c r="C3844">
        <v>2015</v>
      </c>
      <c r="D3844">
        <v>7</v>
      </c>
      <c r="E3844" s="4">
        <v>0</v>
      </c>
      <c r="F3844" s="9">
        <v>0</v>
      </c>
      <c r="G3844" s="6">
        <v>709</v>
      </c>
      <c r="H3844" s="9">
        <f t="shared" si="60"/>
        <v>0</v>
      </c>
      <c r="I3844" s="6">
        <v>14263</v>
      </c>
      <c r="J3844" s="6">
        <f>VLOOKUP(Table1[[#This Row],[Province]],[1]Sheet1!$A$3:$K$37,11,FALSE)</f>
        <v>1183300</v>
      </c>
      <c r="K3844">
        <v>0</v>
      </c>
      <c r="L3844" s="4">
        <v>1.3361149999999999</v>
      </c>
      <c r="M3844" s="4">
        <v>133.17471599999999</v>
      </c>
      <c r="N3844" s="6"/>
      <c r="P3844"/>
      <c r="Q3844" s="12"/>
      <c r="R3844" s="12"/>
    </row>
    <row r="3845" spans="1:18" x14ac:dyDescent="0.2">
      <c r="A3845">
        <v>33</v>
      </c>
      <c r="B3845" t="s">
        <v>24</v>
      </c>
      <c r="C3845">
        <v>2015</v>
      </c>
      <c r="D3845">
        <v>8</v>
      </c>
      <c r="E3845" s="4">
        <v>0</v>
      </c>
      <c r="F3845" s="9">
        <v>0</v>
      </c>
      <c r="G3845" s="6">
        <v>702</v>
      </c>
      <c r="H3845" s="9">
        <f t="shared" si="60"/>
        <v>0</v>
      </c>
      <c r="I3845" s="6">
        <v>14683</v>
      </c>
      <c r="J3845" s="6">
        <f>VLOOKUP(Table1[[#This Row],[Province]],[1]Sheet1!$A$3:$K$37,11,FALSE)</f>
        <v>1183300</v>
      </c>
      <c r="K3845">
        <v>0</v>
      </c>
      <c r="L3845" s="4">
        <v>1.3361149999999999</v>
      </c>
      <c r="M3845" s="4">
        <v>133.17471599999999</v>
      </c>
      <c r="N3845" s="6"/>
      <c r="P3845"/>
      <c r="Q3845" s="12"/>
      <c r="R3845" s="12"/>
    </row>
    <row r="3846" spans="1:18" x14ac:dyDescent="0.2">
      <c r="A3846">
        <v>33</v>
      </c>
      <c r="B3846" t="s">
        <v>24</v>
      </c>
      <c r="C3846">
        <v>2015</v>
      </c>
      <c r="D3846">
        <v>9</v>
      </c>
      <c r="E3846" s="4">
        <v>0</v>
      </c>
      <c r="F3846" s="9">
        <v>0</v>
      </c>
      <c r="G3846" s="6">
        <v>942</v>
      </c>
      <c r="H3846" s="9">
        <f t="shared" si="60"/>
        <v>0</v>
      </c>
      <c r="I3846" s="6">
        <v>15000</v>
      </c>
      <c r="J3846" s="6">
        <f>VLOOKUP(Table1[[#This Row],[Province]],[1]Sheet1!$A$3:$K$37,11,FALSE)</f>
        <v>1183300</v>
      </c>
      <c r="K3846">
        <v>0</v>
      </c>
      <c r="L3846" s="4">
        <v>1.3361149999999999</v>
      </c>
      <c r="M3846" s="4">
        <v>133.17471599999999</v>
      </c>
      <c r="N3846" s="6"/>
      <c r="P3846"/>
      <c r="Q3846" s="12"/>
      <c r="R3846" s="12"/>
    </row>
    <row r="3847" spans="1:18" x14ac:dyDescent="0.2">
      <c r="A3847">
        <v>33</v>
      </c>
      <c r="B3847" t="s">
        <v>24</v>
      </c>
      <c r="C3847">
        <v>2015</v>
      </c>
      <c r="D3847">
        <v>10</v>
      </c>
      <c r="E3847" s="4">
        <v>0</v>
      </c>
      <c r="F3847" s="9">
        <v>0</v>
      </c>
      <c r="G3847" s="6">
        <v>628</v>
      </c>
      <c r="H3847" s="9">
        <f t="shared" si="60"/>
        <v>0</v>
      </c>
      <c r="I3847" s="6">
        <v>15000</v>
      </c>
      <c r="J3847" s="6">
        <f>VLOOKUP(Table1[[#This Row],[Province]],[1]Sheet1!$A$3:$K$37,11,FALSE)</f>
        <v>1183300</v>
      </c>
      <c r="K3847">
        <v>0</v>
      </c>
      <c r="L3847" s="4">
        <v>1.3361149999999999</v>
      </c>
      <c r="M3847" s="4">
        <v>133.17471599999999</v>
      </c>
      <c r="N3847" s="6"/>
      <c r="P3847"/>
      <c r="Q3847" s="12"/>
      <c r="R3847" s="12"/>
    </row>
    <row r="3848" spans="1:18" x14ac:dyDescent="0.2">
      <c r="A3848">
        <v>33</v>
      </c>
      <c r="B3848" t="s">
        <v>24</v>
      </c>
      <c r="C3848">
        <v>2015</v>
      </c>
      <c r="D3848">
        <v>11</v>
      </c>
      <c r="E3848" s="4">
        <v>0</v>
      </c>
      <c r="F3848" s="9">
        <v>0</v>
      </c>
      <c r="G3848" s="6">
        <v>828</v>
      </c>
      <c r="H3848" s="9">
        <f t="shared" si="60"/>
        <v>0</v>
      </c>
      <c r="I3848" s="6">
        <v>14254</v>
      </c>
      <c r="J3848" s="6">
        <f>VLOOKUP(Table1[[#This Row],[Province]],[1]Sheet1!$A$3:$K$37,11,FALSE)</f>
        <v>1183300</v>
      </c>
      <c r="K3848">
        <v>0</v>
      </c>
      <c r="L3848" s="4">
        <v>1.3361149999999999</v>
      </c>
      <c r="M3848" s="4">
        <v>133.17471599999999</v>
      </c>
      <c r="N3848" s="6"/>
      <c r="P3848"/>
      <c r="Q3848" s="12"/>
      <c r="R3848" s="12"/>
    </row>
    <row r="3849" spans="1:18" x14ac:dyDescent="0.2">
      <c r="A3849">
        <v>33</v>
      </c>
      <c r="B3849" t="s">
        <v>24</v>
      </c>
      <c r="C3849">
        <v>2015</v>
      </c>
      <c r="D3849">
        <v>12</v>
      </c>
      <c r="E3849" s="4">
        <v>0</v>
      </c>
      <c r="F3849" s="9">
        <v>0</v>
      </c>
      <c r="G3849" s="6">
        <v>888</v>
      </c>
      <c r="H3849" s="9">
        <f t="shared" si="60"/>
        <v>0</v>
      </c>
      <c r="I3849" s="6">
        <v>14000</v>
      </c>
      <c r="J3849" s="6">
        <f>VLOOKUP(Table1[[#This Row],[Province]],[1]Sheet1!$A$3:$K$37,11,FALSE)</f>
        <v>1183300</v>
      </c>
      <c r="K3849">
        <v>1</v>
      </c>
      <c r="L3849" s="4">
        <v>1.3361149999999999</v>
      </c>
      <c r="M3849" s="4">
        <v>133.17471599999999</v>
      </c>
      <c r="N3849" s="6"/>
      <c r="P3849"/>
      <c r="Q3849" s="12"/>
      <c r="R3849" s="12"/>
    </row>
    <row r="3850" spans="1:18" x14ac:dyDescent="0.2">
      <c r="A3850">
        <v>33</v>
      </c>
      <c r="B3850" t="s">
        <v>24</v>
      </c>
      <c r="C3850">
        <v>2016</v>
      </c>
      <c r="D3850">
        <v>1</v>
      </c>
      <c r="E3850" s="4">
        <v>0</v>
      </c>
      <c r="F3850" s="9">
        <v>0</v>
      </c>
      <c r="G3850" s="6">
        <v>583</v>
      </c>
      <c r="H3850" s="9">
        <f t="shared" si="60"/>
        <v>0</v>
      </c>
      <c r="I3850" s="6">
        <v>14067</v>
      </c>
      <c r="J3850" s="6">
        <f>VLOOKUP(Table1[[#This Row],[Province]],[1]Sheet1!$A$3:$K$37,11,FALSE)</f>
        <v>1183300</v>
      </c>
      <c r="K3850">
        <v>0</v>
      </c>
      <c r="L3850" s="4">
        <v>1.3361149999999999</v>
      </c>
      <c r="M3850" s="4">
        <v>133.17471599999999</v>
      </c>
      <c r="N3850" s="13">
        <v>4.5199999999999996</v>
      </c>
      <c r="P3850"/>
      <c r="Q3850" s="12"/>
      <c r="R3850" s="12"/>
    </row>
    <row r="3851" spans="1:18" x14ac:dyDescent="0.2">
      <c r="A3851">
        <v>33</v>
      </c>
      <c r="B3851" t="s">
        <v>24</v>
      </c>
      <c r="C3851">
        <v>2016</v>
      </c>
      <c r="D3851">
        <v>2</v>
      </c>
      <c r="E3851" s="4">
        <v>0</v>
      </c>
      <c r="F3851" s="9">
        <v>0</v>
      </c>
      <c r="G3851" s="6">
        <v>392</v>
      </c>
      <c r="H3851" s="9">
        <f t="shared" si="60"/>
        <v>0</v>
      </c>
      <c r="I3851" s="6">
        <v>14000</v>
      </c>
      <c r="J3851" s="6">
        <f>VLOOKUP(Table1[[#This Row],[Province]],[1]Sheet1!$A$3:$K$37,11,FALSE)</f>
        <v>1183300</v>
      </c>
      <c r="K3851">
        <v>0</v>
      </c>
      <c r="L3851" s="4">
        <v>1.3361149999999999</v>
      </c>
      <c r="M3851" s="4">
        <v>133.17471599999999</v>
      </c>
      <c r="N3851" s="13">
        <v>4.5199999999999996</v>
      </c>
      <c r="P3851"/>
      <c r="Q3851" s="12"/>
      <c r="R3851" s="12"/>
    </row>
    <row r="3852" spans="1:18" x14ac:dyDescent="0.2">
      <c r="A3852">
        <v>33</v>
      </c>
      <c r="B3852" t="s">
        <v>24</v>
      </c>
      <c r="C3852">
        <v>2016</v>
      </c>
      <c r="D3852">
        <v>3</v>
      </c>
      <c r="E3852" s="4">
        <v>0</v>
      </c>
      <c r="F3852" s="9">
        <v>0</v>
      </c>
      <c r="G3852" s="6">
        <v>847</v>
      </c>
      <c r="H3852" s="9">
        <f t="shared" si="60"/>
        <v>0</v>
      </c>
      <c r="I3852" s="6">
        <v>14000</v>
      </c>
      <c r="J3852" s="6">
        <f>VLOOKUP(Table1[[#This Row],[Province]],[1]Sheet1!$A$3:$K$37,11,FALSE)</f>
        <v>1183300</v>
      </c>
      <c r="K3852">
        <v>0</v>
      </c>
      <c r="L3852" s="4">
        <v>1.3361149999999999</v>
      </c>
      <c r="M3852" s="4">
        <v>133.17471599999999</v>
      </c>
      <c r="N3852" s="13">
        <v>4.5199999999999996</v>
      </c>
      <c r="P3852"/>
      <c r="Q3852" s="12"/>
      <c r="R3852" s="12"/>
    </row>
    <row r="3853" spans="1:18" x14ac:dyDescent="0.2">
      <c r="A3853">
        <v>33</v>
      </c>
      <c r="B3853" t="s">
        <v>24</v>
      </c>
      <c r="C3853">
        <v>2016</v>
      </c>
      <c r="D3853">
        <v>4</v>
      </c>
      <c r="E3853" s="4">
        <v>0</v>
      </c>
      <c r="F3853" s="9">
        <v>0</v>
      </c>
      <c r="G3853" s="6">
        <v>518</v>
      </c>
      <c r="H3853" s="9">
        <f t="shared" si="60"/>
        <v>0</v>
      </c>
      <c r="I3853" s="6">
        <v>14000</v>
      </c>
      <c r="J3853" s="6">
        <f>VLOOKUP(Table1[[#This Row],[Province]],[1]Sheet1!$A$3:$K$37,11,FALSE)</f>
        <v>1183300</v>
      </c>
      <c r="K3853">
        <v>0</v>
      </c>
      <c r="L3853" s="4">
        <v>1.3361149999999999</v>
      </c>
      <c r="M3853" s="4">
        <v>133.17471599999999</v>
      </c>
      <c r="N3853" s="13">
        <v>4.5199999999999996</v>
      </c>
      <c r="P3853"/>
      <c r="Q3853" s="12"/>
      <c r="R3853" s="12"/>
    </row>
    <row r="3854" spans="1:18" x14ac:dyDescent="0.2">
      <c r="A3854">
        <v>33</v>
      </c>
      <c r="B3854" t="s">
        <v>24</v>
      </c>
      <c r="C3854">
        <v>2016</v>
      </c>
      <c r="D3854">
        <v>5</v>
      </c>
      <c r="E3854" s="4">
        <v>0</v>
      </c>
      <c r="F3854" s="9">
        <v>0</v>
      </c>
      <c r="G3854" s="6">
        <v>499</v>
      </c>
      <c r="H3854" s="9">
        <f t="shared" si="60"/>
        <v>0</v>
      </c>
      <c r="I3854" s="6">
        <v>15525</v>
      </c>
      <c r="J3854" s="6">
        <f>VLOOKUP(Table1[[#This Row],[Province]],[1]Sheet1!$A$3:$K$37,11,FALSE)</f>
        <v>1183300</v>
      </c>
      <c r="K3854">
        <v>0</v>
      </c>
      <c r="L3854" s="4">
        <v>1.3361149999999999</v>
      </c>
      <c r="M3854" s="4">
        <v>133.17471599999999</v>
      </c>
      <c r="N3854" s="13">
        <v>4.5199999999999996</v>
      </c>
      <c r="P3854"/>
      <c r="Q3854" s="12"/>
      <c r="R3854" s="12"/>
    </row>
    <row r="3855" spans="1:18" x14ac:dyDescent="0.2">
      <c r="A3855">
        <v>33</v>
      </c>
      <c r="B3855" t="s">
        <v>24</v>
      </c>
      <c r="C3855">
        <v>2016</v>
      </c>
      <c r="D3855">
        <v>6</v>
      </c>
      <c r="E3855" s="4">
        <v>0</v>
      </c>
      <c r="F3855" s="9">
        <v>0</v>
      </c>
      <c r="G3855" s="6">
        <v>930</v>
      </c>
      <c r="H3855" s="9">
        <f t="shared" si="60"/>
        <v>0</v>
      </c>
      <c r="I3855" s="6">
        <v>17924</v>
      </c>
      <c r="J3855" s="6">
        <f>VLOOKUP(Table1[[#This Row],[Province]],[1]Sheet1!$A$3:$K$37,11,FALSE)</f>
        <v>1183300</v>
      </c>
      <c r="K3855">
        <v>1</v>
      </c>
      <c r="L3855" s="4">
        <v>1.3361149999999999</v>
      </c>
      <c r="M3855" s="4">
        <v>133.17471599999999</v>
      </c>
      <c r="N3855" s="13">
        <v>4.5199999999999996</v>
      </c>
      <c r="P3855"/>
      <c r="Q3855" s="12"/>
      <c r="R3855" s="12"/>
    </row>
    <row r="3856" spans="1:18" x14ac:dyDescent="0.2">
      <c r="A3856">
        <v>33</v>
      </c>
      <c r="B3856" t="s">
        <v>24</v>
      </c>
      <c r="C3856">
        <v>2016</v>
      </c>
      <c r="D3856">
        <v>7</v>
      </c>
      <c r="E3856" s="4">
        <v>0</v>
      </c>
      <c r="F3856" s="9">
        <v>0</v>
      </c>
      <c r="G3856" s="6">
        <v>888</v>
      </c>
      <c r="H3856" s="9">
        <f t="shared" si="60"/>
        <v>0</v>
      </c>
      <c r="I3856" s="6">
        <v>18937</v>
      </c>
      <c r="J3856" s="6">
        <f>VLOOKUP(Table1[[#This Row],[Province]],[1]Sheet1!$A$3:$K$37,11,FALSE)</f>
        <v>1183300</v>
      </c>
      <c r="K3856">
        <v>0</v>
      </c>
      <c r="L3856" s="4">
        <v>1.3361149999999999</v>
      </c>
      <c r="M3856" s="4">
        <v>133.17471599999999</v>
      </c>
      <c r="N3856" s="13">
        <v>4.5199999999999996</v>
      </c>
      <c r="P3856"/>
      <c r="Q3856" s="12"/>
      <c r="R3856" s="12"/>
    </row>
    <row r="3857" spans="1:18" x14ac:dyDescent="0.2">
      <c r="A3857">
        <v>33</v>
      </c>
      <c r="B3857" t="s">
        <v>24</v>
      </c>
      <c r="C3857">
        <v>2016</v>
      </c>
      <c r="D3857">
        <v>8</v>
      </c>
      <c r="E3857" s="4">
        <v>0</v>
      </c>
      <c r="F3857" s="9">
        <v>0</v>
      </c>
      <c r="G3857" s="6">
        <v>877</v>
      </c>
      <c r="H3857" s="9">
        <f t="shared" si="60"/>
        <v>0</v>
      </c>
      <c r="I3857" s="6">
        <v>18924</v>
      </c>
      <c r="J3857" s="6">
        <f>VLOOKUP(Table1[[#This Row],[Province]],[1]Sheet1!$A$3:$K$37,11,FALSE)</f>
        <v>1183300</v>
      </c>
      <c r="K3857">
        <v>0</v>
      </c>
      <c r="L3857" s="4">
        <v>1.3361149999999999</v>
      </c>
      <c r="M3857" s="4">
        <v>133.17471599999999</v>
      </c>
      <c r="N3857" s="13">
        <v>4.5199999999999996</v>
      </c>
      <c r="P3857"/>
      <c r="Q3857" s="12"/>
      <c r="R3857" s="12"/>
    </row>
    <row r="3858" spans="1:18" x14ac:dyDescent="0.2">
      <c r="A3858">
        <v>33</v>
      </c>
      <c r="B3858" t="s">
        <v>24</v>
      </c>
      <c r="C3858">
        <v>2016</v>
      </c>
      <c r="D3858">
        <v>9</v>
      </c>
      <c r="E3858" s="4">
        <v>0</v>
      </c>
      <c r="F3858" s="9">
        <v>0</v>
      </c>
      <c r="G3858" s="6">
        <v>339</v>
      </c>
      <c r="H3858" s="9">
        <f t="shared" si="60"/>
        <v>0</v>
      </c>
      <c r="I3858" s="6">
        <v>17730</v>
      </c>
      <c r="J3858" s="6">
        <f>VLOOKUP(Table1[[#This Row],[Province]],[1]Sheet1!$A$3:$K$37,11,FALSE)</f>
        <v>1183300</v>
      </c>
      <c r="K3858">
        <v>0</v>
      </c>
      <c r="L3858" s="4">
        <v>1.3361149999999999</v>
      </c>
      <c r="M3858" s="4">
        <v>133.17471599999999</v>
      </c>
      <c r="N3858" s="13">
        <v>4.5199999999999996</v>
      </c>
      <c r="P3858"/>
      <c r="Q3858" s="12"/>
      <c r="R3858" s="12"/>
    </row>
    <row r="3859" spans="1:18" x14ac:dyDescent="0.2">
      <c r="A3859">
        <v>33</v>
      </c>
      <c r="B3859" t="s">
        <v>24</v>
      </c>
      <c r="C3859">
        <v>2016</v>
      </c>
      <c r="D3859">
        <v>10</v>
      </c>
      <c r="E3859" s="4">
        <v>0</v>
      </c>
      <c r="F3859" s="9">
        <v>0</v>
      </c>
      <c r="G3859" s="6">
        <v>1481</v>
      </c>
      <c r="H3859" s="9">
        <f t="shared" si="60"/>
        <v>0</v>
      </c>
      <c r="I3859" s="6">
        <v>16000</v>
      </c>
      <c r="J3859" s="6">
        <f>VLOOKUP(Table1[[#This Row],[Province]],[1]Sheet1!$A$3:$K$37,11,FALSE)</f>
        <v>1183300</v>
      </c>
      <c r="K3859">
        <v>0</v>
      </c>
      <c r="L3859" s="4">
        <v>1.3361149999999999</v>
      </c>
      <c r="M3859" s="4">
        <v>133.17471599999999</v>
      </c>
      <c r="N3859" s="13">
        <v>4.5199999999999996</v>
      </c>
      <c r="P3859"/>
      <c r="Q3859" s="12"/>
      <c r="R3859" s="12"/>
    </row>
    <row r="3860" spans="1:18" x14ac:dyDescent="0.2">
      <c r="A3860">
        <v>33</v>
      </c>
      <c r="B3860" t="s">
        <v>24</v>
      </c>
      <c r="C3860">
        <v>2016</v>
      </c>
      <c r="D3860">
        <v>11</v>
      </c>
      <c r="E3860" s="4">
        <v>0</v>
      </c>
      <c r="F3860" s="9">
        <v>0</v>
      </c>
      <c r="G3860" s="6">
        <v>419</v>
      </c>
      <c r="H3860" s="9">
        <f t="shared" si="60"/>
        <v>0</v>
      </c>
      <c r="I3860" s="6">
        <v>15742</v>
      </c>
      <c r="J3860" s="6">
        <f>VLOOKUP(Table1[[#This Row],[Province]],[1]Sheet1!$A$3:$K$37,11,FALSE)</f>
        <v>1183300</v>
      </c>
      <c r="K3860">
        <v>0</v>
      </c>
      <c r="L3860" s="4">
        <v>1.3361149999999999</v>
      </c>
      <c r="M3860" s="4">
        <v>133.17471599999999</v>
      </c>
      <c r="N3860" s="13">
        <v>4.5199999999999996</v>
      </c>
      <c r="P3860"/>
      <c r="Q3860" s="12"/>
      <c r="R3860" s="12"/>
    </row>
    <row r="3861" spans="1:18" x14ac:dyDescent="0.2">
      <c r="A3861">
        <v>33</v>
      </c>
      <c r="B3861" t="s">
        <v>24</v>
      </c>
      <c r="C3861">
        <v>2016</v>
      </c>
      <c r="D3861">
        <v>12</v>
      </c>
      <c r="E3861" s="4">
        <v>0</v>
      </c>
      <c r="F3861" s="9">
        <v>0</v>
      </c>
      <c r="G3861" s="6">
        <v>420</v>
      </c>
      <c r="H3861" s="9">
        <f t="shared" si="60"/>
        <v>0</v>
      </c>
      <c r="I3861" s="6">
        <v>15167</v>
      </c>
      <c r="J3861" s="6">
        <f>VLOOKUP(Table1[[#This Row],[Province]],[1]Sheet1!$A$3:$K$37,11,FALSE)</f>
        <v>1183300</v>
      </c>
      <c r="K3861">
        <v>1</v>
      </c>
      <c r="L3861" s="4">
        <v>1.3361149999999999</v>
      </c>
      <c r="M3861" s="4">
        <v>133.17471599999999</v>
      </c>
      <c r="N3861" s="13">
        <v>4.5199999999999996</v>
      </c>
      <c r="P3861"/>
      <c r="Q3861" s="12"/>
      <c r="R3861" s="12"/>
    </row>
    <row r="3862" spans="1:18" x14ac:dyDescent="0.2">
      <c r="A3862">
        <v>33</v>
      </c>
      <c r="B3862" t="s">
        <v>24</v>
      </c>
      <c r="C3862">
        <v>2017</v>
      </c>
      <c r="D3862">
        <v>1</v>
      </c>
      <c r="E3862" s="4">
        <v>0</v>
      </c>
      <c r="F3862" s="9">
        <v>0</v>
      </c>
      <c r="G3862" s="6">
        <v>832</v>
      </c>
      <c r="H3862" s="9">
        <f t="shared" si="60"/>
        <v>0</v>
      </c>
      <c r="I3862" s="6">
        <v>15000</v>
      </c>
      <c r="J3862" s="6">
        <f>VLOOKUP(Table1[[#This Row],[Province]],[1]Sheet1!$A$3:$K$37,11,FALSE)</f>
        <v>1183300</v>
      </c>
      <c r="K3862">
        <v>0</v>
      </c>
      <c r="L3862" s="4">
        <v>1.3361149999999999</v>
      </c>
      <c r="M3862" s="4">
        <v>133.17471599999999</v>
      </c>
      <c r="N3862" s="13">
        <v>4.0199999999999996</v>
      </c>
      <c r="P3862"/>
      <c r="Q3862" s="12"/>
      <c r="R3862" s="12"/>
    </row>
    <row r="3863" spans="1:18" x14ac:dyDescent="0.2">
      <c r="A3863">
        <v>33</v>
      </c>
      <c r="B3863" t="s">
        <v>24</v>
      </c>
      <c r="C3863">
        <v>2017</v>
      </c>
      <c r="D3863">
        <v>2</v>
      </c>
      <c r="E3863" s="4">
        <v>0</v>
      </c>
      <c r="F3863" s="9">
        <v>0</v>
      </c>
      <c r="G3863" s="6">
        <v>478</v>
      </c>
      <c r="H3863" s="9">
        <f t="shared" si="60"/>
        <v>0</v>
      </c>
      <c r="I3863" s="6">
        <v>15035</v>
      </c>
      <c r="J3863" s="6">
        <f>VLOOKUP(Table1[[#This Row],[Province]],[1]Sheet1!$A$3:$K$37,11,FALSE)</f>
        <v>1183300</v>
      </c>
      <c r="K3863">
        <v>0</v>
      </c>
      <c r="L3863" s="4">
        <v>1.3361149999999999</v>
      </c>
      <c r="M3863" s="4">
        <v>133.17471599999999</v>
      </c>
      <c r="N3863" s="13">
        <v>4.0199999999999996</v>
      </c>
      <c r="P3863"/>
      <c r="Q3863" s="12"/>
      <c r="R3863" s="12"/>
    </row>
    <row r="3864" spans="1:18" x14ac:dyDescent="0.2">
      <c r="A3864">
        <v>33</v>
      </c>
      <c r="B3864" t="s">
        <v>24</v>
      </c>
      <c r="C3864">
        <v>2017</v>
      </c>
      <c r="D3864">
        <v>3</v>
      </c>
      <c r="E3864" s="4">
        <v>0</v>
      </c>
      <c r="F3864" s="9">
        <v>0</v>
      </c>
      <c r="G3864" s="6">
        <v>373</v>
      </c>
      <c r="H3864" s="9">
        <f t="shared" si="60"/>
        <v>0</v>
      </c>
      <c r="I3864" s="6">
        <v>15000</v>
      </c>
      <c r="J3864" s="6">
        <f>VLOOKUP(Table1[[#This Row],[Province]],[1]Sheet1!$A$3:$K$37,11,FALSE)</f>
        <v>1183300</v>
      </c>
      <c r="K3864">
        <v>0</v>
      </c>
      <c r="L3864" s="4">
        <v>1.3361149999999999</v>
      </c>
      <c r="M3864" s="4">
        <v>133.17471599999999</v>
      </c>
      <c r="N3864" s="13">
        <v>4.0199999999999996</v>
      </c>
      <c r="P3864"/>
      <c r="Q3864" s="12"/>
      <c r="R3864" s="12"/>
    </row>
    <row r="3865" spans="1:18" x14ac:dyDescent="0.2">
      <c r="A3865">
        <v>33</v>
      </c>
      <c r="B3865" t="s">
        <v>24</v>
      </c>
      <c r="C3865">
        <v>2017</v>
      </c>
      <c r="D3865">
        <v>4</v>
      </c>
      <c r="E3865" s="4">
        <v>0</v>
      </c>
      <c r="F3865" s="9">
        <v>0</v>
      </c>
      <c r="G3865" s="6">
        <v>267</v>
      </c>
      <c r="H3865" s="9">
        <f t="shared" si="60"/>
        <v>0</v>
      </c>
      <c r="I3865" s="6">
        <v>15000</v>
      </c>
      <c r="J3865" s="6">
        <f>VLOOKUP(Table1[[#This Row],[Province]],[1]Sheet1!$A$3:$K$37,11,FALSE)</f>
        <v>1183300</v>
      </c>
      <c r="K3865">
        <v>0</v>
      </c>
      <c r="L3865" s="4">
        <v>1.3361149999999999</v>
      </c>
      <c r="M3865" s="4">
        <v>133.17471599999999</v>
      </c>
      <c r="N3865" s="13">
        <v>4.0199999999999996</v>
      </c>
      <c r="P3865"/>
      <c r="Q3865" s="12"/>
      <c r="R3865" s="12"/>
    </row>
    <row r="3866" spans="1:18" x14ac:dyDescent="0.2">
      <c r="A3866">
        <v>33</v>
      </c>
      <c r="B3866" t="s">
        <v>24</v>
      </c>
      <c r="C3866">
        <v>2017</v>
      </c>
      <c r="D3866">
        <v>5</v>
      </c>
      <c r="E3866" s="4">
        <v>0</v>
      </c>
      <c r="F3866" s="9">
        <v>0</v>
      </c>
      <c r="G3866" s="6">
        <v>257</v>
      </c>
      <c r="H3866" s="9">
        <f t="shared" si="60"/>
        <v>0</v>
      </c>
      <c r="I3866" s="6">
        <v>14958</v>
      </c>
      <c r="J3866" s="6">
        <f>VLOOKUP(Table1[[#This Row],[Province]],[1]Sheet1!$A$3:$K$37,11,FALSE)</f>
        <v>1183300</v>
      </c>
      <c r="K3866">
        <v>1</v>
      </c>
      <c r="L3866" s="4">
        <v>1.3361149999999999</v>
      </c>
      <c r="M3866" s="4">
        <v>133.17471599999999</v>
      </c>
      <c r="N3866" s="13">
        <v>4.0199999999999996</v>
      </c>
      <c r="P3866"/>
      <c r="Q3866" s="12"/>
      <c r="R3866" s="12"/>
    </row>
    <row r="3867" spans="1:18" x14ac:dyDescent="0.2">
      <c r="A3867">
        <v>33</v>
      </c>
      <c r="B3867" t="s">
        <v>24</v>
      </c>
      <c r="C3867">
        <v>2017</v>
      </c>
      <c r="D3867">
        <v>6</v>
      </c>
      <c r="E3867" s="4">
        <v>0</v>
      </c>
      <c r="F3867" s="9">
        <v>0</v>
      </c>
      <c r="G3867" s="6">
        <v>475</v>
      </c>
      <c r="H3867" s="9">
        <f t="shared" si="60"/>
        <v>0</v>
      </c>
      <c r="I3867" s="6">
        <v>14722</v>
      </c>
      <c r="J3867" s="6">
        <f>VLOOKUP(Table1[[#This Row],[Province]],[1]Sheet1!$A$3:$K$37,11,FALSE)</f>
        <v>1183300</v>
      </c>
      <c r="K3867">
        <v>0</v>
      </c>
      <c r="L3867" s="4">
        <v>1.3361149999999999</v>
      </c>
      <c r="M3867" s="4">
        <v>133.17471599999999</v>
      </c>
      <c r="N3867" s="13">
        <v>4.0199999999999996</v>
      </c>
      <c r="P3867"/>
      <c r="Q3867" s="12"/>
      <c r="R3867" s="12"/>
    </row>
    <row r="3868" spans="1:18" x14ac:dyDescent="0.2">
      <c r="A3868">
        <v>33</v>
      </c>
      <c r="B3868" t="s">
        <v>24</v>
      </c>
      <c r="C3868">
        <v>2017</v>
      </c>
      <c r="D3868">
        <v>7</v>
      </c>
      <c r="E3868" s="4">
        <v>0</v>
      </c>
      <c r="F3868" s="9">
        <v>0</v>
      </c>
      <c r="G3868" s="6">
        <v>529</v>
      </c>
      <c r="H3868" s="9">
        <f t="shared" si="60"/>
        <v>0</v>
      </c>
      <c r="I3868" s="6">
        <v>14326</v>
      </c>
      <c r="J3868" s="6">
        <f>VLOOKUP(Table1[[#This Row],[Province]],[1]Sheet1!$A$3:$K$37,11,FALSE)</f>
        <v>1183300</v>
      </c>
      <c r="K3868">
        <v>0</v>
      </c>
      <c r="L3868" s="4">
        <v>1.3361149999999999</v>
      </c>
      <c r="M3868" s="4">
        <v>133.17471599999999</v>
      </c>
      <c r="N3868" s="13">
        <v>4.0199999999999996</v>
      </c>
      <c r="P3868"/>
      <c r="Q3868" s="12"/>
      <c r="R3868" s="12"/>
    </row>
    <row r="3869" spans="1:18" x14ac:dyDescent="0.2">
      <c r="A3869">
        <v>33</v>
      </c>
      <c r="B3869" t="s">
        <v>24</v>
      </c>
      <c r="C3869">
        <v>2017</v>
      </c>
      <c r="D3869">
        <v>8</v>
      </c>
      <c r="E3869" s="4">
        <v>0</v>
      </c>
      <c r="F3869" s="9">
        <v>0</v>
      </c>
      <c r="G3869" s="6">
        <v>1014</v>
      </c>
      <c r="H3869" s="9">
        <f t="shared" si="60"/>
        <v>0</v>
      </c>
      <c r="I3869" s="6">
        <v>15000</v>
      </c>
      <c r="J3869" s="6">
        <f>VLOOKUP(Table1[[#This Row],[Province]],[1]Sheet1!$A$3:$K$37,11,FALSE)</f>
        <v>1183300</v>
      </c>
      <c r="K3869">
        <v>0</v>
      </c>
      <c r="L3869" s="4">
        <v>1.3361149999999999</v>
      </c>
      <c r="M3869" s="4">
        <v>133.17471599999999</v>
      </c>
      <c r="N3869" s="13">
        <v>4.0199999999999996</v>
      </c>
      <c r="P3869"/>
      <c r="Q3869" s="12"/>
      <c r="R3869" s="12"/>
    </row>
    <row r="3870" spans="1:18" x14ac:dyDescent="0.2">
      <c r="A3870">
        <v>33</v>
      </c>
      <c r="B3870" t="s">
        <v>24</v>
      </c>
      <c r="C3870">
        <v>2017</v>
      </c>
      <c r="D3870">
        <v>9</v>
      </c>
      <c r="E3870" s="4">
        <v>0</v>
      </c>
      <c r="F3870" s="9">
        <v>0</v>
      </c>
      <c r="G3870" s="6">
        <v>983</v>
      </c>
      <c r="H3870" s="9">
        <f t="shared" si="60"/>
        <v>0</v>
      </c>
      <c r="I3870" s="6">
        <v>15000</v>
      </c>
      <c r="J3870" s="6">
        <f>VLOOKUP(Table1[[#This Row],[Province]],[1]Sheet1!$A$3:$K$37,11,FALSE)</f>
        <v>1183300</v>
      </c>
      <c r="K3870">
        <v>0</v>
      </c>
      <c r="L3870" s="4">
        <v>1.3361149999999999</v>
      </c>
      <c r="M3870" s="4">
        <v>133.17471599999999</v>
      </c>
      <c r="N3870" s="13">
        <v>4.0199999999999996</v>
      </c>
      <c r="P3870"/>
      <c r="Q3870" s="12"/>
      <c r="R3870" s="12"/>
    </row>
    <row r="3871" spans="1:18" x14ac:dyDescent="0.2">
      <c r="A3871">
        <v>33</v>
      </c>
      <c r="B3871" t="s">
        <v>24</v>
      </c>
      <c r="C3871">
        <v>2017</v>
      </c>
      <c r="D3871">
        <v>10</v>
      </c>
      <c r="E3871" s="4">
        <v>0</v>
      </c>
      <c r="F3871" s="9">
        <v>0</v>
      </c>
      <c r="G3871" s="6">
        <v>1276</v>
      </c>
      <c r="H3871" s="9">
        <f t="shared" si="60"/>
        <v>0</v>
      </c>
      <c r="I3871" s="6">
        <v>14515</v>
      </c>
      <c r="J3871" s="6">
        <f>VLOOKUP(Table1[[#This Row],[Province]],[1]Sheet1!$A$3:$K$37,11,FALSE)</f>
        <v>1183300</v>
      </c>
      <c r="K3871">
        <v>0</v>
      </c>
      <c r="L3871" s="4">
        <v>1.3361149999999999</v>
      </c>
      <c r="M3871" s="4">
        <v>133.17471599999999</v>
      </c>
      <c r="N3871" s="13">
        <v>4.0199999999999996</v>
      </c>
      <c r="P3871"/>
      <c r="Q3871" s="12"/>
      <c r="R3871" s="12"/>
    </row>
    <row r="3872" spans="1:18" x14ac:dyDescent="0.2">
      <c r="A3872">
        <v>33</v>
      </c>
      <c r="B3872" t="s">
        <v>24</v>
      </c>
      <c r="C3872">
        <v>2017</v>
      </c>
      <c r="D3872">
        <v>11</v>
      </c>
      <c r="E3872" s="4">
        <v>0</v>
      </c>
      <c r="F3872" s="9">
        <v>0</v>
      </c>
      <c r="G3872" s="6">
        <v>333</v>
      </c>
      <c r="H3872" s="9">
        <f t="shared" si="60"/>
        <v>0</v>
      </c>
      <c r="I3872" s="6">
        <v>14303</v>
      </c>
      <c r="J3872" s="6">
        <f>VLOOKUP(Table1[[#This Row],[Province]],[1]Sheet1!$A$3:$K$37,11,FALSE)</f>
        <v>1183300</v>
      </c>
      <c r="K3872">
        <v>0</v>
      </c>
      <c r="L3872" s="4">
        <v>1.3361149999999999</v>
      </c>
      <c r="M3872" s="4">
        <v>133.17471599999999</v>
      </c>
      <c r="N3872" s="13">
        <v>4.0199999999999996</v>
      </c>
      <c r="P3872"/>
      <c r="Q3872" s="12"/>
      <c r="R3872" s="12"/>
    </row>
    <row r="3873" spans="1:18" x14ac:dyDescent="0.2">
      <c r="A3873">
        <v>33</v>
      </c>
      <c r="B3873" t="s">
        <v>24</v>
      </c>
      <c r="C3873">
        <v>2017</v>
      </c>
      <c r="D3873">
        <v>12</v>
      </c>
      <c r="E3873" s="4">
        <v>0</v>
      </c>
      <c r="F3873" s="9">
        <v>0</v>
      </c>
      <c r="G3873" s="6">
        <v>621</v>
      </c>
      <c r="H3873" s="9">
        <f t="shared" si="60"/>
        <v>0</v>
      </c>
      <c r="I3873" s="6">
        <v>13926</v>
      </c>
      <c r="J3873" s="6">
        <f>VLOOKUP(Table1[[#This Row],[Province]],[1]Sheet1!$A$3:$K$37,11,FALSE)</f>
        <v>1183300</v>
      </c>
      <c r="K3873">
        <v>1</v>
      </c>
      <c r="L3873" s="4">
        <v>1.3361149999999999</v>
      </c>
      <c r="M3873" s="4">
        <v>133.17471599999999</v>
      </c>
      <c r="N3873" s="13">
        <v>4.0199999999999996</v>
      </c>
      <c r="P3873"/>
      <c r="Q3873" s="12"/>
      <c r="R3873" s="12"/>
    </row>
    <row r="3874" spans="1:18" x14ac:dyDescent="0.2">
      <c r="A3874">
        <v>33</v>
      </c>
      <c r="B3874" t="s">
        <v>24</v>
      </c>
      <c r="C3874">
        <v>2018</v>
      </c>
      <c r="D3874">
        <v>1</v>
      </c>
      <c r="E3874" s="4">
        <v>0</v>
      </c>
      <c r="F3874" s="9">
        <v>0</v>
      </c>
      <c r="G3874" s="6">
        <v>687</v>
      </c>
      <c r="H3874" s="9">
        <f t="shared" si="60"/>
        <v>0</v>
      </c>
      <c r="I3874" s="6">
        <v>12500</v>
      </c>
      <c r="J3874" s="6">
        <f>VLOOKUP(Table1[[#This Row],[Province]],[1]Sheet1!$A$3:$K$37,11,FALSE)</f>
        <v>1183300</v>
      </c>
      <c r="K3874">
        <v>0</v>
      </c>
      <c r="L3874" s="4">
        <v>1.3361149999999999</v>
      </c>
      <c r="M3874" s="4">
        <v>133.17471599999999</v>
      </c>
      <c r="N3874" s="13">
        <v>6.25</v>
      </c>
      <c r="P3874"/>
      <c r="Q3874" s="12"/>
      <c r="R3874" s="12"/>
    </row>
    <row r="3875" spans="1:18" x14ac:dyDescent="0.2">
      <c r="A3875">
        <v>33</v>
      </c>
      <c r="B3875" t="s">
        <v>24</v>
      </c>
      <c r="C3875">
        <v>2018</v>
      </c>
      <c r="D3875">
        <v>2</v>
      </c>
      <c r="E3875" s="4">
        <v>0</v>
      </c>
      <c r="F3875" s="9">
        <v>0</v>
      </c>
      <c r="G3875" s="6">
        <v>951</v>
      </c>
      <c r="H3875" s="9">
        <f t="shared" si="60"/>
        <v>0</v>
      </c>
      <c r="I3875" s="6">
        <v>12500</v>
      </c>
      <c r="J3875" s="6">
        <f>VLOOKUP(Table1[[#This Row],[Province]],[1]Sheet1!$A$3:$K$37,11,FALSE)</f>
        <v>1183300</v>
      </c>
      <c r="K3875">
        <v>0</v>
      </c>
      <c r="L3875" s="4">
        <v>1.3361149999999999</v>
      </c>
      <c r="M3875" s="4">
        <v>133.17471599999999</v>
      </c>
      <c r="N3875" s="13">
        <v>6.25</v>
      </c>
      <c r="P3875"/>
      <c r="Q3875" s="12"/>
      <c r="R3875" s="12"/>
    </row>
    <row r="3876" spans="1:18" x14ac:dyDescent="0.2">
      <c r="A3876">
        <v>33</v>
      </c>
      <c r="B3876" t="s">
        <v>24</v>
      </c>
      <c r="C3876">
        <v>2018</v>
      </c>
      <c r="D3876">
        <v>3</v>
      </c>
      <c r="E3876" s="4">
        <v>0</v>
      </c>
      <c r="F3876" s="9">
        <v>0</v>
      </c>
      <c r="G3876" s="6">
        <v>1235</v>
      </c>
      <c r="H3876" s="9">
        <f t="shared" si="60"/>
        <v>0</v>
      </c>
      <c r="I3876" s="6">
        <v>12500</v>
      </c>
      <c r="J3876" s="6">
        <f>VLOOKUP(Table1[[#This Row],[Province]],[1]Sheet1!$A$3:$K$37,11,FALSE)</f>
        <v>1183300</v>
      </c>
      <c r="K3876">
        <v>0</v>
      </c>
      <c r="L3876" s="4">
        <v>1.3361149999999999</v>
      </c>
      <c r="M3876" s="4">
        <v>133.17471599999999</v>
      </c>
      <c r="N3876" s="13">
        <v>6.25</v>
      </c>
      <c r="P3876"/>
      <c r="Q3876" s="12"/>
      <c r="R3876" s="12"/>
    </row>
    <row r="3877" spans="1:18" x14ac:dyDescent="0.2">
      <c r="A3877">
        <v>33</v>
      </c>
      <c r="B3877" t="s">
        <v>24</v>
      </c>
      <c r="C3877">
        <v>2018</v>
      </c>
      <c r="D3877">
        <v>4</v>
      </c>
      <c r="E3877" s="4">
        <v>0</v>
      </c>
      <c r="F3877" s="9">
        <v>0</v>
      </c>
      <c r="G3877" s="6">
        <v>1014</v>
      </c>
      <c r="H3877" s="9">
        <f t="shared" si="60"/>
        <v>0</v>
      </c>
      <c r="I3877" s="6">
        <v>12500</v>
      </c>
      <c r="J3877" s="6">
        <f>VLOOKUP(Table1[[#This Row],[Province]],[1]Sheet1!$A$3:$K$37,11,FALSE)</f>
        <v>1183300</v>
      </c>
      <c r="K3877">
        <v>0</v>
      </c>
      <c r="L3877" s="4">
        <v>1.3361149999999999</v>
      </c>
      <c r="M3877" s="4">
        <v>133.17471599999999</v>
      </c>
      <c r="N3877" s="13">
        <v>6.25</v>
      </c>
      <c r="P3877"/>
      <c r="Q3877" s="12"/>
      <c r="R3877" s="12"/>
    </row>
    <row r="3878" spans="1:18" x14ac:dyDescent="0.2">
      <c r="A3878">
        <v>33</v>
      </c>
      <c r="B3878" t="s">
        <v>24</v>
      </c>
      <c r="C3878">
        <v>2018</v>
      </c>
      <c r="D3878">
        <v>5</v>
      </c>
      <c r="E3878" s="4">
        <v>0</v>
      </c>
      <c r="F3878" s="9">
        <v>0</v>
      </c>
      <c r="G3878" s="6">
        <v>1118</v>
      </c>
      <c r="H3878" s="9">
        <f t="shared" si="60"/>
        <v>0</v>
      </c>
      <c r="I3878" s="6">
        <v>14500</v>
      </c>
      <c r="J3878" s="6">
        <f>VLOOKUP(Table1[[#This Row],[Province]],[1]Sheet1!$A$3:$K$37,11,FALSE)</f>
        <v>1183300</v>
      </c>
      <c r="K3878">
        <v>1</v>
      </c>
      <c r="L3878" s="4">
        <v>1.3361149999999999</v>
      </c>
      <c r="M3878" s="4">
        <v>133.17471599999999</v>
      </c>
      <c r="N3878" s="13">
        <v>6.25</v>
      </c>
      <c r="P3878"/>
      <c r="Q3878" s="12"/>
      <c r="R3878" s="12"/>
    </row>
    <row r="3879" spans="1:18" x14ac:dyDescent="0.2">
      <c r="A3879">
        <v>33</v>
      </c>
      <c r="B3879" t="s">
        <v>24</v>
      </c>
      <c r="C3879">
        <v>2018</v>
      </c>
      <c r="D3879">
        <v>6</v>
      </c>
      <c r="E3879" s="4">
        <v>0</v>
      </c>
      <c r="F3879" s="9">
        <v>0</v>
      </c>
      <c r="G3879" s="6">
        <v>1042</v>
      </c>
      <c r="H3879" s="9">
        <f t="shared" si="60"/>
        <v>0</v>
      </c>
      <c r="I3879" s="6">
        <v>13000</v>
      </c>
      <c r="J3879" s="6">
        <f>VLOOKUP(Table1[[#This Row],[Province]],[1]Sheet1!$A$3:$K$37,11,FALSE)</f>
        <v>1183300</v>
      </c>
      <c r="K3879">
        <v>0</v>
      </c>
      <c r="L3879" s="4">
        <v>1.3361149999999999</v>
      </c>
      <c r="M3879" s="4">
        <v>133.17471599999999</v>
      </c>
      <c r="N3879" s="13">
        <v>6.25</v>
      </c>
      <c r="P3879"/>
      <c r="Q3879" s="12"/>
      <c r="R3879" s="12"/>
    </row>
    <row r="3880" spans="1:18" x14ac:dyDescent="0.2">
      <c r="A3880">
        <v>33</v>
      </c>
      <c r="B3880" t="s">
        <v>24</v>
      </c>
      <c r="C3880">
        <v>2018</v>
      </c>
      <c r="D3880">
        <v>7</v>
      </c>
      <c r="E3880" s="4">
        <v>0</v>
      </c>
      <c r="F3880" s="9">
        <v>0</v>
      </c>
      <c r="G3880" s="6">
        <v>1153</v>
      </c>
      <c r="H3880" s="9">
        <f t="shared" si="60"/>
        <v>0</v>
      </c>
      <c r="I3880" s="6">
        <v>13000</v>
      </c>
      <c r="J3880" s="6">
        <f>VLOOKUP(Table1[[#This Row],[Province]],[1]Sheet1!$A$3:$K$37,11,FALSE)</f>
        <v>1183300</v>
      </c>
      <c r="K3880">
        <v>0</v>
      </c>
      <c r="L3880" s="4">
        <v>1.3361149999999999</v>
      </c>
      <c r="M3880" s="4">
        <v>133.17471599999999</v>
      </c>
      <c r="N3880" s="13">
        <v>6.25</v>
      </c>
      <c r="P3880"/>
      <c r="Q3880" s="12"/>
      <c r="R3880" s="12"/>
    </row>
    <row r="3881" spans="1:18" x14ac:dyDescent="0.2">
      <c r="A3881">
        <v>33</v>
      </c>
      <c r="B3881" t="s">
        <v>24</v>
      </c>
      <c r="C3881">
        <v>2018</v>
      </c>
      <c r="D3881">
        <v>8</v>
      </c>
      <c r="E3881" s="4">
        <v>0</v>
      </c>
      <c r="F3881" s="9">
        <v>0</v>
      </c>
      <c r="G3881" s="6">
        <v>751</v>
      </c>
      <c r="H3881" s="9">
        <f t="shared" si="60"/>
        <v>0</v>
      </c>
      <c r="I3881" s="6">
        <v>15000</v>
      </c>
      <c r="J3881" s="6">
        <f>VLOOKUP(Table1[[#This Row],[Province]],[1]Sheet1!$A$3:$K$37,11,FALSE)</f>
        <v>1183300</v>
      </c>
      <c r="K3881">
        <v>0</v>
      </c>
      <c r="L3881" s="4">
        <v>1.3361149999999999</v>
      </c>
      <c r="M3881" s="4">
        <v>133.17471599999999</v>
      </c>
      <c r="N3881" s="13">
        <v>6.25</v>
      </c>
      <c r="P3881"/>
      <c r="Q3881" s="12"/>
      <c r="R3881" s="12"/>
    </row>
    <row r="3882" spans="1:18" x14ac:dyDescent="0.2">
      <c r="A3882">
        <v>33</v>
      </c>
      <c r="B3882" t="s">
        <v>24</v>
      </c>
      <c r="C3882">
        <v>2018</v>
      </c>
      <c r="D3882">
        <v>9</v>
      </c>
      <c r="E3882" s="4">
        <v>0</v>
      </c>
      <c r="F3882" s="9">
        <v>0</v>
      </c>
      <c r="G3882" s="6">
        <v>1045</v>
      </c>
      <c r="H3882" s="9">
        <f t="shared" si="60"/>
        <v>0</v>
      </c>
      <c r="I3882" s="6">
        <v>14438</v>
      </c>
      <c r="J3882" s="6">
        <f>VLOOKUP(Table1[[#This Row],[Province]],[1]Sheet1!$A$3:$K$37,11,FALSE)</f>
        <v>1183300</v>
      </c>
      <c r="K3882">
        <v>0</v>
      </c>
      <c r="L3882" s="4">
        <v>1.3361149999999999</v>
      </c>
      <c r="M3882" s="4">
        <v>133.17471599999999</v>
      </c>
      <c r="N3882" s="13">
        <v>6.25</v>
      </c>
      <c r="P3882"/>
      <c r="Q3882" s="12"/>
      <c r="R3882" s="12"/>
    </row>
    <row r="3883" spans="1:18" x14ac:dyDescent="0.2">
      <c r="A3883">
        <v>33</v>
      </c>
      <c r="B3883" t="s">
        <v>24</v>
      </c>
      <c r="C3883">
        <v>2018</v>
      </c>
      <c r="D3883">
        <v>10</v>
      </c>
      <c r="E3883" s="4">
        <v>0</v>
      </c>
      <c r="F3883" s="9">
        <v>0</v>
      </c>
      <c r="G3883" s="6">
        <v>840</v>
      </c>
      <c r="H3883" s="9">
        <f t="shared" si="60"/>
        <v>0</v>
      </c>
      <c r="I3883" s="6">
        <v>14917</v>
      </c>
      <c r="J3883" s="6">
        <f>VLOOKUP(Table1[[#This Row],[Province]],[1]Sheet1!$A$3:$K$37,11,FALSE)</f>
        <v>1183300</v>
      </c>
      <c r="K3883">
        <v>0</v>
      </c>
      <c r="L3883" s="4">
        <v>1.3361149999999999</v>
      </c>
      <c r="M3883" s="4">
        <v>133.17471599999999</v>
      </c>
      <c r="N3883" s="13">
        <v>6.25</v>
      </c>
      <c r="P3883"/>
      <c r="Q3883" s="12"/>
      <c r="R3883" s="12"/>
    </row>
    <row r="3884" spans="1:18" x14ac:dyDescent="0.2">
      <c r="A3884">
        <v>33</v>
      </c>
      <c r="B3884" t="s">
        <v>24</v>
      </c>
      <c r="C3884">
        <v>2018</v>
      </c>
      <c r="D3884">
        <v>11</v>
      </c>
      <c r="E3884" s="4">
        <v>0</v>
      </c>
      <c r="F3884" s="9">
        <v>0</v>
      </c>
      <c r="G3884" s="6">
        <v>985</v>
      </c>
      <c r="H3884" s="9">
        <f t="shared" si="60"/>
        <v>0</v>
      </c>
      <c r="I3884" s="6">
        <v>14833</v>
      </c>
      <c r="J3884" s="6">
        <f>VLOOKUP(Table1[[#This Row],[Province]],[1]Sheet1!$A$3:$K$37,11,FALSE)</f>
        <v>1183300</v>
      </c>
      <c r="K3884">
        <v>0</v>
      </c>
      <c r="L3884" s="4">
        <v>1.3361149999999999</v>
      </c>
      <c r="M3884" s="4">
        <v>133.17471599999999</v>
      </c>
      <c r="N3884" s="13">
        <v>6.25</v>
      </c>
      <c r="P3884"/>
      <c r="Q3884" s="12"/>
      <c r="R3884" s="12"/>
    </row>
    <row r="3885" spans="1:18" x14ac:dyDescent="0.2">
      <c r="A3885">
        <v>33</v>
      </c>
      <c r="B3885" t="s">
        <v>24</v>
      </c>
      <c r="C3885">
        <v>2018</v>
      </c>
      <c r="D3885">
        <v>12</v>
      </c>
      <c r="E3885" s="4">
        <v>0</v>
      </c>
      <c r="F3885" s="9">
        <v>0</v>
      </c>
      <c r="G3885" s="6">
        <v>802</v>
      </c>
      <c r="H3885" s="9">
        <f t="shared" si="60"/>
        <v>0</v>
      </c>
      <c r="I3885" s="6">
        <v>13938</v>
      </c>
      <c r="J3885" s="6">
        <f>VLOOKUP(Table1[[#This Row],[Province]],[1]Sheet1!$A$3:$K$37,11,FALSE)</f>
        <v>1183300</v>
      </c>
      <c r="K3885">
        <v>1</v>
      </c>
      <c r="L3885" s="4">
        <v>1.3361149999999999</v>
      </c>
      <c r="M3885" s="4">
        <v>133.17471599999999</v>
      </c>
      <c r="N3885" s="13">
        <v>6.25</v>
      </c>
      <c r="P3885"/>
      <c r="Q3885" s="12"/>
      <c r="R3885" s="12"/>
    </row>
    <row r="3886" spans="1:18" x14ac:dyDescent="0.2">
      <c r="A3886">
        <v>33</v>
      </c>
      <c r="B3886" t="s">
        <v>24</v>
      </c>
      <c r="C3886">
        <v>2019</v>
      </c>
      <c r="D3886">
        <v>1</v>
      </c>
      <c r="E3886" s="4">
        <v>0</v>
      </c>
      <c r="F3886" s="9">
        <v>0</v>
      </c>
      <c r="G3886" s="6">
        <v>842</v>
      </c>
      <c r="H3886" s="9">
        <f t="shared" si="60"/>
        <v>0</v>
      </c>
      <c r="I3886" s="6">
        <v>13183</v>
      </c>
      <c r="J3886" s="6">
        <f>VLOOKUP(Table1[[#This Row],[Province]],[1]Sheet1!$A$3:$K$37,11,FALSE)</f>
        <v>1183300</v>
      </c>
      <c r="K3886">
        <v>0</v>
      </c>
      <c r="L3886" s="4">
        <v>1.3361149999999999</v>
      </c>
      <c r="M3886" s="4">
        <v>133.17471599999999</v>
      </c>
      <c r="N3886" s="13">
        <v>2.66</v>
      </c>
      <c r="P3886"/>
      <c r="Q3886" s="12"/>
      <c r="R3886" s="12"/>
    </row>
    <row r="3887" spans="1:18" x14ac:dyDescent="0.2">
      <c r="A3887">
        <v>33</v>
      </c>
      <c r="B3887" t="s">
        <v>24</v>
      </c>
      <c r="C3887">
        <v>2019</v>
      </c>
      <c r="D3887">
        <v>2</v>
      </c>
      <c r="E3887" s="4">
        <v>0</v>
      </c>
      <c r="F3887" s="9">
        <v>0</v>
      </c>
      <c r="G3887" s="6">
        <v>974</v>
      </c>
      <c r="H3887" s="9">
        <f t="shared" si="60"/>
        <v>0</v>
      </c>
      <c r="I3887" s="6">
        <v>13637</v>
      </c>
      <c r="J3887" s="6">
        <f>VLOOKUP(Table1[[#This Row],[Province]],[1]Sheet1!$A$3:$K$37,11,FALSE)</f>
        <v>1183300</v>
      </c>
      <c r="K3887">
        <v>0</v>
      </c>
      <c r="L3887" s="4">
        <v>1.3361149999999999</v>
      </c>
      <c r="M3887" s="4">
        <v>133.17471599999999</v>
      </c>
      <c r="N3887" s="13">
        <v>2.66</v>
      </c>
      <c r="P3887"/>
      <c r="Q3887" s="12"/>
      <c r="R3887" s="12"/>
    </row>
    <row r="3888" spans="1:18" x14ac:dyDescent="0.2">
      <c r="A3888">
        <v>33</v>
      </c>
      <c r="B3888" t="s">
        <v>24</v>
      </c>
      <c r="C3888">
        <v>2019</v>
      </c>
      <c r="D3888">
        <v>3</v>
      </c>
      <c r="E3888" s="4">
        <v>0</v>
      </c>
      <c r="F3888" s="9">
        <v>0</v>
      </c>
      <c r="G3888" s="6">
        <v>924</v>
      </c>
      <c r="H3888" s="9">
        <f t="shared" si="60"/>
        <v>0</v>
      </c>
      <c r="I3888" s="6">
        <v>12043</v>
      </c>
      <c r="J3888" s="6">
        <f>VLOOKUP(Table1[[#This Row],[Province]],[1]Sheet1!$A$3:$K$37,11,FALSE)</f>
        <v>1183300</v>
      </c>
      <c r="K3888">
        <v>0</v>
      </c>
      <c r="L3888" s="4">
        <v>1.3361149999999999</v>
      </c>
      <c r="M3888" s="4">
        <v>133.17471599999999</v>
      </c>
      <c r="N3888" s="13">
        <v>2.66</v>
      </c>
      <c r="P3888"/>
      <c r="Q3888" s="12"/>
      <c r="R3888" s="12"/>
    </row>
    <row r="3889" spans="1:18" x14ac:dyDescent="0.2">
      <c r="A3889">
        <v>33</v>
      </c>
      <c r="B3889" t="s">
        <v>24</v>
      </c>
      <c r="C3889">
        <v>2019</v>
      </c>
      <c r="D3889">
        <v>4</v>
      </c>
      <c r="E3889" s="4">
        <v>0</v>
      </c>
      <c r="F3889" s="9">
        <v>7.0000000000000001E-3</v>
      </c>
      <c r="G3889" s="6">
        <v>1462</v>
      </c>
      <c r="H3889" s="9">
        <f t="shared" si="60"/>
        <v>7.0000000000000001E-3</v>
      </c>
      <c r="I3889" s="6">
        <v>13520</v>
      </c>
      <c r="J3889" s="6">
        <f>VLOOKUP(Table1[[#This Row],[Province]],[1]Sheet1!$A$3:$K$37,11,FALSE)</f>
        <v>1183300</v>
      </c>
      <c r="K3889">
        <v>0</v>
      </c>
      <c r="L3889" s="4">
        <v>1.3361149999999999</v>
      </c>
      <c r="M3889" s="4">
        <v>133.17471599999999</v>
      </c>
      <c r="N3889" s="13">
        <v>2.66</v>
      </c>
      <c r="P3889"/>
      <c r="Q3889" s="12"/>
      <c r="R3889" s="12"/>
    </row>
    <row r="3890" spans="1:18" x14ac:dyDescent="0.2">
      <c r="A3890">
        <v>33</v>
      </c>
      <c r="B3890" t="s">
        <v>24</v>
      </c>
      <c r="C3890">
        <v>2019</v>
      </c>
      <c r="D3890">
        <v>5</v>
      </c>
      <c r="E3890" s="4">
        <v>0</v>
      </c>
      <c r="F3890" s="9">
        <v>0</v>
      </c>
      <c r="G3890" s="6">
        <v>591</v>
      </c>
      <c r="H3890" s="9">
        <f t="shared" si="60"/>
        <v>0</v>
      </c>
      <c r="I3890" s="6">
        <v>14600</v>
      </c>
      <c r="J3890" s="6">
        <f>VLOOKUP(Table1[[#This Row],[Province]],[1]Sheet1!$A$3:$K$37,11,FALSE)</f>
        <v>1183300</v>
      </c>
      <c r="K3890">
        <v>1</v>
      </c>
      <c r="L3890" s="4">
        <v>1.3361149999999999</v>
      </c>
      <c r="M3890" s="4">
        <v>133.17471599999999</v>
      </c>
      <c r="N3890" s="13">
        <v>2.66</v>
      </c>
      <c r="P3890"/>
      <c r="Q3890" s="12"/>
      <c r="R3890" s="12"/>
    </row>
    <row r="3891" spans="1:18" x14ac:dyDescent="0.2">
      <c r="A3891">
        <v>33</v>
      </c>
      <c r="B3891" t="s">
        <v>24</v>
      </c>
      <c r="C3891">
        <v>2019</v>
      </c>
      <c r="D3891">
        <v>6</v>
      </c>
      <c r="E3891" s="4">
        <v>0</v>
      </c>
      <c r="F3891" s="9">
        <v>0</v>
      </c>
      <c r="G3891" s="6">
        <v>886</v>
      </c>
      <c r="H3891" s="9">
        <f t="shared" si="60"/>
        <v>0</v>
      </c>
      <c r="I3891" s="6">
        <v>13644</v>
      </c>
      <c r="J3891" s="6">
        <f>VLOOKUP(Table1[[#This Row],[Province]],[1]Sheet1!$A$3:$K$37,11,FALSE)</f>
        <v>1183300</v>
      </c>
      <c r="K3891">
        <v>0</v>
      </c>
      <c r="L3891" s="4">
        <v>1.3361149999999999</v>
      </c>
      <c r="M3891" s="4">
        <v>133.17471599999999</v>
      </c>
      <c r="N3891" s="13">
        <v>2.66</v>
      </c>
      <c r="P3891"/>
      <c r="Q3891" s="12"/>
      <c r="R3891" s="12"/>
    </row>
    <row r="3892" spans="1:18" x14ac:dyDescent="0.2">
      <c r="A3892">
        <v>33</v>
      </c>
      <c r="B3892" t="s">
        <v>24</v>
      </c>
      <c r="C3892">
        <v>2019</v>
      </c>
      <c r="D3892">
        <v>7</v>
      </c>
      <c r="E3892" s="4">
        <v>0</v>
      </c>
      <c r="F3892" s="9">
        <v>0</v>
      </c>
      <c r="G3892" s="6">
        <v>1031</v>
      </c>
      <c r="H3892" s="9">
        <f t="shared" si="60"/>
        <v>0</v>
      </c>
      <c r="I3892" s="6">
        <v>13740</v>
      </c>
      <c r="J3892" s="6">
        <f>VLOOKUP(Table1[[#This Row],[Province]],[1]Sheet1!$A$3:$K$37,11,FALSE)</f>
        <v>1183300</v>
      </c>
      <c r="K3892">
        <v>0</v>
      </c>
      <c r="L3892" s="4">
        <v>1.3361149999999999</v>
      </c>
      <c r="M3892" s="4">
        <v>133.17471599999999</v>
      </c>
      <c r="N3892" s="13">
        <v>2.66</v>
      </c>
      <c r="P3892"/>
      <c r="Q3892" s="12"/>
      <c r="R3892" s="12"/>
    </row>
    <row r="3893" spans="1:18" x14ac:dyDescent="0.2">
      <c r="A3893">
        <v>33</v>
      </c>
      <c r="B3893" t="s">
        <v>24</v>
      </c>
      <c r="C3893">
        <v>2019</v>
      </c>
      <c r="D3893">
        <v>8</v>
      </c>
      <c r="E3893" s="4">
        <v>0</v>
      </c>
      <c r="F3893" s="9">
        <v>0</v>
      </c>
      <c r="G3893" s="6">
        <v>903</v>
      </c>
      <c r="H3893" s="9">
        <f t="shared" si="60"/>
        <v>0</v>
      </c>
      <c r="I3893" s="6">
        <v>14000</v>
      </c>
      <c r="J3893" s="6">
        <f>VLOOKUP(Table1[[#This Row],[Province]],[1]Sheet1!$A$3:$K$37,11,FALSE)</f>
        <v>1183300</v>
      </c>
      <c r="K3893">
        <v>0</v>
      </c>
      <c r="L3893" s="4">
        <v>1.3361149999999999</v>
      </c>
      <c r="M3893" s="4">
        <v>133.17471599999999</v>
      </c>
      <c r="N3893" s="13">
        <v>2.66</v>
      </c>
      <c r="P3893"/>
      <c r="Q3893" s="12"/>
      <c r="R3893" s="12"/>
    </row>
    <row r="3894" spans="1:18" x14ac:dyDescent="0.2">
      <c r="A3894">
        <v>33</v>
      </c>
      <c r="B3894" t="s">
        <v>24</v>
      </c>
      <c r="C3894">
        <v>2019</v>
      </c>
      <c r="D3894">
        <v>9</v>
      </c>
      <c r="E3894" s="4">
        <v>0</v>
      </c>
      <c r="F3894" s="9">
        <v>0</v>
      </c>
      <c r="G3894" s="6">
        <v>1173</v>
      </c>
      <c r="H3894" s="9">
        <f t="shared" si="60"/>
        <v>0</v>
      </c>
      <c r="I3894" s="6">
        <v>13929</v>
      </c>
      <c r="J3894" s="6">
        <f>VLOOKUP(Table1[[#This Row],[Province]],[1]Sheet1!$A$3:$K$37,11,FALSE)</f>
        <v>1183300</v>
      </c>
      <c r="K3894">
        <v>0</v>
      </c>
      <c r="L3894" s="4">
        <v>1.3361149999999999</v>
      </c>
      <c r="M3894" s="4">
        <v>133.17471599999999</v>
      </c>
      <c r="N3894" s="13">
        <v>2.66</v>
      </c>
      <c r="P3894"/>
      <c r="Q3894" s="12"/>
      <c r="R3894" s="12"/>
    </row>
    <row r="3895" spans="1:18" x14ac:dyDescent="0.2">
      <c r="A3895">
        <v>33</v>
      </c>
      <c r="B3895" t="s">
        <v>24</v>
      </c>
      <c r="C3895">
        <v>2019</v>
      </c>
      <c r="D3895">
        <v>10</v>
      </c>
      <c r="E3895" s="4">
        <v>0</v>
      </c>
      <c r="F3895" s="9">
        <v>0</v>
      </c>
      <c r="G3895" s="6">
        <v>1238</v>
      </c>
      <c r="H3895" s="9">
        <f t="shared" si="60"/>
        <v>0</v>
      </c>
      <c r="I3895" s="6">
        <v>13428</v>
      </c>
      <c r="J3895" s="6">
        <f>VLOOKUP(Table1[[#This Row],[Province]],[1]Sheet1!$A$3:$K$37,11,FALSE)</f>
        <v>1183300</v>
      </c>
      <c r="K3895">
        <v>0</v>
      </c>
      <c r="L3895" s="4">
        <v>1.3361149999999999</v>
      </c>
      <c r="M3895" s="4">
        <v>133.17471599999999</v>
      </c>
      <c r="N3895" s="13">
        <v>2.66</v>
      </c>
      <c r="P3895"/>
      <c r="Q3895" s="12"/>
      <c r="R3895" s="12"/>
    </row>
    <row r="3896" spans="1:18" x14ac:dyDescent="0.2">
      <c r="A3896">
        <v>33</v>
      </c>
      <c r="B3896" t="s">
        <v>24</v>
      </c>
      <c r="C3896">
        <v>2019</v>
      </c>
      <c r="D3896">
        <v>11</v>
      </c>
      <c r="E3896" s="4">
        <v>0</v>
      </c>
      <c r="F3896" s="9">
        <v>0</v>
      </c>
      <c r="G3896" s="6">
        <v>599</v>
      </c>
      <c r="H3896" s="9">
        <f t="shared" si="60"/>
        <v>0</v>
      </c>
      <c r="I3896" s="6">
        <v>13917</v>
      </c>
      <c r="J3896" s="6">
        <f>VLOOKUP(Table1[[#This Row],[Province]],[1]Sheet1!$A$3:$K$37,11,FALSE)</f>
        <v>1183300</v>
      </c>
      <c r="K3896">
        <v>0</v>
      </c>
      <c r="L3896" s="4">
        <v>1.3361149999999999</v>
      </c>
      <c r="M3896" s="4">
        <v>133.17471599999999</v>
      </c>
      <c r="N3896" s="13">
        <v>2.66</v>
      </c>
      <c r="P3896"/>
      <c r="Q3896" s="12"/>
      <c r="R3896" s="12"/>
    </row>
    <row r="3897" spans="1:18" x14ac:dyDescent="0.2">
      <c r="A3897">
        <v>33</v>
      </c>
      <c r="B3897" t="s">
        <v>24</v>
      </c>
      <c r="C3897">
        <v>2019</v>
      </c>
      <c r="D3897">
        <v>12</v>
      </c>
      <c r="E3897" s="4">
        <v>0</v>
      </c>
      <c r="F3897" s="9">
        <v>0</v>
      </c>
      <c r="G3897" s="6">
        <v>705</v>
      </c>
      <c r="H3897" s="9">
        <f t="shared" si="60"/>
        <v>0</v>
      </c>
      <c r="I3897" s="6">
        <v>14416</v>
      </c>
      <c r="J3897" s="6">
        <f>VLOOKUP(Table1[[#This Row],[Province]],[1]Sheet1!$A$3:$K$37,11,FALSE)</f>
        <v>1183300</v>
      </c>
      <c r="K3897">
        <v>1</v>
      </c>
      <c r="L3897" s="4">
        <v>1.3361149999999999</v>
      </c>
      <c r="M3897" s="4">
        <v>133.17471599999999</v>
      </c>
      <c r="N3897" s="13">
        <v>2.66</v>
      </c>
      <c r="P3897"/>
      <c r="Q3897" s="12"/>
      <c r="R3897" s="12"/>
    </row>
    <row r="3898" spans="1:18" x14ac:dyDescent="0.2">
      <c r="A3898">
        <v>33</v>
      </c>
      <c r="B3898" t="s">
        <v>24</v>
      </c>
      <c r="C3898">
        <v>2020</v>
      </c>
      <c r="D3898">
        <v>1</v>
      </c>
      <c r="E3898" s="4">
        <v>0</v>
      </c>
      <c r="F3898" s="9">
        <v>0</v>
      </c>
      <c r="G3898" s="6">
        <v>1150</v>
      </c>
      <c r="H3898" s="9">
        <f t="shared" si="60"/>
        <v>0</v>
      </c>
      <c r="I3898" s="6">
        <v>13864</v>
      </c>
      <c r="J3898" s="6">
        <f>VLOOKUP(Table1[[#This Row],[Province]],[1]Sheet1!$A$3:$K$37,11,FALSE)</f>
        <v>1183300</v>
      </c>
      <c r="K3898">
        <v>0</v>
      </c>
      <c r="L3898" s="4">
        <v>1.3361149999999999</v>
      </c>
      <c r="M3898" s="4">
        <v>133.17471599999999</v>
      </c>
      <c r="N3898" s="13">
        <v>-0.76</v>
      </c>
      <c r="P3898"/>
      <c r="Q3898" s="12"/>
      <c r="R3898" s="12"/>
    </row>
    <row r="3899" spans="1:18" x14ac:dyDescent="0.2">
      <c r="A3899">
        <v>33</v>
      </c>
      <c r="B3899" t="s">
        <v>24</v>
      </c>
      <c r="C3899">
        <v>2020</v>
      </c>
      <c r="D3899">
        <v>2</v>
      </c>
      <c r="E3899" s="4">
        <v>0</v>
      </c>
      <c r="F3899" s="9">
        <v>0</v>
      </c>
      <c r="G3899" s="6">
        <v>1017</v>
      </c>
      <c r="H3899" s="9">
        <f t="shared" si="60"/>
        <v>0</v>
      </c>
      <c r="I3899" s="6">
        <v>14275</v>
      </c>
      <c r="J3899" s="6">
        <f>VLOOKUP(Table1[[#This Row],[Province]],[1]Sheet1!$A$3:$K$37,11,FALSE)</f>
        <v>1183300</v>
      </c>
      <c r="K3899">
        <v>0</v>
      </c>
      <c r="L3899" s="4">
        <v>1.3361149999999999</v>
      </c>
      <c r="M3899" s="4">
        <v>133.17471599999999</v>
      </c>
      <c r="N3899" s="13">
        <v>-0.76</v>
      </c>
      <c r="P3899"/>
      <c r="Q3899" s="12"/>
      <c r="R3899" s="12"/>
    </row>
    <row r="3900" spans="1:18" x14ac:dyDescent="0.2">
      <c r="A3900">
        <v>33</v>
      </c>
      <c r="B3900" t="s">
        <v>24</v>
      </c>
      <c r="C3900">
        <v>2020</v>
      </c>
      <c r="D3900">
        <v>3</v>
      </c>
      <c r="E3900" s="4">
        <v>0</v>
      </c>
      <c r="F3900" s="9">
        <v>0</v>
      </c>
      <c r="G3900" s="6">
        <v>635</v>
      </c>
      <c r="H3900" s="9">
        <f t="shared" si="60"/>
        <v>0</v>
      </c>
      <c r="I3900" s="6">
        <v>16684</v>
      </c>
      <c r="J3900" s="6">
        <f>VLOOKUP(Table1[[#This Row],[Province]],[1]Sheet1!$A$3:$K$37,11,FALSE)</f>
        <v>1183300</v>
      </c>
      <c r="K3900">
        <v>0</v>
      </c>
      <c r="L3900" s="4">
        <v>1.3361149999999999</v>
      </c>
      <c r="M3900" s="4">
        <v>133.17471599999999</v>
      </c>
      <c r="N3900" s="13">
        <v>-0.76</v>
      </c>
      <c r="P3900"/>
      <c r="Q3900" s="12"/>
      <c r="R3900" s="12"/>
    </row>
    <row r="3901" spans="1:18" x14ac:dyDescent="0.2">
      <c r="A3901">
        <v>33</v>
      </c>
      <c r="B3901" t="s">
        <v>24</v>
      </c>
      <c r="C3901">
        <v>2020</v>
      </c>
      <c r="D3901">
        <v>4</v>
      </c>
      <c r="E3901" s="4">
        <v>0</v>
      </c>
      <c r="F3901" s="9">
        <v>0</v>
      </c>
      <c r="G3901" s="6">
        <v>736</v>
      </c>
      <c r="H3901" s="9">
        <f t="shared" si="60"/>
        <v>0</v>
      </c>
      <c r="I3901" s="6">
        <v>18293</v>
      </c>
      <c r="J3901" s="6">
        <f>VLOOKUP(Table1[[#This Row],[Province]],[1]Sheet1!$A$3:$K$37,11,FALSE)</f>
        <v>1183300</v>
      </c>
      <c r="K3901">
        <v>1</v>
      </c>
      <c r="L3901" s="4">
        <v>1.3361149999999999</v>
      </c>
      <c r="M3901" s="4">
        <v>133.17471599999999</v>
      </c>
      <c r="N3901" s="13">
        <v>-0.76</v>
      </c>
      <c r="P3901"/>
      <c r="Q3901" s="12"/>
      <c r="R3901" s="12"/>
    </row>
    <row r="3902" spans="1:18" x14ac:dyDescent="0.2">
      <c r="A3902">
        <v>33</v>
      </c>
      <c r="B3902" t="s">
        <v>24</v>
      </c>
      <c r="C3902">
        <v>2020</v>
      </c>
      <c r="D3902">
        <v>5</v>
      </c>
      <c r="E3902" s="4">
        <v>0</v>
      </c>
      <c r="F3902" s="9">
        <v>0</v>
      </c>
      <c r="G3902" s="6">
        <v>599</v>
      </c>
      <c r="H3902" s="9">
        <f t="shared" si="60"/>
        <v>0</v>
      </c>
      <c r="I3902" s="6">
        <v>19000</v>
      </c>
      <c r="J3902" s="6">
        <f>VLOOKUP(Table1[[#This Row],[Province]],[1]Sheet1!$A$3:$K$37,11,FALSE)</f>
        <v>1183300</v>
      </c>
      <c r="K3902">
        <v>0</v>
      </c>
      <c r="L3902" s="4">
        <v>1.3361149999999999</v>
      </c>
      <c r="M3902" s="4">
        <v>133.17471599999999</v>
      </c>
      <c r="N3902" s="13">
        <v>-0.76</v>
      </c>
      <c r="P3902"/>
      <c r="Q3902" s="12"/>
      <c r="R3902" s="12"/>
    </row>
    <row r="3903" spans="1:18" x14ac:dyDescent="0.2">
      <c r="A3903">
        <v>33</v>
      </c>
      <c r="B3903" t="s">
        <v>24</v>
      </c>
      <c r="C3903">
        <v>2020</v>
      </c>
      <c r="D3903">
        <v>5</v>
      </c>
      <c r="E3903" s="4">
        <v>0</v>
      </c>
      <c r="F3903" s="9">
        <v>0</v>
      </c>
      <c r="G3903" s="6">
        <v>932</v>
      </c>
      <c r="H3903" s="9">
        <f t="shared" si="60"/>
        <v>0</v>
      </c>
      <c r="I3903" s="6">
        <v>14650</v>
      </c>
      <c r="J3903" s="6">
        <f>VLOOKUP(Table1[[#This Row],[Province]],[1]Sheet1!$A$3:$K$37,11,FALSE)</f>
        <v>1183300</v>
      </c>
      <c r="K3903">
        <v>0</v>
      </c>
      <c r="L3903" s="4">
        <v>1.3361149999999999</v>
      </c>
      <c r="M3903" s="4">
        <v>133.17471599999999</v>
      </c>
      <c r="N3903" s="13">
        <v>-0.76</v>
      </c>
      <c r="P3903"/>
      <c r="Q3903" s="12"/>
      <c r="R3903" s="12"/>
    </row>
    <row r="3904" spans="1:18" x14ac:dyDescent="0.2">
      <c r="A3904">
        <v>33</v>
      </c>
      <c r="B3904" t="s">
        <v>24</v>
      </c>
      <c r="C3904">
        <v>2020</v>
      </c>
      <c r="D3904">
        <v>7</v>
      </c>
      <c r="E3904" s="4">
        <v>0</v>
      </c>
      <c r="F3904" s="9">
        <v>0</v>
      </c>
      <c r="G3904" s="6">
        <v>781</v>
      </c>
      <c r="H3904" s="9">
        <f t="shared" si="60"/>
        <v>0</v>
      </c>
      <c r="I3904" s="6">
        <v>17829</v>
      </c>
      <c r="J3904" s="6">
        <f>VLOOKUP(Table1[[#This Row],[Province]],[1]Sheet1!$A$3:$K$37,11,FALSE)</f>
        <v>1183300</v>
      </c>
      <c r="K3904">
        <v>0</v>
      </c>
      <c r="L3904" s="4">
        <v>1.3361149999999999</v>
      </c>
      <c r="M3904" s="4">
        <v>133.17471599999999</v>
      </c>
      <c r="N3904" s="13">
        <v>-0.76</v>
      </c>
      <c r="P3904"/>
      <c r="Q3904" s="12"/>
      <c r="R3904" s="12"/>
    </row>
    <row r="3905" spans="1:18" x14ac:dyDescent="0.2">
      <c r="A3905">
        <v>33</v>
      </c>
      <c r="B3905" t="s">
        <v>24</v>
      </c>
      <c r="C3905">
        <v>2020</v>
      </c>
      <c r="D3905">
        <v>8</v>
      </c>
      <c r="E3905" s="4">
        <v>0</v>
      </c>
      <c r="F3905" s="9">
        <v>0</v>
      </c>
      <c r="G3905" s="6">
        <v>576</v>
      </c>
      <c r="H3905" s="9">
        <f t="shared" si="60"/>
        <v>0</v>
      </c>
      <c r="I3905" s="6">
        <v>16371</v>
      </c>
      <c r="J3905" s="6">
        <f>VLOOKUP(Table1[[#This Row],[Province]],[1]Sheet1!$A$3:$K$37,11,FALSE)</f>
        <v>1183300</v>
      </c>
      <c r="K3905">
        <v>0</v>
      </c>
      <c r="L3905" s="4">
        <v>1.3361149999999999</v>
      </c>
      <c r="M3905" s="4">
        <v>133.17471599999999</v>
      </c>
      <c r="N3905" s="13">
        <v>-0.76</v>
      </c>
      <c r="P3905"/>
      <c r="Q3905" s="12"/>
      <c r="R3905" s="12"/>
    </row>
    <row r="3906" spans="1:18" x14ac:dyDescent="0.2">
      <c r="A3906">
        <v>33</v>
      </c>
      <c r="B3906" t="s">
        <v>24</v>
      </c>
      <c r="C3906">
        <v>2020</v>
      </c>
      <c r="D3906">
        <v>9</v>
      </c>
      <c r="E3906" s="4">
        <v>0</v>
      </c>
      <c r="F3906" s="9">
        <v>0</v>
      </c>
      <c r="G3906" s="6">
        <v>692</v>
      </c>
      <c r="H3906" s="9">
        <f t="shared" ref="H3906:H3969" si="61">F3906+E3906</f>
        <v>0</v>
      </c>
      <c r="I3906" s="6">
        <v>15431</v>
      </c>
      <c r="J3906" s="6">
        <f>VLOOKUP(Table1[[#This Row],[Province]],[1]Sheet1!$A$3:$K$37,11,FALSE)</f>
        <v>1183300</v>
      </c>
      <c r="K3906">
        <v>0</v>
      </c>
      <c r="L3906" s="4">
        <v>1.3361149999999999</v>
      </c>
      <c r="M3906" s="4">
        <v>133.17471599999999</v>
      </c>
      <c r="N3906" s="13">
        <v>-0.76</v>
      </c>
      <c r="P3906"/>
      <c r="Q3906" s="12"/>
      <c r="R3906" s="12"/>
    </row>
    <row r="3907" spans="1:18" x14ac:dyDescent="0.2">
      <c r="A3907">
        <v>33</v>
      </c>
      <c r="B3907" t="s">
        <v>24</v>
      </c>
      <c r="C3907">
        <v>2020</v>
      </c>
      <c r="D3907">
        <v>10</v>
      </c>
      <c r="E3907" s="4">
        <v>0</v>
      </c>
      <c r="F3907" s="9">
        <v>0</v>
      </c>
      <c r="G3907" s="6">
        <v>537</v>
      </c>
      <c r="H3907" s="9">
        <f t="shared" si="61"/>
        <v>0</v>
      </c>
      <c r="I3907" s="6">
        <v>14792</v>
      </c>
      <c r="J3907" s="6">
        <f>VLOOKUP(Table1[[#This Row],[Province]],[1]Sheet1!$A$3:$K$37,11,FALSE)</f>
        <v>1183300</v>
      </c>
      <c r="K3907">
        <v>0</v>
      </c>
      <c r="L3907" s="4">
        <v>1.3361149999999999</v>
      </c>
      <c r="M3907" s="4">
        <v>133.17471599999999</v>
      </c>
      <c r="N3907" s="13">
        <v>-0.76</v>
      </c>
      <c r="P3907"/>
      <c r="Q3907" s="12"/>
      <c r="R3907" s="12"/>
    </row>
    <row r="3908" spans="1:18" x14ac:dyDescent="0.2">
      <c r="A3908">
        <v>33</v>
      </c>
      <c r="B3908" t="s">
        <v>24</v>
      </c>
      <c r="C3908">
        <v>2020</v>
      </c>
      <c r="D3908">
        <v>11</v>
      </c>
      <c r="E3908" s="4">
        <v>0</v>
      </c>
      <c r="F3908" s="9">
        <v>0</v>
      </c>
      <c r="G3908" s="6">
        <v>102</v>
      </c>
      <c r="H3908" s="9">
        <f t="shared" si="61"/>
        <v>0</v>
      </c>
      <c r="I3908" s="6">
        <v>14475</v>
      </c>
      <c r="J3908" s="6">
        <f>VLOOKUP(Table1[[#This Row],[Province]],[1]Sheet1!$A$3:$K$37,11,FALSE)</f>
        <v>1183300</v>
      </c>
      <c r="K3908">
        <v>0</v>
      </c>
      <c r="L3908" s="4">
        <v>1.3361149999999999</v>
      </c>
      <c r="M3908" s="4">
        <v>133.17471599999999</v>
      </c>
      <c r="N3908" s="13">
        <v>-0.76</v>
      </c>
      <c r="P3908"/>
      <c r="Q3908" s="12"/>
      <c r="R3908" s="12"/>
    </row>
    <row r="3909" spans="1:18" x14ac:dyDescent="0.2">
      <c r="A3909">
        <v>33</v>
      </c>
      <c r="B3909" t="s">
        <v>24</v>
      </c>
      <c r="C3909">
        <v>2020</v>
      </c>
      <c r="D3909">
        <v>12</v>
      </c>
      <c r="E3909" s="4">
        <v>0</v>
      </c>
      <c r="F3909" s="9">
        <v>0</v>
      </c>
      <c r="G3909" s="6">
        <v>651</v>
      </c>
      <c r="H3909" s="9">
        <f t="shared" si="61"/>
        <v>0</v>
      </c>
      <c r="I3909" s="6">
        <v>14650</v>
      </c>
      <c r="J3909" s="6">
        <f>VLOOKUP(Table1[[#This Row],[Province]],[1]Sheet1!$A$3:$K$37,11,FALSE)</f>
        <v>1183300</v>
      </c>
      <c r="K3909">
        <v>1</v>
      </c>
      <c r="L3909" s="4">
        <v>1.3361149999999999</v>
      </c>
      <c r="M3909" s="4">
        <v>133.17471599999999</v>
      </c>
      <c r="N3909" s="13">
        <v>-0.76</v>
      </c>
      <c r="P3909"/>
      <c r="Q3909" s="12"/>
      <c r="R3909" s="12"/>
    </row>
    <row r="3910" spans="1:18" x14ac:dyDescent="0.2">
      <c r="A3910">
        <v>33</v>
      </c>
      <c r="B3910" t="s">
        <v>24</v>
      </c>
      <c r="C3910">
        <v>2021</v>
      </c>
      <c r="D3910">
        <v>1</v>
      </c>
      <c r="E3910" s="4">
        <v>0</v>
      </c>
      <c r="F3910" s="9">
        <v>0</v>
      </c>
      <c r="G3910" s="6">
        <v>911</v>
      </c>
      <c r="H3910" s="9">
        <f t="shared" si="61"/>
        <v>0</v>
      </c>
      <c r="I3910" s="6">
        <v>14000</v>
      </c>
      <c r="J3910" s="6">
        <f>VLOOKUP(Table1[[#This Row],[Province]],[1]Sheet1!$A$3:$K$37,11,FALSE)</f>
        <v>1183300</v>
      </c>
      <c r="K3910">
        <v>0</v>
      </c>
      <c r="L3910" s="4">
        <v>1.3361149999999999</v>
      </c>
      <c r="M3910" s="4">
        <v>133.17471599999999</v>
      </c>
      <c r="N3910" s="13">
        <v>-0.51</v>
      </c>
      <c r="P3910"/>
      <c r="Q3910" s="12"/>
      <c r="R3910" s="12"/>
    </row>
    <row r="3911" spans="1:18" x14ac:dyDescent="0.2">
      <c r="A3911">
        <v>33</v>
      </c>
      <c r="B3911" t="s">
        <v>24</v>
      </c>
      <c r="C3911">
        <v>2021</v>
      </c>
      <c r="D3911">
        <v>2</v>
      </c>
      <c r="E3911" s="4">
        <v>0</v>
      </c>
      <c r="F3911" s="9">
        <v>0</v>
      </c>
      <c r="G3911" s="6">
        <v>1333</v>
      </c>
      <c r="H3911" s="9">
        <f t="shared" si="61"/>
        <v>0</v>
      </c>
      <c r="I3911" s="6">
        <v>14000</v>
      </c>
      <c r="J3911" s="6">
        <f>VLOOKUP(Table1[[#This Row],[Province]],[1]Sheet1!$A$3:$K$37,11,FALSE)</f>
        <v>1183300</v>
      </c>
      <c r="K3911">
        <v>0</v>
      </c>
      <c r="L3911" s="4">
        <v>1.3361149999999999</v>
      </c>
      <c r="M3911" s="4">
        <v>133.17471599999999</v>
      </c>
      <c r="N3911" s="13">
        <v>-0.51</v>
      </c>
      <c r="P3911"/>
      <c r="Q3911" s="12"/>
      <c r="R3911" s="12"/>
    </row>
    <row r="3912" spans="1:18" x14ac:dyDescent="0.2">
      <c r="A3912">
        <v>33</v>
      </c>
      <c r="B3912" t="s">
        <v>24</v>
      </c>
      <c r="C3912">
        <v>2021</v>
      </c>
      <c r="D3912">
        <v>3</v>
      </c>
      <c r="E3912" s="4">
        <v>0</v>
      </c>
      <c r="F3912" s="9">
        <v>0</v>
      </c>
      <c r="G3912" s="6">
        <v>811</v>
      </c>
      <c r="H3912" s="9">
        <f t="shared" si="61"/>
        <v>0</v>
      </c>
      <c r="I3912" s="6">
        <v>14000</v>
      </c>
      <c r="J3912" s="6">
        <f>VLOOKUP(Table1[[#This Row],[Province]],[1]Sheet1!$A$3:$K$37,11,FALSE)</f>
        <v>1183300</v>
      </c>
      <c r="K3912">
        <v>0</v>
      </c>
      <c r="L3912" s="4">
        <v>1.3361149999999999</v>
      </c>
      <c r="M3912" s="4">
        <v>133.17471599999999</v>
      </c>
      <c r="N3912" s="13">
        <v>-0.51</v>
      </c>
      <c r="P3912"/>
      <c r="Q3912" s="12"/>
      <c r="R3912" s="12"/>
    </row>
    <row r="3913" spans="1:18" x14ac:dyDescent="0.2">
      <c r="A3913">
        <v>33</v>
      </c>
      <c r="B3913" t="s">
        <v>24</v>
      </c>
      <c r="C3913">
        <v>2021</v>
      </c>
      <c r="D3913">
        <v>4</v>
      </c>
      <c r="E3913" s="4">
        <v>0</v>
      </c>
      <c r="F3913" s="9">
        <v>0</v>
      </c>
      <c r="G3913" s="6">
        <v>811</v>
      </c>
      <c r="H3913" s="9">
        <f t="shared" si="61"/>
        <v>0</v>
      </c>
      <c r="I3913" s="6">
        <v>14625</v>
      </c>
      <c r="J3913" s="6">
        <f>VLOOKUP(Table1[[#This Row],[Province]],[1]Sheet1!$A$3:$K$37,11,FALSE)</f>
        <v>1183300</v>
      </c>
      <c r="K3913">
        <v>1</v>
      </c>
      <c r="L3913" s="4">
        <v>1.3361149999999999</v>
      </c>
      <c r="M3913" s="4">
        <v>133.17471599999999</v>
      </c>
      <c r="N3913" s="13">
        <v>-0.51</v>
      </c>
      <c r="P3913"/>
      <c r="Q3913" s="12"/>
      <c r="R3913" s="12"/>
    </row>
    <row r="3914" spans="1:18" x14ac:dyDescent="0.2">
      <c r="A3914">
        <v>33</v>
      </c>
      <c r="B3914" t="s">
        <v>24</v>
      </c>
      <c r="C3914">
        <v>2021</v>
      </c>
      <c r="D3914">
        <v>5</v>
      </c>
      <c r="E3914" s="4">
        <v>0</v>
      </c>
      <c r="F3914" s="9">
        <v>0</v>
      </c>
      <c r="G3914" s="6">
        <v>617</v>
      </c>
      <c r="H3914" s="9">
        <f t="shared" si="61"/>
        <v>0</v>
      </c>
      <c r="I3914" s="6">
        <v>14750</v>
      </c>
      <c r="J3914" s="6">
        <f>VLOOKUP(Table1[[#This Row],[Province]],[1]Sheet1!$A$3:$K$37,11,FALSE)</f>
        <v>1183300</v>
      </c>
      <c r="K3914">
        <v>0</v>
      </c>
      <c r="L3914" s="4">
        <v>1.3361149999999999</v>
      </c>
      <c r="M3914" s="4">
        <v>133.17471599999999</v>
      </c>
      <c r="N3914" s="13">
        <v>-0.51</v>
      </c>
      <c r="P3914"/>
      <c r="Q3914" s="12"/>
      <c r="R3914" s="12"/>
    </row>
    <row r="3915" spans="1:18" x14ac:dyDescent="0.2">
      <c r="A3915">
        <v>33</v>
      </c>
      <c r="B3915" t="s">
        <v>24</v>
      </c>
      <c r="C3915">
        <v>2021</v>
      </c>
      <c r="D3915">
        <v>6</v>
      </c>
      <c r="E3915" s="4">
        <v>0</v>
      </c>
      <c r="F3915" s="9">
        <v>0</v>
      </c>
      <c r="G3915" s="6">
        <v>975</v>
      </c>
      <c r="H3915" s="9">
        <f t="shared" si="61"/>
        <v>0</v>
      </c>
      <c r="I3915" s="6">
        <v>14750</v>
      </c>
      <c r="J3915" s="6">
        <f>VLOOKUP(Table1[[#This Row],[Province]],[1]Sheet1!$A$3:$K$37,11,FALSE)</f>
        <v>1183300</v>
      </c>
      <c r="K3915">
        <v>0</v>
      </c>
      <c r="L3915" s="4">
        <v>1.3361149999999999</v>
      </c>
      <c r="M3915" s="4">
        <v>133.17471599999999</v>
      </c>
      <c r="N3915" s="13">
        <v>-0.51</v>
      </c>
      <c r="P3915"/>
      <c r="Q3915" s="12"/>
      <c r="R3915" s="12"/>
    </row>
    <row r="3916" spans="1:18" x14ac:dyDescent="0.2">
      <c r="A3916">
        <v>33</v>
      </c>
      <c r="B3916" t="s">
        <v>24</v>
      </c>
      <c r="C3916">
        <v>2021</v>
      </c>
      <c r="D3916">
        <v>7</v>
      </c>
      <c r="E3916" s="4">
        <v>0</v>
      </c>
      <c r="F3916" s="9">
        <v>0</v>
      </c>
      <c r="G3916" s="6">
        <v>552</v>
      </c>
      <c r="H3916" s="9">
        <f t="shared" si="61"/>
        <v>0</v>
      </c>
      <c r="I3916" s="6">
        <v>14750</v>
      </c>
      <c r="J3916" s="6">
        <f>VLOOKUP(Table1[[#This Row],[Province]],[1]Sheet1!$A$3:$K$37,11,FALSE)</f>
        <v>1183300</v>
      </c>
      <c r="K3916">
        <v>0</v>
      </c>
      <c r="L3916" s="4">
        <v>1.3361149999999999</v>
      </c>
      <c r="M3916" s="4">
        <v>133.17471599999999</v>
      </c>
      <c r="N3916" s="13">
        <v>-0.51</v>
      </c>
      <c r="P3916"/>
      <c r="Q3916" s="12"/>
      <c r="R3916" s="12"/>
    </row>
    <row r="3917" spans="1:18" x14ac:dyDescent="0.2">
      <c r="A3917">
        <v>33</v>
      </c>
      <c r="B3917" t="s">
        <v>24</v>
      </c>
      <c r="C3917">
        <v>2021</v>
      </c>
      <c r="D3917">
        <v>8</v>
      </c>
      <c r="E3917" s="4">
        <v>0</v>
      </c>
      <c r="F3917" s="9">
        <v>0</v>
      </c>
      <c r="G3917" s="6">
        <v>675</v>
      </c>
      <c r="H3917" s="9">
        <f t="shared" si="61"/>
        <v>0</v>
      </c>
      <c r="I3917" s="6">
        <v>14750</v>
      </c>
      <c r="J3917" s="6">
        <f>VLOOKUP(Table1[[#This Row],[Province]],[1]Sheet1!$A$3:$K$37,11,FALSE)</f>
        <v>1183300</v>
      </c>
      <c r="K3917">
        <v>0</v>
      </c>
      <c r="L3917" s="4">
        <v>1.3361149999999999</v>
      </c>
      <c r="M3917" s="4">
        <v>133.17471599999999</v>
      </c>
      <c r="N3917" s="13">
        <v>-0.51</v>
      </c>
      <c r="P3917"/>
      <c r="Q3917" s="12"/>
      <c r="R3917" s="12"/>
    </row>
    <row r="3918" spans="1:18" x14ac:dyDescent="0.2">
      <c r="A3918">
        <v>33</v>
      </c>
      <c r="B3918" t="s">
        <v>24</v>
      </c>
      <c r="C3918">
        <v>2021</v>
      </c>
      <c r="D3918">
        <v>9</v>
      </c>
      <c r="E3918" s="4">
        <v>0</v>
      </c>
      <c r="F3918" s="9">
        <v>0</v>
      </c>
      <c r="G3918" s="6">
        <v>1102</v>
      </c>
      <c r="H3918" s="9">
        <f t="shared" si="61"/>
        <v>0</v>
      </c>
      <c r="I3918" s="6">
        <v>14750</v>
      </c>
      <c r="J3918" s="6">
        <f>VLOOKUP(Table1[[#This Row],[Province]],[1]Sheet1!$A$3:$K$37,11,FALSE)</f>
        <v>1183300</v>
      </c>
      <c r="K3918">
        <v>0</v>
      </c>
      <c r="L3918" s="4">
        <v>1.3361149999999999</v>
      </c>
      <c r="M3918" s="4">
        <v>133.17471599999999</v>
      </c>
      <c r="N3918" s="13">
        <v>-0.51</v>
      </c>
      <c r="P3918"/>
      <c r="Q3918" s="12"/>
      <c r="R3918" s="12"/>
    </row>
    <row r="3919" spans="1:18" x14ac:dyDescent="0.2">
      <c r="A3919">
        <v>33</v>
      </c>
      <c r="B3919" t="s">
        <v>24</v>
      </c>
      <c r="C3919">
        <v>2021</v>
      </c>
      <c r="D3919">
        <v>10</v>
      </c>
      <c r="E3919" s="4">
        <v>0</v>
      </c>
      <c r="F3919" s="9">
        <v>0</v>
      </c>
      <c r="G3919" s="6">
        <v>616</v>
      </c>
      <c r="H3919" s="9">
        <f t="shared" si="61"/>
        <v>0</v>
      </c>
      <c r="I3919" s="6">
        <v>14750</v>
      </c>
      <c r="J3919" s="6">
        <f>VLOOKUP(Table1[[#This Row],[Province]],[1]Sheet1!$A$3:$K$37,11,FALSE)</f>
        <v>1183300</v>
      </c>
      <c r="K3919">
        <v>0</v>
      </c>
      <c r="L3919" s="4">
        <v>1.3361149999999999</v>
      </c>
      <c r="M3919" s="4">
        <v>133.17471599999999</v>
      </c>
      <c r="N3919" s="13">
        <v>-0.51</v>
      </c>
      <c r="P3919"/>
      <c r="Q3919" s="12"/>
      <c r="R3919" s="12"/>
    </row>
    <row r="3920" spans="1:18" x14ac:dyDescent="0.2">
      <c r="A3920">
        <v>33</v>
      </c>
      <c r="B3920" t="s">
        <v>24</v>
      </c>
      <c r="C3920">
        <v>2021</v>
      </c>
      <c r="D3920">
        <v>11</v>
      </c>
      <c r="E3920" s="4">
        <v>0</v>
      </c>
      <c r="F3920" s="9">
        <v>0</v>
      </c>
      <c r="G3920" s="6">
        <v>772</v>
      </c>
      <c r="H3920" s="9">
        <f t="shared" si="61"/>
        <v>0</v>
      </c>
      <c r="I3920" s="6">
        <v>14750</v>
      </c>
      <c r="J3920" s="6">
        <f>VLOOKUP(Table1[[#This Row],[Province]],[1]Sheet1!$A$3:$K$37,11,FALSE)</f>
        <v>1183300</v>
      </c>
      <c r="K3920">
        <v>0</v>
      </c>
      <c r="L3920" s="4">
        <v>1.3361149999999999</v>
      </c>
      <c r="M3920" s="4">
        <v>133.17471599999999</v>
      </c>
      <c r="N3920" s="13">
        <v>-0.51</v>
      </c>
      <c r="P3920"/>
      <c r="Q3920" s="12"/>
      <c r="R3920" s="12"/>
    </row>
    <row r="3921" spans="1:18" x14ac:dyDescent="0.2">
      <c r="A3921">
        <v>33</v>
      </c>
      <c r="B3921" t="s">
        <v>24</v>
      </c>
      <c r="C3921">
        <v>2021</v>
      </c>
      <c r="D3921">
        <v>12</v>
      </c>
      <c r="E3921" s="4">
        <v>0</v>
      </c>
      <c r="F3921" s="9">
        <v>0</v>
      </c>
      <c r="G3921" s="6">
        <v>1014</v>
      </c>
      <c r="H3921" s="9">
        <f t="shared" si="61"/>
        <v>0</v>
      </c>
      <c r="I3921" s="6">
        <v>14750</v>
      </c>
      <c r="J3921" s="6">
        <f>VLOOKUP(Table1[[#This Row],[Province]],[1]Sheet1!$A$3:$K$37,11,FALSE)</f>
        <v>1183300</v>
      </c>
      <c r="K3921">
        <v>1</v>
      </c>
      <c r="L3921" s="4">
        <v>1.3361149999999999</v>
      </c>
      <c r="M3921" s="4">
        <v>133.17471599999999</v>
      </c>
      <c r="N3921" s="13">
        <v>-0.51</v>
      </c>
      <c r="P3921"/>
      <c r="Q3921" s="12"/>
      <c r="R3921" s="12"/>
    </row>
    <row r="3922" spans="1:18" x14ac:dyDescent="0.2">
      <c r="A3922">
        <v>33</v>
      </c>
      <c r="B3922" t="s">
        <v>24</v>
      </c>
      <c r="C3922">
        <v>2022</v>
      </c>
      <c r="D3922">
        <v>1</v>
      </c>
      <c r="E3922" s="6">
        <v>0</v>
      </c>
      <c r="F3922" s="9">
        <v>0</v>
      </c>
      <c r="G3922" s="6">
        <v>678</v>
      </c>
      <c r="H3922" s="9">
        <f t="shared" si="61"/>
        <v>0</v>
      </c>
      <c r="I3922" s="6">
        <v>15200</v>
      </c>
      <c r="J3922" s="6">
        <f>VLOOKUP(Table1[[#This Row],[Province]],[1]Sheet1!$A$3:$K$37,11,FALSE)</f>
        <v>1183300</v>
      </c>
      <c r="K3922">
        <v>0</v>
      </c>
      <c r="L3922" s="4">
        <v>1.3361149999999999</v>
      </c>
      <c r="M3922" s="4">
        <v>133.17471599999999</v>
      </c>
      <c r="N3922" s="13">
        <v>2.0099999999999998</v>
      </c>
      <c r="P3922"/>
      <c r="Q3922" s="12"/>
      <c r="R3922" s="12"/>
    </row>
    <row r="3923" spans="1:18" x14ac:dyDescent="0.2">
      <c r="A3923">
        <v>33</v>
      </c>
      <c r="B3923" t="s">
        <v>24</v>
      </c>
      <c r="C3923">
        <v>2022</v>
      </c>
      <c r="D3923">
        <v>2</v>
      </c>
      <c r="E3923" s="6">
        <v>0</v>
      </c>
      <c r="F3923" s="9">
        <v>0</v>
      </c>
      <c r="G3923" s="6">
        <v>1720</v>
      </c>
      <c r="H3923" s="9">
        <f t="shared" si="61"/>
        <v>0</v>
      </c>
      <c r="I3923" s="6">
        <v>15639</v>
      </c>
      <c r="J3923" s="6">
        <f>VLOOKUP(Table1[[#This Row],[Province]],[1]Sheet1!$A$3:$K$37,11,FALSE)</f>
        <v>1183300</v>
      </c>
      <c r="K3923">
        <v>0</v>
      </c>
      <c r="L3923" s="4">
        <v>1.3361149999999999</v>
      </c>
      <c r="M3923" s="4">
        <v>133.17471599999999</v>
      </c>
      <c r="N3923" s="13">
        <v>2.0099999999999998</v>
      </c>
      <c r="P3923"/>
      <c r="Q3923" s="12"/>
      <c r="R3923" s="12"/>
    </row>
    <row r="3924" spans="1:18" x14ac:dyDescent="0.2">
      <c r="A3924">
        <v>33</v>
      </c>
      <c r="B3924" t="s">
        <v>24</v>
      </c>
      <c r="C3924">
        <v>2022</v>
      </c>
      <c r="D3924">
        <v>3</v>
      </c>
      <c r="E3924" s="6">
        <v>0</v>
      </c>
      <c r="F3924" s="9">
        <v>0</v>
      </c>
      <c r="G3924" s="6">
        <v>661</v>
      </c>
      <c r="H3924" s="9">
        <f t="shared" si="61"/>
        <v>0</v>
      </c>
      <c r="I3924" s="6">
        <v>15580</v>
      </c>
      <c r="J3924" s="6">
        <f>VLOOKUP(Table1[[#This Row],[Province]],[1]Sheet1!$A$3:$K$37,11,FALSE)</f>
        <v>1183300</v>
      </c>
      <c r="K3924">
        <v>0</v>
      </c>
      <c r="L3924" s="4">
        <v>1.3361149999999999</v>
      </c>
      <c r="M3924" s="4">
        <v>133.17471599999999</v>
      </c>
      <c r="N3924" s="13">
        <v>2.0099999999999998</v>
      </c>
      <c r="P3924"/>
      <c r="Q3924" s="12"/>
      <c r="R3924" s="12"/>
    </row>
    <row r="3925" spans="1:18" x14ac:dyDescent="0.2">
      <c r="A3925">
        <v>33</v>
      </c>
      <c r="B3925" t="s">
        <v>24</v>
      </c>
      <c r="C3925">
        <v>2022</v>
      </c>
      <c r="D3925">
        <v>4</v>
      </c>
      <c r="E3925" s="6">
        <v>0</v>
      </c>
      <c r="F3925" s="9">
        <v>0</v>
      </c>
      <c r="G3925" s="6">
        <v>1427</v>
      </c>
      <c r="H3925" s="9">
        <f t="shared" si="61"/>
        <v>0</v>
      </c>
      <c r="I3925" s="6">
        <v>16961</v>
      </c>
      <c r="J3925" s="6">
        <f>VLOOKUP(Table1[[#This Row],[Province]],[1]Sheet1!$A$3:$K$37,11,FALSE)</f>
        <v>1183300</v>
      </c>
      <c r="K3925">
        <v>1</v>
      </c>
      <c r="L3925" s="4">
        <v>1.3361149999999999</v>
      </c>
      <c r="M3925" s="4">
        <v>133.17471599999999</v>
      </c>
      <c r="N3925" s="13">
        <v>2.0099999999999998</v>
      </c>
      <c r="P3925"/>
      <c r="Q3925" s="12"/>
      <c r="R3925" s="12"/>
    </row>
    <row r="3926" spans="1:18" x14ac:dyDescent="0.2">
      <c r="A3926">
        <v>33</v>
      </c>
      <c r="B3926" t="s">
        <v>24</v>
      </c>
      <c r="C3926">
        <v>2022</v>
      </c>
      <c r="D3926">
        <v>5</v>
      </c>
      <c r="E3926" s="6">
        <v>0</v>
      </c>
      <c r="F3926" s="9">
        <v>0</v>
      </c>
      <c r="G3926" s="6">
        <v>682</v>
      </c>
      <c r="H3926" s="9">
        <f t="shared" si="61"/>
        <v>0</v>
      </c>
      <c r="I3926" s="6">
        <v>16250</v>
      </c>
      <c r="J3926" s="6">
        <f>VLOOKUP(Table1[[#This Row],[Province]],[1]Sheet1!$A$3:$K$37,11,FALSE)</f>
        <v>1183300</v>
      </c>
      <c r="K3926">
        <v>0</v>
      </c>
      <c r="L3926" s="4">
        <v>1.3361149999999999</v>
      </c>
      <c r="M3926" s="4">
        <v>133.17471599999999</v>
      </c>
      <c r="N3926" s="13">
        <v>2.0099999999999998</v>
      </c>
      <c r="P3926"/>
      <c r="Q3926" s="12"/>
      <c r="R3926" s="12"/>
    </row>
    <row r="3927" spans="1:18" x14ac:dyDescent="0.2">
      <c r="A3927">
        <v>33</v>
      </c>
      <c r="B3927" t="s">
        <v>24</v>
      </c>
      <c r="C3927">
        <v>2022</v>
      </c>
      <c r="D3927">
        <v>6</v>
      </c>
      <c r="E3927" s="6">
        <v>0</v>
      </c>
      <c r="F3927" s="9">
        <v>0</v>
      </c>
      <c r="G3927" s="6">
        <v>1292</v>
      </c>
      <c r="H3927" s="9">
        <f t="shared" si="61"/>
        <v>0</v>
      </c>
      <c r="I3927" s="6">
        <v>15976</v>
      </c>
      <c r="J3927" s="6">
        <f>VLOOKUP(Table1[[#This Row],[Province]],[1]Sheet1!$A$3:$K$37,11,FALSE)</f>
        <v>1183300</v>
      </c>
      <c r="K3927">
        <v>0</v>
      </c>
      <c r="L3927" s="4">
        <v>1.3361149999999999</v>
      </c>
      <c r="M3927" s="4">
        <v>133.17471599999999</v>
      </c>
      <c r="N3927" s="13">
        <v>2.0099999999999998</v>
      </c>
      <c r="P3927"/>
      <c r="Q3927" s="12"/>
      <c r="R3927" s="12"/>
    </row>
    <row r="3928" spans="1:18" x14ac:dyDescent="0.2">
      <c r="A3928">
        <v>33</v>
      </c>
      <c r="B3928" t="s">
        <v>24</v>
      </c>
      <c r="C3928">
        <v>2022</v>
      </c>
      <c r="D3928">
        <v>7</v>
      </c>
      <c r="E3928" s="6">
        <v>0</v>
      </c>
      <c r="F3928" s="9">
        <v>0</v>
      </c>
      <c r="G3928" s="6">
        <v>933</v>
      </c>
      <c r="H3928" s="9">
        <f t="shared" si="61"/>
        <v>0</v>
      </c>
      <c r="I3928" s="6">
        <v>15750</v>
      </c>
      <c r="J3928" s="6">
        <f>VLOOKUP(Table1[[#This Row],[Province]],[1]Sheet1!$A$3:$K$37,11,FALSE)</f>
        <v>1183300</v>
      </c>
      <c r="K3928">
        <v>0</v>
      </c>
      <c r="L3928" s="4">
        <v>1.3361149999999999</v>
      </c>
      <c r="M3928" s="4">
        <v>133.17471599999999</v>
      </c>
      <c r="N3928" s="13">
        <v>2.0099999999999998</v>
      </c>
      <c r="P3928"/>
      <c r="Q3928" s="12"/>
      <c r="R3928" s="12"/>
    </row>
    <row r="3929" spans="1:18" x14ac:dyDescent="0.2">
      <c r="A3929">
        <v>33</v>
      </c>
      <c r="B3929" t="s">
        <v>24</v>
      </c>
      <c r="C3929">
        <v>2022</v>
      </c>
      <c r="D3929">
        <v>8</v>
      </c>
      <c r="E3929" s="6">
        <v>0</v>
      </c>
      <c r="F3929" s="9">
        <v>0</v>
      </c>
      <c r="G3929" s="6">
        <v>552</v>
      </c>
      <c r="H3929" s="9">
        <f t="shared" si="61"/>
        <v>0</v>
      </c>
      <c r="I3929" s="6">
        <v>15898</v>
      </c>
      <c r="J3929" s="6">
        <f>VLOOKUP(Table1[[#This Row],[Province]],[1]Sheet1!$A$3:$K$37,11,FALSE)</f>
        <v>1183300</v>
      </c>
      <c r="K3929">
        <v>0</v>
      </c>
      <c r="L3929" s="4">
        <v>1.3361149999999999</v>
      </c>
      <c r="M3929" s="4">
        <v>133.17471599999999</v>
      </c>
      <c r="N3929" s="13">
        <v>2.0099999999999998</v>
      </c>
      <c r="P3929"/>
      <c r="Q3929" s="12"/>
      <c r="R3929" s="12"/>
    </row>
    <row r="3930" spans="1:18" x14ac:dyDescent="0.2">
      <c r="A3930">
        <v>33</v>
      </c>
      <c r="B3930" t="s">
        <v>24</v>
      </c>
      <c r="C3930">
        <v>2022</v>
      </c>
      <c r="D3930">
        <v>9</v>
      </c>
      <c r="E3930" s="6">
        <v>0</v>
      </c>
      <c r="F3930" s="9">
        <v>0</v>
      </c>
      <c r="G3930" s="6">
        <v>481</v>
      </c>
      <c r="H3930" s="9">
        <f t="shared" si="61"/>
        <v>0</v>
      </c>
      <c r="I3930" s="6">
        <v>15304</v>
      </c>
      <c r="J3930" s="6">
        <f>VLOOKUP(Table1[[#This Row],[Province]],[1]Sheet1!$A$3:$K$37,11,FALSE)</f>
        <v>1183300</v>
      </c>
      <c r="K3930">
        <v>0</v>
      </c>
      <c r="L3930" s="4">
        <v>1.3361149999999999</v>
      </c>
      <c r="M3930" s="4">
        <v>133.17471599999999</v>
      </c>
      <c r="N3930" s="13">
        <v>2.0099999999999998</v>
      </c>
      <c r="P3930"/>
      <c r="Q3930" s="12"/>
      <c r="R3930" s="12"/>
    </row>
    <row r="3931" spans="1:18" x14ac:dyDescent="0.2">
      <c r="A3931">
        <v>33</v>
      </c>
      <c r="B3931" t="s">
        <v>24</v>
      </c>
      <c r="C3931">
        <v>2022</v>
      </c>
      <c r="D3931">
        <v>10</v>
      </c>
      <c r="E3931" s="6">
        <v>0</v>
      </c>
      <c r="F3931" s="9">
        <v>0</v>
      </c>
      <c r="G3931" s="6">
        <v>305</v>
      </c>
      <c r="H3931" s="9">
        <f t="shared" si="61"/>
        <v>0</v>
      </c>
      <c r="I3931" s="6">
        <v>15114</v>
      </c>
      <c r="J3931" s="6">
        <f>VLOOKUP(Table1[[#This Row],[Province]],[1]Sheet1!$A$3:$K$37,11,FALSE)</f>
        <v>1183300</v>
      </c>
      <c r="K3931">
        <v>0</v>
      </c>
      <c r="L3931" s="4">
        <v>1.3361149999999999</v>
      </c>
      <c r="M3931" s="4">
        <v>133.17471599999999</v>
      </c>
      <c r="N3931" s="13">
        <v>2.0099999999999998</v>
      </c>
      <c r="P3931"/>
      <c r="Q3931" s="12"/>
      <c r="R3931" s="12"/>
    </row>
    <row r="3932" spans="1:18" x14ac:dyDescent="0.2">
      <c r="A3932">
        <v>33</v>
      </c>
      <c r="B3932" t="s">
        <v>24</v>
      </c>
      <c r="C3932">
        <v>2022</v>
      </c>
      <c r="D3932">
        <v>11</v>
      </c>
      <c r="E3932" s="6">
        <v>0</v>
      </c>
      <c r="F3932" s="9">
        <v>0</v>
      </c>
      <c r="G3932" s="6">
        <v>95</v>
      </c>
      <c r="H3932" s="9">
        <f t="shared" si="61"/>
        <v>0</v>
      </c>
      <c r="I3932" s="6">
        <v>15750</v>
      </c>
      <c r="J3932" s="6">
        <f>VLOOKUP(Table1[[#This Row],[Province]],[1]Sheet1!$A$3:$K$37,11,FALSE)</f>
        <v>1183300</v>
      </c>
      <c r="K3932">
        <v>0</v>
      </c>
      <c r="L3932" s="4">
        <v>1.3361149999999999</v>
      </c>
      <c r="M3932" s="4">
        <v>133.17471599999999</v>
      </c>
      <c r="N3932" s="13">
        <v>2.0099999999999998</v>
      </c>
      <c r="P3932"/>
      <c r="Q3932" s="12"/>
      <c r="R3932" s="12"/>
    </row>
    <row r="3933" spans="1:18" x14ac:dyDescent="0.2">
      <c r="A3933">
        <v>33</v>
      </c>
      <c r="B3933" t="s">
        <v>24</v>
      </c>
      <c r="C3933">
        <v>2022</v>
      </c>
      <c r="D3933">
        <v>12</v>
      </c>
      <c r="E3933" s="6">
        <v>0</v>
      </c>
      <c r="F3933" s="9">
        <v>0</v>
      </c>
      <c r="G3933" s="6">
        <v>636</v>
      </c>
      <c r="H3933" s="9">
        <f t="shared" si="61"/>
        <v>0</v>
      </c>
      <c r="I3933" s="6">
        <v>15750</v>
      </c>
      <c r="J3933" s="6">
        <f>VLOOKUP(Table1[[#This Row],[Province]],[1]Sheet1!$A$3:$K$37,11,FALSE)</f>
        <v>1183300</v>
      </c>
      <c r="K3933">
        <v>1</v>
      </c>
      <c r="L3933" s="4">
        <v>1.3361149999999999</v>
      </c>
      <c r="M3933" s="4">
        <v>133.17471599999999</v>
      </c>
      <c r="N3933" s="13">
        <v>2.0099999999999998</v>
      </c>
      <c r="P3933"/>
      <c r="Q3933" s="12"/>
      <c r="R3933" s="12"/>
    </row>
    <row r="3934" spans="1:18" x14ac:dyDescent="0.2">
      <c r="A3934">
        <v>34</v>
      </c>
      <c r="B3934" t="s">
        <v>23</v>
      </c>
      <c r="C3934">
        <v>2013</v>
      </c>
      <c r="D3934">
        <v>1</v>
      </c>
      <c r="E3934" s="4">
        <v>0</v>
      </c>
      <c r="F3934" s="9">
        <v>0</v>
      </c>
      <c r="G3934" s="6">
        <v>2062</v>
      </c>
      <c r="H3934" s="9">
        <f t="shared" si="61"/>
        <v>0</v>
      </c>
      <c r="I3934" s="6">
        <v>14000</v>
      </c>
      <c r="J3934" s="6">
        <f>VLOOKUP(Table1[[#This Row],[Province]],[1]Sheet1!$A$3:$K$37,11,FALSE)</f>
        <v>4418600</v>
      </c>
      <c r="K3934">
        <v>0</v>
      </c>
      <c r="L3934" s="4">
        <v>4.2699280000000002</v>
      </c>
      <c r="M3934" s="4">
        <v>138.080353</v>
      </c>
      <c r="N3934" s="6"/>
      <c r="P3934"/>
      <c r="Q3934" s="12"/>
      <c r="R3934" s="12"/>
    </row>
    <row r="3935" spans="1:18" x14ac:dyDescent="0.2">
      <c r="A3935">
        <v>34</v>
      </c>
      <c r="B3935" t="s">
        <v>23</v>
      </c>
      <c r="C3935">
        <v>2013</v>
      </c>
      <c r="D3935">
        <v>2</v>
      </c>
      <c r="E3935" s="4">
        <v>0</v>
      </c>
      <c r="F3935" s="9">
        <v>0</v>
      </c>
      <c r="G3935" s="6">
        <v>1976</v>
      </c>
      <c r="H3935" s="9">
        <f t="shared" si="61"/>
        <v>0</v>
      </c>
      <c r="I3935" s="6">
        <v>14000</v>
      </c>
      <c r="J3935" s="6">
        <f>VLOOKUP(Table1[[#This Row],[Province]],[1]Sheet1!$A$3:$K$37,11,FALSE)</f>
        <v>4418600</v>
      </c>
      <c r="K3935">
        <v>0</v>
      </c>
      <c r="L3935" s="4">
        <v>4.2699280000000002</v>
      </c>
      <c r="M3935" s="4">
        <v>138.080353</v>
      </c>
      <c r="N3935" s="6"/>
      <c r="P3935"/>
      <c r="Q3935" s="12"/>
      <c r="R3935" s="12"/>
    </row>
    <row r="3936" spans="1:18" x14ac:dyDescent="0.2">
      <c r="A3936">
        <v>34</v>
      </c>
      <c r="B3936" t="s">
        <v>23</v>
      </c>
      <c r="C3936">
        <v>2013</v>
      </c>
      <c r="D3936">
        <v>3</v>
      </c>
      <c r="E3936" s="4">
        <v>0</v>
      </c>
      <c r="F3936" s="9">
        <v>0</v>
      </c>
      <c r="G3936" s="6">
        <v>2037</v>
      </c>
      <c r="H3936" s="9">
        <f t="shared" si="61"/>
        <v>0</v>
      </c>
      <c r="I3936" s="6">
        <v>14000</v>
      </c>
      <c r="J3936" s="6">
        <f>VLOOKUP(Table1[[#This Row],[Province]],[1]Sheet1!$A$3:$K$37,11,FALSE)</f>
        <v>4418600</v>
      </c>
      <c r="K3936">
        <v>0</v>
      </c>
      <c r="L3936" s="4">
        <v>4.2699280000000002</v>
      </c>
      <c r="M3936" s="4">
        <v>138.080353</v>
      </c>
      <c r="N3936" s="6"/>
      <c r="P3936"/>
      <c r="Q3936" s="12"/>
      <c r="R3936" s="12"/>
    </row>
    <row r="3937" spans="1:18" x14ac:dyDescent="0.2">
      <c r="A3937">
        <v>34</v>
      </c>
      <c r="B3937" t="s">
        <v>23</v>
      </c>
      <c r="C3937">
        <v>2013</v>
      </c>
      <c r="D3937">
        <v>4</v>
      </c>
      <c r="E3937" s="4">
        <v>0</v>
      </c>
      <c r="F3937" s="9">
        <v>0</v>
      </c>
      <c r="G3937" s="6">
        <v>2647</v>
      </c>
      <c r="H3937" s="9">
        <f t="shared" si="61"/>
        <v>0</v>
      </c>
      <c r="I3937" s="6">
        <v>14000</v>
      </c>
      <c r="J3937" s="6">
        <f>VLOOKUP(Table1[[#This Row],[Province]],[1]Sheet1!$A$3:$K$37,11,FALSE)</f>
        <v>4418600</v>
      </c>
      <c r="K3937">
        <v>0</v>
      </c>
      <c r="L3937" s="4">
        <v>4.2699280000000002</v>
      </c>
      <c r="M3937" s="4">
        <v>138.080353</v>
      </c>
      <c r="N3937" s="6"/>
      <c r="P3937"/>
      <c r="Q3937" s="12"/>
      <c r="R3937" s="12"/>
    </row>
    <row r="3938" spans="1:18" x14ac:dyDescent="0.2">
      <c r="A3938">
        <v>34</v>
      </c>
      <c r="B3938" t="s">
        <v>23</v>
      </c>
      <c r="C3938">
        <v>2013</v>
      </c>
      <c r="D3938">
        <v>5</v>
      </c>
      <c r="E3938" s="4">
        <v>0</v>
      </c>
      <c r="F3938" s="9">
        <v>0</v>
      </c>
      <c r="G3938" s="6">
        <v>3209</v>
      </c>
      <c r="H3938" s="9">
        <f t="shared" si="61"/>
        <v>0</v>
      </c>
      <c r="I3938" s="6">
        <v>14000</v>
      </c>
      <c r="J3938" s="6">
        <f>VLOOKUP(Table1[[#This Row],[Province]],[1]Sheet1!$A$3:$K$37,11,FALSE)</f>
        <v>4418600</v>
      </c>
      <c r="K3938">
        <v>0</v>
      </c>
      <c r="L3938" s="4">
        <v>4.2699280000000002</v>
      </c>
      <c r="M3938" s="4">
        <v>138.080353</v>
      </c>
      <c r="N3938" s="6"/>
      <c r="P3938"/>
      <c r="Q3938" s="12"/>
      <c r="R3938" s="12"/>
    </row>
    <row r="3939" spans="1:18" x14ac:dyDescent="0.2">
      <c r="A3939">
        <v>34</v>
      </c>
      <c r="B3939" t="s">
        <v>23</v>
      </c>
      <c r="C3939">
        <v>2013</v>
      </c>
      <c r="D3939">
        <v>6</v>
      </c>
      <c r="E3939" s="4">
        <v>0</v>
      </c>
      <c r="F3939" s="9">
        <v>0</v>
      </c>
      <c r="G3939" s="6">
        <v>2672</v>
      </c>
      <c r="H3939" s="9">
        <f t="shared" si="61"/>
        <v>0</v>
      </c>
      <c r="I3939" s="6">
        <v>14079</v>
      </c>
      <c r="J3939" s="6">
        <f>VLOOKUP(Table1[[#This Row],[Province]],[1]Sheet1!$A$3:$K$37,11,FALSE)</f>
        <v>4418600</v>
      </c>
      <c r="K3939">
        <v>0</v>
      </c>
      <c r="L3939" s="4">
        <v>4.2699280000000002</v>
      </c>
      <c r="M3939" s="4">
        <v>138.080353</v>
      </c>
      <c r="N3939" s="6"/>
      <c r="P3939"/>
      <c r="Q3939" s="12"/>
      <c r="R3939" s="12"/>
    </row>
    <row r="3940" spans="1:18" x14ac:dyDescent="0.2">
      <c r="A3940">
        <v>34</v>
      </c>
      <c r="B3940" t="s">
        <v>23</v>
      </c>
      <c r="C3940">
        <v>2013</v>
      </c>
      <c r="D3940">
        <v>7</v>
      </c>
      <c r="E3940" s="4">
        <v>0</v>
      </c>
      <c r="F3940" s="9">
        <v>0</v>
      </c>
      <c r="G3940" s="6">
        <v>4636</v>
      </c>
      <c r="H3940" s="9">
        <f t="shared" si="61"/>
        <v>0</v>
      </c>
      <c r="I3940" s="6">
        <v>15818</v>
      </c>
      <c r="J3940" s="6">
        <f>VLOOKUP(Table1[[#This Row],[Province]],[1]Sheet1!$A$3:$K$37,11,FALSE)</f>
        <v>4418600</v>
      </c>
      <c r="K3940">
        <v>1</v>
      </c>
      <c r="L3940" s="4">
        <v>4.2699280000000002</v>
      </c>
      <c r="M3940" s="4">
        <v>138.080353</v>
      </c>
      <c r="N3940" s="6"/>
      <c r="P3940"/>
      <c r="Q3940" s="12"/>
      <c r="R3940" s="12"/>
    </row>
    <row r="3941" spans="1:18" x14ac:dyDescent="0.2">
      <c r="A3941">
        <v>34</v>
      </c>
      <c r="B3941" t="s">
        <v>23</v>
      </c>
      <c r="C3941">
        <v>2013</v>
      </c>
      <c r="D3941">
        <v>8</v>
      </c>
      <c r="E3941" s="4">
        <v>0</v>
      </c>
      <c r="F3941" s="9">
        <v>0</v>
      </c>
      <c r="G3941" s="6">
        <v>1696</v>
      </c>
      <c r="H3941" s="9">
        <f t="shared" si="61"/>
        <v>0</v>
      </c>
      <c r="I3941" s="6">
        <v>14500</v>
      </c>
      <c r="J3941" s="6">
        <f>VLOOKUP(Table1[[#This Row],[Province]],[1]Sheet1!$A$3:$K$37,11,FALSE)</f>
        <v>4418600</v>
      </c>
      <c r="K3941">
        <v>0</v>
      </c>
      <c r="L3941" s="4">
        <v>4.2699280000000002</v>
      </c>
      <c r="M3941" s="4">
        <v>138.080353</v>
      </c>
      <c r="N3941" s="6"/>
      <c r="P3941"/>
      <c r="Q3941" s="12"/>
      <c r="R3941" s="12"/>
    </row>
    <row r="3942" spans="1:18" x14ac:dyDescent="0.2">
      <c r="A3942">
        <v>34</v>
      </c>
      <c r="B3942" t="s">
        <v>23</v>
      </c>
      <c r="C3942">
        <v>2013</v>
      </c>
      <c r="D3942">
        <v>9</v>
      </c>
      <c r="E3942" s="4">
        <v>0</v>
      </c>
      <c r="F3942" s="9">
        <v>0</v>
      </c>
      <c r="G3942" s="6">
        <v>3623</v>
      </c>
      <c r="H3942" s="9">
        <f t="shared" si="61"/>
        <v>0</v>
      </c>
      <c r="I3942" s="6">
        <v>14571</v>
      </c>
      <c r="J3942" s="6">
        <f>VLOOKUP(Table1[[#This Row],[Province]],[1]Sheet1!$A$3:$K$37,11,FALSE)</f>
        <v>4418600</v>
      </c>
      <c r="K3942">
        <v>0</v>
      </c>
      <c r="L3942" s="4">
        <v>4.2699280000000002</v>
      </c>
      <c r="M3942" s="4">
        <v>138.080353</v>
      </c>
      <c r="N3942" s="6"/>
      <c r="P3942"/>
      <c r="Q3942" s="12"/>
      <c r="R3942" s="12"/>
    </row>
    <row r="3943" spans="1:18" x14ac:dyDescent="0.2">
      <c r="A3943">
        <v>34</v>
      </c>
      <c r="B3943" t="s">
        <v>23</v>
      </c>
      <c r="C3943">
        <v>2013</v>
      </c>
      <c r="D3943">
        <v>10</v>
      </c>
      <c r="E3943" s="4">
        <v>0</v>
      </c>
      <c r="F3943" s="9">
        <v>0</v>
      </c>
      <c r="G3943" s="6">
        <v>2965</v>
      </c>
      <c r="H3943" s="9">
        <f t="shared" si="61"/>
        <v>0</v>
      </c>
      <c r="I3943" s="6">
        <v>14500</v>
      </c>
      <c r="J3943" s="6">
        <f>VLOOKUP(Table1[[#This Row],[Province]],[1]Sheet1!$A$3:$K$37,11,FALSE)</f>
        <v>4418600</v>
      </c>
      <c r="K3943">
        <v>0</v>
      </c>
      <c r="L3943" s="4">
        <v>4.2699280000000002</v>
      </c>
      <c r="M3943" s="4">
        <v>138.080353</v>
      </c>
      <c r="N3943" s="6"/>
      <c r="P3943"/>
      <c r="Q3943" s="12"/>
      <c r="R3943" s="12"/>
    </row>
    <row r="3944" spans="1:18" x14ac:dyDescent="0.2">
      <c r="A3944">
        <v>34</v>
      </c>
      <c r="B3944" t="s">
        <v>23</v>
      </c>
      <c r="C3944">
        <v>2013</v>
      </c>
      <c r="D3944">
        <v>11</v>
      </c>
      <c r="E3944" s="4">
        <v>0</v>
      </c>
      <c r="F3944" s="9">
        <v>0</v>
      </c>
      <c r="G3944" s="6">
        <v>2184</v>
      </c>
      <c r="H3944" s="9">
        <f t="shared" si="61"/>
        <v>0</v>
      </c>
      <c r="I3944" s="6">
        <v>14500</v>
      </c>
      <c r="J3944" s="6">
        <f>VLOOKUP(Table1[[#This Row],[Province]],[1]Sheet1!$A$3:$K$37,11,FALSE)</f>
        <v>4418600</v>
      </c>
      <c r="K3944">
        <v>0</v>
      </c>
      <c r="L3944" s="4">
        <v>4.2699280000000002</v>
      </c>
      <c r="M3944" s="4">
        <v>138.080353</v>
      </c>
      <c r="N3944" s="6"/>
      <c r="P3944"/>
      <c r="Q3944" s="12"/>
      <c r="R3944" s="12"/>
    </row>
    <row r="3945" spans="1:18" x14ac:dyDescent="0.2">
      <c r="A3945">
        <v>34</v>
      </c>
      <c r="B3945" t="s">
        <v>23</v>
      </c>
      <c r="C3945">
        <v>2013</v>
      </c>
      <c r="D3945">
        <v>12</v>
      </c>
      <c r="E3945" s="4">
        <v>0</v>
      </c>
      <c r="F3945" s="9">
        <v>0</v>
      </c>
      <c r="G3945" s="6">
        <v>3038</v>
      </c>
      <c r="H3945" s="9">
        <f t="shared" si="61"/>
        <v>0</v>
      </c>
      <c r="I3945" s="6">
        <v>14500</v>
      </c>
      <c r="J3945" s="6">
        <f>VLOOKUP(Table1[[#This Row],[Province]],[1]Sheet1!$A$3:$K$37,11,FALSE)</f>
        <v>4418600</v>
      </c>
      <c r="K3945">
        <v>1</v>
      </c>
      <c r="L3945" s="4">
        <v>4.2699280000000002</v>
      </c>
      <c r="M3945" s="4">
        <v>138.080353</v>
      </c>
      <c r="N3945" s="6"/>
      <c r="P3945"/>
      <c r="Q3945" s="12"/>
      <c r="R3945" s="12"/>
    </row>
    <row r="3946" spans="1:18" x14ac:dyDescent="0.2">
      <c r="A3946">
        <v>34</v>
      </c>
      <c r="B3946" t="s">
        <v>23</v>
      </c>
      <c r="C3946">
        <v>2014</v>
      </c>
      <c r="D3946">
        <v>1</v>
      </c>
      <c r="E3946" s="4">
        <v>0</v>
      </c>
      <c r="F3946" s="9">
        <v>0</v>
      </c>
      <c r="G3946" s="6">
        <v>2144</v>
      </c>
      <c r="H3946" s="9">
        <f t="shared" si="61"/>
        <v>0</v>
      </c>
      <c r="I3946" s="6">
        <v>14500</v>
      </c>
      <c r="J3946" s="6">
        <f>VLOOKUP(Table1[[#This Row],[Province]],[1]Sheet1!$A$3:$K$37,11,FALSE)</f>
        <v>4418600</v>
      </c>
      <c r="K3946">
        <v>0</v>
      </c>
      <c r="L3946" s="4">
        <v>4.2699280000000002</v>
      </c>
      <c r="M3946" s="4">
        <v>138.080353</v>
      </c>
      <c r="N3946" s="6"/>
      <c r="P3946"/>
      <c r="Q3946" s="12"/>
      <c r="R3946" s="12"/>
    </row>
    <row r="3947" spans="1:18" x14ac:dyDescent="0.2">
      <c r="A3947">
        <v>34</v>
      </c>
      <c r="B3947" t="s">
        <v>23</v>
      </c>
      <c r="C3947">
        <v>2014</v>
      </c>
      <c r="D3947">
        <v>2</v>
      </c>
      <c r="E3947" s="4">
        <v>0</v>
      </c>
      <c r="F3947" s="9">
        <v>0</v>
      </c>
      <c r="G3947" s="6">
        <v>1913</v>
      </c>
      <c r="H3947" s="9">
        <f t="shared" si="61"/>
        <v>0</v>
      </c>
      <c r="I3947" s="6">
        <v>14500</v>
      </c>
      <c r="J3947" s="6">
        <f>VLOOKUP(Table1[[#This Row],[Province]],[1]Sheet1!$A$3:$K$37,11,FALSE)</f>
        <v>4418600</v>
      </c>
      <c r="K3947">
        <v>0</v>
      </c>
      <c r="L3947" s="4">
        <v>4.2699280000000002</v>
      </c>
      <c r="M3947" s="4">
        <v>138.080353</v>
      </c>
      <c r="N3947" s="6"/>
      <c r="P3947"/>
      <c r="Q3947" s="12"/>
      <c r="R3947" s="12"/>
    </row>
    <row r="3948" spans="1:18" x14ac:dyDescent="0.2">
      <c r="A3948">
        <v>34</v>
      </c>
      <c r="B3948" t="s">
        <v>23</v>
      </c>
      <c r="C3948">
        <v>2014</v>
      </c>
      <c r="D3948">
        <v>3</v>
      </c>
      <c r="E3948" s="4">
        <v>0</v>
      </c>
      <c r="F3948" s="9">
        <v>0</v>
      </c>
      <c r="G3948" s="6">
        <v>2148</v>
      </c>
      <c r="H3948" s="9">
        <f t="shared" si="61"/>
        <v>0</v>
      </c>
      <c r="I3948" s="6">
        <v>14500</v>
      </c>
      <c r="J3948" s="6">
        <f>VLOOKUP(Table1[[#This Row],[Province]],[1]Sheet1!$A$3:$K$37,11,FALSE)</f>
        <v>4418600</v>
      </c>
      <c r="K3948">
        <v>0</v>
      </c>
      <c r="L3948" s="4">
        <v>4.2699280000000002</v>
      </c>
      <c r="M3948" s="4">
        <v>138.080353</v>
      </c>
      <c r="N3948" s="6"/>
      <c r="P3948"/>
      <c r="Q3948" s="12"/>
      <c r="R3948" s="12"/>
    </row>
    <row r="3949" spans="1:18" x14ac:dyDescent="0.2">
      <c r="A3949">
        <v>34</v>
      </c>
      <c r="B3949" t="s">
        <v>23</v>
      </c>
      <c r="C3949">
        <v>2014</v>
      </c>
      <c r="D3949">
        <v>4</v>
      </c>
      <c r="E3949" s="4">
        <v>0</v>
      </c>
      <c r="F3949" s="9">
        <v>0</v>
      </c>
      <c r="G3949" s="6">
        <v>2766</v>
      </c>
      <c r="H3949" s="9">
        <f t="shared" si="61"/>
        <v>0</v>
      </c>
      <c r="I3949" s="6">
        <v>14500</v>
      </c>
      <c r="J3949" s="6">
        <f>VLOOKUP(Table1[[#This Row],[Province]],[1]Sheet1!$A$3:$K$37,11,FALSE)</f>
        <v>4418600</v>
      </c>
      <c r="K3949">
        <v>0</v>
      </c>
      <c r="L3949" s="4">
        <v>4.2699280000000002</v>
      </c>
      <c r="M3949" s="4">
        <v>138.080353</v>
      </c>
      <c r="N3949" s="6"/>
      <c r="P3949"/>
      <c r="Q3949" s="12"/>
      <c r="R3949" s="12"/>
    </row>
    <row r="3950" spans="1:18" x14ac:dyDescent="0.2">
      <c r="A3950">
        <v>34</v>
      </c>
      <c r="B3950" t="s">
        <v>23</v>
      </c>
      <c r="C3950">
        <v>2014</v>
      </c>
      <c r="D3950">
        <v>5</v>
      </c>
      <c r="E3950" s="4">
        <v>0</v>
      </c>
      <c r="F3950" s="9">
        <v>0</v>
      </c>
      <c r="G3950" s="6">
        <v>3098</v>
      </c>
      <c r="H3950" s="9">
        <f t="shared" si="61"/>
        <v>0</v>
      </c>
      <c r="I3950" s="6">
        <v>14500</v>
      </c>
      <c r="J3950" s="6">
        <f>VLOOKUP(Table1[[#This Row],[Province]],[1]Sheet1!$A$3:$K$37,11,FALSE)</f>
        <v>4418600</v>
      </c>
      <c r="K3950">
        <v>0</v>
      </c>
      <c r="L3950" s="4">
        <v>4.2699280000000002</v>
      </c>
      <c r="M3950" s="4">
        <v>138.080353</v>
      </c>
      <c r="N3950" s="6"/>
      <c r="P3950"/>
      <c r="Q3950" s="12"/>
      <c r="R3950" s="12"/>
    </row>
    <row r="3951" spans="1:18" x14ac:dyDescent="0.2">
      <c r="A3951">
        <v>34</v>
      </c>
      <c r="B3951" t="s">
        <v>23</v>
      </c>
      <c r="C3951">
        <v>2014</v>
      </c>
      <c r="D3951">
        <v>6</v>
      </c>
      <c r="E3951" s="4">
        <v>0</v>
      </c>
      <c r="F3951" s="9">
        <v>0</v>
      </c>
      <c r="G3951" s="6">
        <v>4410</v>
      </c>
      <c r="H3951" s="9">
        <f t="shared" si="61"/>
        <v>0</v>
      </c>
      <c r="I3951" s="6">
        <v>14833</v>
      </c>
      <c r="J3951" s="6">
        <f>VLOOKUP(Table1[[#This Row],[Province]],[1]Sheet1!$A$3:$K$37,11,FALSE)</f>
        <v>4418600</v>
      </c>
      <c r="K3951">
        <v>1</v>
      </c>
      <c r="L3951" s="4">
        <v>4.2699280000000002</v>
      </c>
      <c r="M3951" s="4">
        <v>138.080353</v>
      </c>
      <c r="N3951" s="6"/>
      <c r="P3951"/>
      <c r="Q3951" s="12"/>
      <c r="R3951" s="12"/>
    </row>
    <row r="3952" spans="1:18" x14ac:dyDescent="0.2">
      <c r="A3952">
        <v>34</v>
      </c>
      <c r="B3952" t="s">
        <v>23</v>
      </c>
      <c r="C3952">
        <v>2014</v>
      </c>
      <c r="D3952">
        <v>7</v>
      </c>
      <c r="E3952" s="4">
        <v>0</v>
      </c>
      <c r="F3952" s="9">
        <v>0</v>
      </c>
      <c r="G3952" s="6">
        <v>2766</v>
      </c>
      <c r="H3952" s="9">
        <f t="shared" si="61"/>
        <v>0</v>
      </c>
      <c r="I3952" s="6">
        <v>15000</v>
      </c>
      <c r="J3952" s="6">
        <f>VLOOKUP(Table1[[#This Row],[Province]],[1]Sheet1!$A$3:$K$37,11,FALSE)</f>
        <v>4418600</v>
      </c>
      <c r="K3952">
        <v>0</v>
      </c>
      <c r="L3952" s="4">
        <v>4.2699280000000002</v>
      </c>
      <c r="M3952" s="4">
        <v>138.080353</v>
      </c>
      <c r="N3952" s="6"/>
      <c r="P3952"/>
      <c r="Q3952" s="12"/>
      <c r="R3952" s="12"/>
    </row>
    <row r="3953" spans="1:18" x14ac:dyDescent="0.2">
      <c r="A3953">
        <v>34</v>
      </c>
      <c r="B3953" t="s">
        <v>23</v>
      </c>
      <c r="C3953">
        <v>2014</v>
      </c>
      <c r="D3953">
        <v>8</v>
      </c>
      <c r="E3953" s="4">
        <v>0</v>
      </c>
      <c r="F3953" s="9">
        <v>0</v>
      </c>
      <c r="G3953" s="6">
        <v>2667</v>
      </c>
      <c r="H3953" s="9">
        <f t="shared" si="61"/>
        <v>0</v>
      </c>
      <c r="I3953" s="6">
        <v>15000</v>
      </c>
      <c r="J3953" s="6">
        <f>VLOOKUP(Table1[[#This Row],[Province]],[1]Sheet1!$A$3:$K$37,11,FALSE)</f>
        <v>4418600</v>
      </c>
      <c r="K3953">
        <v>0</v>
      </c>
      <c r="L3953" s="4">
        <v>4.2699280000000002</v>
      </c>
      <c r="M3953" s="4">
        <v>138.080353</v>
      </c>
      <c r="N3953" s="6"/>
      <c r="P3953"/>
      <c r="Q3953" s="12"/>
      <c r="R3953" s="12"/>
    </row>
    <row r="3954" spans="1:18" x14ac:dyDescent="0.2">
      <c r="A3954">
        <v>34</v>
      </c>
      <c r="B3954" t="s">
        <v>23</v>
      </c>
      <c r="C3954">
        <v>2014</v>
      </c>
      <c r="D3954">
        <v>9</v>
      </c>
      <c r="E3954" s="4">
        <v>0</v>
      </c>
      <c r="F3954" s="9">
        <v>0</v>
      </c>
      <c r="G3954" s="6">
        <v>2684</v>
      </c>
      <c r="H3954" s="9">
        <f t="shared" si="61"/>
        <v>0</v>
      </c>
      <c r="I3954" s="6">
        <v>15000</v>
      </c>
      <c r="J3954" s="6">
        <f>VLOOKUP(Table1[[#This Row],[Province]],[1]Sheet1!$A$3:$K$37,11,FALSE)</f>
        <v>4418600</v>
      </c>
      <c r="K3954">
        <v>0</v>
      </c>
      <c r="L3954" s="4">
        <v>4.2699280000000002</v>
      </c>
      <c r="M3954" s="4">
        <v>138.080353</v>
      </c>
      <c r="N3954" s="6"/>
      <c r="P3954"/>
      <c r="Q3954" s="12"/>
      <c r="R3954" s="12"/>
    </row>
    <row r="3955" spans="1:18" x14ac:dyDescent="0.2">
      <c r="A3955">
        <v>34</v>
      </c>
      <c r="B3955" t="s">
        <v>23</v>
      </c>
      <c r="C3955">
        <v>2014</v>
      </c>
      <c r="D3955">
        <v>10</v>
      </c>
      <c r="E3955" s="4">
        <v>0</v>
      </c>
      <c r="F3955" s="9">
        <v>0</v>
      </c>
      <c r="G3955" s="6">
        <v>3982</v>
      </c>
      <c r="H3955" s="9">
        <f t="shared" si="61"/>
        <v>0</v>
      </c>
      <c r="I3955" s="6">
        <v>15000</v>
      </c>
      <c r="J3955" s="6">
        <f>VLOOKUP(Table1[[#This Row],[Province]],[1]Sheet1!$A$3:$K$37,11,FALSE)</f>
        <v>4418600</v>
      </c>
      <c r="K3955">
        <v>0</v>
      </c>
      <c r="L3955" s="4">
        <v>4.2699280000000002</v>
      </c>
      <c r="M3955" s="4">
        <v>138.080353</v>
      </c>
      <c r="N3955" s="6"/>
      <c r="P3955"/>
      <c r="Q3955" s="12"/>
      <c r="R3955" s="12"/>
    </row>
    <row r="3956" spans="1:18" x14ac:dyDescent="0.2">
      <c r="A3956">
        <v>34</v>
      </c>
      <c r="B3956" t="s">
        <v>23</v>
      </c>
      <c r="C3956">
        <v>2014</v>
      </c>
      <c r="D3956">
        <v>11</v>
      </c>
      <c r="E3956" s="4">
        <v>0</v>
      </c>
      <c r="F3956" s="9">
        <v>0</v>
      </c>
      <c r="G3956" s="6">
        <v>3177</v>
      </c>
      <c r="H3956" s="9">
        <f t="shared" si="61"/>
        <v>0</v>
      </c>
      <c r="I3956" s="6">
        <v>15000</v>
      </c>
      <c r="J3956" s="6">
        <f>VLOOKUP(Table1[[#This Row],[Province]],[1]Sheet1!$A$3:$K$37,11,FALSE)</f>
        <v>4418600</v>
      </c>
      <c r="K3956">
        <v>0</v>
      </c>
      <c r="L3956" s="4">
        <v>4.2699280000000002</v>
      </c>
      <c r="M3956" s="4">
        <v>138.080353</v>
      </c>
      <c r="N3956" s="6"/>
      <c r="P3956"/>
      <c r="Q3956" s="12"/>
      <c r="R3956" s="12"/>
    </row>
    <row r="3957" spans="1:18" x14ac:dyDescent="0.2">
      <c r="A3957">
        <v>34</v>
      </c>
      <c r="B3957" t="s">
        <v>23</v>
      </c>
      <c r="C3957">
        <v>2014</v>
      </c>
      <c r="D3957">
        <v>12</v>
      </c>
      <c r="E3957" s="4">
        <v>0</v>
      </c>
      <c r="F3957" s="9">
        <v>0</v>
      </c>
      <c r="G3957" s="6">
        <v>3705</v>
      </c>
      <c r="H3957" s="9">
        <f t="shared" si="61"/>
        <v>0</v>
      </c>
      <c r="I3957" s="6">
        <v>15000</v>
      </c>
      <c r="J3957" s="6">
        <f>VLOOKUP(Table1[[#This Row],[Province]],[1]Sheet1!$A$3:$K$37,11,FALSE)</f>
        <v>4418600</v>
      </c>
      <c r="K3957">
        <v>1</v>
      </c>
      <c r="L3957" s="4">
        <v>4.2699280000000002</v>
      </c>
      <c r="M3957" s="4">
        <v>138.080353</v>
      </c>
      <c r="N3957" s="6"/>
      <c r="P3957"/>
      <c r="Q3957" s="12"/>
      <c r="R3957" s="12"/>
    </row>
    <row r="3958" spans="1:18" x14ac:dyDescent="0.2">
      <c r="A3958">
        <v>34</v>
      </c>
      <c r="B3958" t="s">
        <v>23</v>
      </c>
      <c r="C3958">
        <v>2015</v>
      </c>
      <c r="D3958">
        <v>1</v>
      </c>
      <c r="E3958" s="4">
        <v>0</v>
      </c>
      <c r="F3958" s="9">
        <v>0</v>
      </c>
      <c r="G3958" s="6">
        <v>1821</v>
      </c>
      <c r="H3958" s="9">
        <f t="shared" si="61"/>
        <v>0</v>
      </c>
      <c r="I3958" s="6">
        <v>15000</v>
      </c>
      <c r="J3958" s="6">
        <f>VLOOKUP(Table1[[#This Row],[Province]],[1]Sheet1!$A$3:$K$37,11,FALSE)</f>
        <v>4418600</v>
      </c>
      <c r="K3958">
        <v>0</v>
      </c>
      <c r="L3958" s="4">
        <v>4.2699280000000002</v>
      </c>
      <c r="M3958" s="4">
        <v>138.080353</v>
      </c>
      <c r="N3958" s="6"/>
      <c r="P3958"/>
      <c r="Q3958" s="12"/>
      <c r="R3958" s="12"/>
    </row>
    <row r="3959" spans="1:18" x14ac:dyDescent="0.2">
      <c r="A3959">
        <v>34</v>
      </c>
      <c r="B3959" t="s">
        <v>23</v>
      </c>
      <c r="C3959">
        <v>2015</v>
      </c>
      <c r="D3959">
        <v>2</v>
      </c>
      <c r="E3959" s="4">
        <v>0</v>
      </c>
      <c r="F3959" s="9">
        <v>0</v>
      </c>
      <c r="G3959" s="6">
        <v>4593</v>
      </c>
      <c r="H3959" s="9">
        <f t="shared" si="61"/>
        <v>0</v>
      </c>
      <c r="I3959" s="6">
        <v>15000</v>
      </c>
      <c r="J3959" s="6">
        <f>VLOOKUP(Table1[[#This Row],[Province]],[1]Sheet1!$A$3:$K$37,11,FALSE)</f>
        <v>4418600</v>
      </c>
      <c r="K3959">
        <v>0</v>
      </c>
      <c r="L3959" s="4">
        <v>4.2699280000000002</v>
      </c>
      <c r="M3959" s="4">
        <v>138.080353</v>
      </c>
      <c r="N3959" s="6"/>
      <c r="P3959"/>
      <c r="Q3959" s="12"/>
      <c r="R3959" s="12"/>
    </row>
    <row r="3960" spans="1:18" x14ac:dyDescent="0.2">
      <c r="A3960">
        <v>34</v>
      </c>
      <c r="B3960" t="s">
        <v>23</v>
      </c>
      <c r="C3960">
        <v>2015</v>
      </c>
      <c r="D3960">
        <v>3</v>
      </c>
      <c r="E3960" s="4">
        <v>0</v>
      </c>
      <c r="F3960" s="9">
        <v>0</v>
      </c>
      <c r="G3960" s="6">
        <v>2084</v>
      </c>
      <c r="H3960" s="9">
        <f t="shared" si="61"/>
        <v>0</v>
      </c>
      <c r="I3960" s="6">
        <v>14886</v>
      </c>
      <c r="J3960" s="6">
        <f>VLOOKUP(Table1[[#This Row],[Province]],[1]Sheet1!$A$3:$K$37,11,FALSE)</f>
        <v>4418600</v>
      </c>
      <c r="K3960">
        <v>0</v>
      </c>
      <c r="L3960" s="4">
        <v>4.2699280000000002</v>
      </c>
      <c r="M3960" s="4">
        <v>138.080353</v>
      </c>
      <c r="N3960" s="6"/>
      <c r="P3960"/>
      <c r="Q3960" s="12"/>
      <c r="R3960" s="12"/>
    </row>
    <row r="3961" spans="1:18" x14ac:dyDescent="0.2">
      <c r="A3961">
        <v>34</v>
      </c>
      <c r="B3961" t="s">
        <v>23</v>
      </c>
      <c r="C3961">
        <v>2015</v>
      </c>
      <c r="D3961">
        <v>4</v>
      </c>
      <c r="E3961" s="4">
        <v>0</v>
      </c>
      <c r="F3961" s="9">
        <v>0</v>
      </c>
      <c r="G3961" s="6">
        <v>3452</v>
      </c>
      <c r="H3961" s="9">
        <f t="shared" si="61"/>
        <v>0</v>
      </c>
      <c r="I3961" s="6">
        <v>14250</v>
      </c>
      <c r="J3961" s="6">
        <f>VLOOKUP(Table1[[#This Row],[Province]],[1]Sheet1!$A$3:$K$37,11,FALSE)</f>
        <v>4418600</v>
      </c>
      <c r="K3961">
        <v>0</v>
      </c>
      <c r="L3961" s="4">
        <v>4.2699280000000002</v>
      </c>
      <c r="M3961" s="4">
        <v>138.080353</v>
      </c>
      <c r="N3961" s="6"/>
      <c r="P3961"/>
      <c r="Q3961" s="12"/>
      <c r="R3961" s="12"/>
    </row>
    <row r="3962" spans="1:18" x14ac:dyDescent="0.2">
      <c r="A3962">
        <v>34</v>
      </c>
      <c r="B3962" t="s">
        <v>23</v>
      </c>
      <c r="C3962">
        <v>2015</v>
      </c>
      <c r="D3962">
        <v>5</v>
      </c>
      <c r="E3962" s="4">
        <v>0</v>
      </c>
      <c r="F3962" s="9">
        <v>0</v>
      </c>
      <c r="G3962" s="6">
        <v>3308</v>
      </c>
      <c r="H3962" s="9">
        <f t="shared" si="61"/>
        <v>0</v>
      </c>
      <c r="I3962" s="6">
        <v>14618</v>
      </c>
      <c r="J3962" s="6">
        <f>VLOOKUP(Table1[[#This Row],[Province]],[1]Sheet1!$A$3:$K$37,11,FALSE)</f>
        <v>4418600</v>
      </c>
      <c r="K3962">
        <v>0</v>
      </c>
      <c r="L3962" s="4">
        <v>4.2699280000000002</v>
      </c>
      <c r="M3962" s="4">
        <v>138.080353</v>
      </c>
      <c r="N3962" s="6"/>
      <c r="P3962"/>
      <c r="Q3962" s="12"/>
      <c r="R3962" s="12"/>
    </row>
    <row r="3963" spans="1:18" x14ac:dyDescent="0.2">
      <c r="A3963">
        <v>34</v>
      </c>
      <c r="B3963" t="s">
        <v>23</v>
      </c>
      <c r="C3963">
        <v>2015</v>
      </c>
      <c r="D3963">
        <v>6</v>
      </c>
      <c r="E3963" s="4">
        <v>0</v>
      </c>
      <c r="F3963" s="9">
        <v>0</v>
      </c>
      <c r="G3963" s="6">
        <v>3759</v>
      </c>
      <c r="H3963" s="9">
        <f t="shared" si="61"/>
        <v>0</v>
      </c>
      <c r="I3963" s="6">
        <v>14964</v>
      </c>
      <c r="J3963" s="6">
        <f>VLOOKUP(Table1[[#This Row],[Province]],[1]Sheet1!$A$3:$K$37,11,FALSE)</f>
        <v>4418600</v>
      </c>
      <c r="K3963">
        <v>1</v>
      </c>
      <c r="L3963" s="4">
        <v>4.2699280000000002</v>
      </c>
      <c r="M3963" s="4">
        <v>138.080353</v>
      </c>
      <c r="N3963" s="6"/>
      <c r="P3963"/>
      <c r="Q3963" s="12"/>
      <c r="R3963" s="12"/>
    </row>
    <row r="3964" spans="1:18" x14ac:dyDescent="0.2">
      <c r="A3964">
        <v>34</v>
      </c>
      <c r="B3964" t="s">
        <v>23</v>
      </c>
      <c r="C3964">
        <v>2015</v>
      </c>
      <c r="D3964">
        <v>7</v>
      </c>
      <c r="E3964" s="4">
        <v>0</v>
      </c>
      <c r="F3964" s="9">
        <v>0</v>
      </c>
      <c r="G3964" s="6">
        <v>2566</v>
      </c>
      <c r="H3964" s="9">
        <f t="shared" si="61"/>
        <v>0</v>
      </c>
      <c r="I3964" s="6">
        <v>15000</v>
      </c>
      <c r="J3964" s="6">
        <f>VLOOKUP(Table1[[#This Row],[Province]],[1]Sheet1!$A$3:$K$37,11,FALSE)</f>
        <v>4418600</v>
      </c>
      <c r="K3964">
        <v>0</v>
      </c>
      <c r="L3964" s="4">
        <v>4.2699280000000002</v>
      </c>
      <c r="M3964" s="4">
        <v>138.080353</v>
      </c>
      <c r="N3964" s="6"/>
      <c r="P3964"/>
      <c r="Q3964" s="12"/>
      <c r="R3964" s="12"/>
    </row>
    <row r="3965" spans="1:18" x14ac:dyDescent="0.2">
      <c r="A3965">
        <v>34</v>
      </c>
      <c r="B3965" t="s">
        <v>23</v>
      </c>
      <c r="C3965">
        <v>2015</v>
      </c>
      <c r="D3965">
        <v>8</v>
      </c>
      <c r="E3965" s="4">
        <v>0</v>
      </c>
      <c r="F3965" s="9">
        <v>0</v>
      </c>
      <c r="G3965" s="6">
        <v>2540</v>
      </c>
      <c r="H3965" s="9">
        <f t="shared" si="61"/>
        <v>0</v>
      </c>
      <c r="I3965" s="6">
        <v>15000</v>
      </c>
      <c r="J3965" s="6">
        <f>VLOOKUP(Table1[[#This Row],[Province]],[1]Sheet1!$A$3:$K$37,11,FALSE)</f>
        <v>4418600</v>
      </c>
      <c r="K3965">
        <v>0</v>
      </c>
      <c r="L3965" s="4">
        <v>4.2699280000000002</v>
      </c>
      <c r="M3965" s="4">
        <v>138.080353</v>
      </c>
      <c r="N3965" s="6"/>
      <c r="P3965"/>
      <c r="Q3965" s="12"/>
      <c r="R3965" s="12"/>
    </row>
    <row r="3966" spans="1:18" x14ac:dyDescent="0.2">
      <c r="A3966">
        <v>34</v>
      </c>
      <c r="B3966" t="s">
        <v>23</v>
      </c>
      <c r="C3966">
        <v>2015</v>
      </c>
      <c r="D3966">
        <v>9</v>
      </c>
      <c r="E3966" s="4">
        <v>0</v>
      </c>
      <c r="F3966" s="9">
        <v>0</v>
      </c>
      <c r="G3966" s="6">
        <v>3408</v>
      </c>
      <c r="H3966" s="9">
        <f t="shared" si="61"/>
        <v>0</v>
      </c>
      <c r="I3966" s="6">
        <v>15000</v>
      </c>
      <c r="J3966" s="6">
        <f>VLOOKUP(Table1[[#This Row],[Province]],[1]Sheet1!$A$3:$K$37,11,FALSE)</f>
        <v>4418600</v>
      </c>
      <c r="K3966">
        <v>0</v>
      </c>
      <c r="L3966" s="4">
        <v>4.2699280000000002</v>
      </c>
      <c r="M3966" s="4">
        <v>138.080353</v>
      </c>
      <c r="N3966" s="6"/>
      <c r="P3966"/>
      <c r="Q3966" s="12"/>
      <c r="R3966" s="12"/>
    </row>
    <row r="3967" spans="1:18" x14ac:dyDescent="0.2">
      <c r="A3967">
        <v>34</v>
      </c>
      <c r="B3967" t="s">
        <v>23</v>
      </c>
      <c r="C3967">
        <v>2015</v>
      </c>
      <c r="D3967">
        <v>10</v>
      </c>
      <c r="E3967" s="4">
        <v>0</v>
      </c>
      <c r="F3967" s="9">
        <v>0</v>
      </c>
      <c r="G3967" s="6">
        <v>2272</v>
      </c>
      <c r="H3967" s="9">
        <f t="shared" si="61"/>
        <v>0</v>
      </c>
      <c r="I3967" s="6">
        <v>15000</v>
      </c>
      <c r="J3967" s="6">
        <f>VLOOKUP(Table1[[#This Row],[Province]],[1]Sheet1!$A$3:$K$37,11,FALSE)</f>
        <v>4418600</v>
      </c>
      <c r="K3967">
        <v>0</v>
      </c>
      <c r="L3967" s="4">
        <v>4.2699280000000002</v>
      </c>
      <c r="M3967" s="4">
        <v>138.080353</v>
      </c>
      <c r="N3967" s="6"/>
      <c r="P3967"/>
      <c r="Q3967" s="12"/>
      <c r="R3967" s="12"/>
    </row>
    <row r="3968" spans="1:18" x14ac:dyDescent="0.2">
      <c r="A3968">
        <v>34</v>
      </c>
      <c r="B3968" t="s">
        <v>23</v>
      </c>
      <c r="C3968">
        <v>2015</v>
      </c>
      <c r="D3968">
        <v>11</v>
      </c>
      <c r="E3968" s="4">
        <v>0</v>
      </c>
      <c r="F3968" s="9">
        <v>0</v>
      </c>
      <c r="G3968" s="6">
        <v>2996</v>
      </c>
      <c r="H3968" s="9">
        <f t="shared" si="61"/>
        <v>0</v>
      </c>
      <c r="I3968" s="6">
        <v>15000</v>
      </c>
      <c r="J3968" s="6">
        <f>VLOOKUP(Table1[[#This Row],[Province]],[1]Sheet1!$A$3:$K$37,11,FALSE)</f>
        <v>4418600</v>
      </c>
      <c r="K3968">
        <v>0</v>
      </c>
      <c r="L3968" s="4">
        <v>4.2699280000000002</v>
      </c>
      <c r="M3968" s="4">
        <v>138.080353</v>
      </c>
      <c r="N3968" s="6"/>
      <c r="P3968"/>
      <c r="Q3968" s="12"/>
      <c r="R3968" s="12"/>
    </row>
    <row r="3969" spans="1:18" x14ac:dyDescent="0.2">
      <c r="A3969">
        <v>34</v>
      </c>
      <c r="B3969" t="s">
        <v>23</v>
      </c>
      <c r="C3969">
        <v>2015</v>
      </c>
      <c r="D3969">
        <v>12</v>
      </c>
      <c r="E3969" s="4">
        <v>0</v>
      </c>
      <c r="F3969" s="9">
        <v>0</v>
      </c>
      <c r="G3969" s="6">
        <v>3211</v>
      </c>
      <c r="H3969" s="9">
        <f t="shared" si="61"/>
        <v>0</v>
      </c>
      <c r="I3969" s="6">
        <v>15000</v>
      </c>
      <c r="J3969" s="6">
        <f>VLOOKUP(Table1[[#This Row],[Province]],[1]Sheet1!$A$3:$K$37,11,FALSE)</f>
        <v>4418600</v>
      </c>
      <c r="K3969">
        <v>1</v>
      </c>
      <c r="L3969" s="4">
        <v>4.2699280000000002</v>
      </c>
      <c r="M3969" s="4">
        <v>138.080353</v>
      </c>
      <c r="N3969" s="6"/>
      <c r="P3969"/>
      <c r="Q3969" s="12"/>
      <c r="R3969" s="12"/>
    </row>
    <row r="3970" spans="1:18" x14ac:dyDescent="0.2">
      <c r="A3970">
        <v>34</v>
      </c>
      <c r="B3970" t="s">
        <v>23</v>
      </c>
      <c r="C3970">
        <v>2016</v>
      </c>
      <c r="D3970">
        <v>1</v>
      </c>
      <c r="E3970" s="4">
        <v>0</v>
      </c>
      <c r="F3970" s="9">
        <v>0</v>
      </c>
      <c r="G3970" s="6">
        <v>2428</v>
      </c>
      <c r="H3970" s="9">
        <f t="shared" ref="H3970:H4033" si="62">F3970+E3970</f>
        <v>0</v>
      </c>
      <c r="I3970" s="6">
        <v>15000</v>
      </c>
      <c r="J3970" s="6">
        <f>VLOOKUP(Table1[[#This Row],[Province]],[1]Sheet1!$A$3:$K$37,11,FALSE)</f>
        <v>4418600</v>
      </c>
      <c r="K3970">
        <v>0</v>
      </c>
      <c r="L3970" s="4">
        <v>4.2699280000000002</v>
      </c>
      <c r="M3970" s="4">
        <v>138.080353</v>
      </c>
      <c r="N3970" s="13">
        <v>9.14</v>
      </c>
      <c r="P3970"/>
      <c r="Q3970" s="12"/>
      <c r="R3970" s="12"/>
    </row>
    <row r="3971" spans="1:18" x14ac:dyDescent="0.2">
      <c r="A3971">
        <v>34</v>
      </c>
      <c r="B3971" t="s">
        <v>23</v>
      </c>
      <c r="C3971">
        <v>2016</v>
      </c>
      <c r="D3971">
        <v>2</v>
      </c>
      <c r="E3971" s="4">
        <v>0</v>
      </c>
      <c r="F3971" s="9">
        <v>0</v>
      </c>
      <c r="G3971" s="6">
        <v>879</v>
      </c>
      <c r="H3971" s="9">
        <f t="shared" si="62"/>
        <v>0</v>
      </c>
      <c r="I3971" s="6">
        <v>15000</v>
      </c>
      <c r="J3971" s="6">
        <f>VLOOKUP(Table1[[#This Row],[Province]],[1]Sheet1!$A$3:$K$37,11,FALSE)</f>
        <v>4418600</v>
      </c>
      <c r="K3971">
        <v>0</v>
      </c>
      <c r="L3971" s="4">
        <v>4.2699280000000002</v>
      </c>
      <c r="M3971" s="4">
        <v>138.080353</v>
      </c>
      <c r="N3971" s="13">
        <v>9.14</v>
      </c>
      <c r="P3971"/>
      <c r="Q3971" s="12"/>
      <c r="R3971" s="12"/>
    </row>
    <row r="3972" spans="1:18" x14ac:dyDescent="0.2">
      <c r="A3972">
        <v>34</v>
      </c>
      <c r="B3972" t="s">
        <v>23</v>
      </c>
      <c r="C3972">
        <v>2016</v>
      </c>
      <c r="D3972">
        <v>3</v>
      </c>
      <c r="E3972" s="4">
        <v>0</v>
      </c>
      <c r="F3972" s="9">
        <v>0</v>
      </c>
      <c r="G3972" s="6">
        <v>1875</v>
      </c>
      <c r="H3972" s="9">
        <f t="shared" si="62"/>
        <v>0</v>
      </c>
      <c r="I3972" s="6">
        <v>15000</v>
      </c>
      <c r="J3972" s="6">
        <f>VLOOKUP(Table1[[#This Row],[Province]],[1]Sheet1!$A$3:$K$37,11,FALSE)</f>
        <v>4418600</v>
      </c>
      <c r="K3972">
        <v>0</v>
      </c>
      <c r="L3972" s="4">
        <v>4.2699280000000002</v>
      </c>
      <c r="M3972" s="4">
        <v>138.080353</v>
      </c>
      <c r="N3972" s="13">
        <v>9.14</v>
      </c>
      <c r="P3972"/>
      <c r="Q3972" s="12"/>
      <c r="R3972" s="12"/>
    </row>
    <row r="3973" spans="1:18" x14ac:dyDescent="0.2">
      <c r="A3973">
        <v>34</v>
      </c>
      <c r="B3973" t="s">
        <v>23</v>
      </c>
      <c r="C3973">
        <v>2016</v>
      </c>
      <c r="D3973">
        <v>4</v>
      </c>
      <c r="E3973" s="4">
        <v>0</v>
      </c>
      <c r="F3973" s="9">
        <v>0</v>
      </c>
      <c r="G3973" s="6">
        <v>406</v>
      </c>
      <c r="H3973" s="9">
        <f t="shared" si="62"/>
        <v>0</v>
      </c>
      <c r="I3973" s="6">
        <v>15000</v>
      </c>
      <c r="J3973" s="6">
        <f>VLOOKUP(Table1[[#This Row],[Province]],[1]Sheet1!$A$3:$K$37,11,FALSE)</f>
        <v>4418600</v>
      </c>
      <c r="K3973">
        <v>0</v>
      </c>
      <c r="L3973" s="4">
        <v>4.2699280000000002</v>
      </c>
      <c r="M3973" s="4">
        <v>138.080353</v>
      </c>
      <c r="N3973" s="13">
        <v>9.14</v>
      </c>
      <c r="P3973"/>
      <c r="Q3973" s="12"/>
      <c r="R3973" s="12"/>
    </row>
    <row r="3974" spans="1:18" x14ac:dyDescent="0.2">
      <c r="A3974">
        <v>34</v>
      </c>
      <c r="B3974" t="s">
        <v>23</v>
      </c>
      <c r="C3974">
        <v>2016</v>
      </c>
      <c r="D3974">
        <v>5</v>
      </c>
      <c r="E3974" s="4">
        <v>0</v>
      </c>
      <c r="F3974" s="9">
        <v>0</v>
      </c>
      <c r="G3974" s="6">
        <v>2751</v>
      </c>
      <c r="H3974" s="9">
        <f t="shared" si="62"/>
        <v>0</v>
      </c>
      <c r="I3974" s="6">
        <v>15525</v>
      </c>
      <c r="J3974" s="6">
        <f>VLOOKUP(Table1[[#This Row],[Province]],[1]Sheet1!$A$3:$K$37,11,FALSE)</f>
        <v>4418600</v>
      </c>
      <c r="K3974">
        <v>0</v>
      </c>
      <c r="L3974" s="4">
        <v>4.2699280000000002</v>
      </c>
      <c r="M3974" s="4">
        <v>138.080353</v>
      </c>
      <c r="N3974" s="13">
        <v>9.14</v>
      </c>
      <c r="P3974"/>
      <c r="Q3974" s="12"/>
      <c r="R3974" s="12"/>
    </row>
    <row r="3975" spans="1:18" x14ac:dyDescent="0.2">
      <c r="A3975">
        <v>34</v>
      </c>
      <c r="B3975" t="s">
        <v>23</v>
      </c>
      <c r="C3975">
        <v>2016</v>
      </c>
      <c r="D3975">
        <v>6</v>
      </c>
      <c r="E3975" s="4">
        <v>0</v>
      </c>
      <c r="F3975" s="9">
        <v>0</v>
      </c>
      <c r="G3975" s="6">
        <v>3297</v>
      </c>
      <c r="H3975" s="9">
        <f t="shared" si="62"/>
        <v>0</v>
      </c>
      <c r="I3975" s="6">
        <v>18000</v>
      </c>
      <c r="J3975" s="6">
        <f>VLOOKUP(Table1[[#This Row],[Province]],[1]Sheet1!$A$3:$K$37,11,FALSE)</f>
        <v>4418600</v>
      </c>
      <c r="K3975">
        <v>1</v>
      </c>
      <c r="L3975" s="4">
        <v>4.2699280000000002</v>
      </c>
      <c r="M3975" s="4">
        <v>138.080353</v>
      </c>
      <c r="N3975" s="13">
        <v>9.14</v>
      </c>
      <c r="P3975"/>
      <c r="Q3975" s="12"/>
      <c r="R3975" s="12"/>
    </row>
    <row r="3976" spans="1:18" x14ac:dyDescent="0.2">
      <c r="A3976">
        <v>34</v>
      </c>
      <c r="B3976" t="s">
        <v>23</v>
      </c>
      <c r="C3976">
        <v>2016</v>
      </c>
      <c r="D3976">
        <v>7</v>
      </c>
      <c r="E3976" s="4">
        <v>0</v>
      </c>
      <c r="F3976" s="9">
        <v>0</v>
      </c>
      <c r="G3976" s="6">
        <v>3145</v>
      </c>
      <c r="H3976" s="9">
        <f t="shared" si="62"/>
        <v>0</v>
      </c>
      <c r="I3976" s="6">
        <v>18000</v>
      </c>
      <c r="J3976" s="6">
        <f>VLOOKUP(Table1[[#This Row],[Province]],[1]Sheet1!$A$3:$K$37,11,FALSE)</f>
        <v>4418600</v>
      </c>
      <c r="K3976">
        <v>0</v>
      </c>
      <c r="L3976" s="4">
        <v>4.2699280000000002</v>
      </c>
      <c r="M3976" s="4">
        <v>138.080353</v>
      </c>
      <c r="N3976" s="13">
        <v>9.14</v>
      </c>
      <c r="P3976"/>
      <c r="Q3976" s="12"/>
      <c r="R3976" s="12"/>
    </row>
    <row r="3977" spans="1:18" x14ac:dyDescent="0.2">
      <c r="A3977">
        <v>34</v>
      </c>
      <c r="B3977" t="s">
        <v>23</v>
      </c>
      <c r="C3977">
        <v>2016</v>
      </c>
      <c r="D3977">
        <v>8</v>
      </c>
      <c r="E3977" s="4">
        <v>0</v>
      </c>
      <c r="F3977" s="9">
        <v>0</v>
      </c>
      <c r="G3977" s="6">
        <v>3108</v>
      </c>
      <c r="H3977" s="9">
        <f t="shared" si="62"/>
        <v>0</v>
      </c>
      <c r="I3977" s="6">
        <v>18000</v>
      </c>
      <c r="J3977" s="6">
        <f>VLOOKUP(Table1[[#This Row],[Province]],[1]Sheet1!$A$3:$K$37,11,FALSE)</f>
        <v>4418600</v>
      </c>
      <c r="K3977">
        <v>0</v>
      </c>
      <c r="L3977" s="4">
        <v>4.2699280000000002</v>
      </c>
      <c r="M3977" s="4">
        <v>138.080353</v>
      </c>
      <c r="N3977" s="13">
        <v>9.14</v>
      </c>
      <c r="P3977"/>
      <c r="Q3977" s="12"/>
      <c r="R3977" s="12"/>
    </row>
    <row r="3978" spans="1:18" x14ac:dyDescent="0.2">
      <c r="A3978">
        <v>34</v>
      </c>
      <c r="B3978" t="s">
        <v>23</v>
      </c>
      <c r="C3978">
        <v>2016</v>
      </c>
      <c r="D3978">
        <v>9</v>
      </c>
      <c r="E3978" s="4">
        <v>0</v>
      </c>
      <c r="F3978" s="9">
        <v>0</v>
      </c>
      <c r="G3978" s="6">
        <v>1201</v>
      </c>
      <c r="H3978" s="9">
        <f t="shared" si="62"/>
        <v>0</v>
      </c>
      <c r="I3978" s="6">
        <v>18000</v>
      </c>
      <c r="J3978" s="6">
        <f>VLOOKUP(Table1[[#This Row],[Province]],[1]Sheet1!$A$3:$K$37,11,FALSE)</f>
        <v>4418600</v>
      </c>
      <c r="K3978">
        <v>0</v>
      </c>
      <c r="L3978" s="4">
        <v>4.2699280000000002</v>
      </c>
      <c r="M3978" s="4">
        <v>138.080353</v>
      </c>
      <c r="N3978" s="13">
        <v>9.14</v>
      </c>
      <c r="P3978"/>
      <c r="Q3978" s="12"/>
      <c r="R3978" s="12"/>
    </row>
    <row r="3979" spans="1:18" x14ac:dyDescent="0.2">
      <c r="A3979">
        <v>34</v>
      </c>
      <c r="B3979" t="s">
        <v>23</v>
      </c>
      <c r="C3979">
        <v>2016</v>
      </c>
      <c r="D3979">
        <v>10</v>
      </c>
      <c r="E3979" s="4">
        <v>0</v>
      </c>
      <c r="F3979" s="9">
        <v>0</v>
      </c>
      <c r="G3979" s="6">
        <v>5248</v>
      </c>
      <c r="H3979" s="9">
        <f t="shared" si="62"/>
        <v>0</v>
      </c>
      <c r="I3979" s="6">
        <v>18000</v>
      </c>
      <c r="J3979" s="6">
        <f>VLOOKUP(Table1[[#This Row],[Province]],[1]Sheet1!$A$3:$K$37,11,FALSE)</f>
        <v>4418600</v>
      </c>
      <c r="K3979">
        <v>0</v>
      </c>
      <c r="L3979" s="4">
        <v>4.2699280000000002</v>
      </c>
      <c r="M3979" s="4">
        <v>138.080353</v>
      </c>
      <c r="N3979" s="13">
        <v>9.14</v>
      </c>
      <c r="P3979"/>
      <c r="Q3979" s="12"/>
      <c r="R3979" s="12"/>
    </row>
    <row r="3980" spans="1:18" x14ac:dyDescent="0.2">
      <c r="A3980">
        <v>34</v>
      </c>
      <c r="B3980" t="s">
        <v>23</v>
      </c>
      <c r="C3980">
        <v>2016</v>
      </c>
      <c r="D3980">
        <v>11</v>
      </c>
      <c r="E3980" s="4">
        <v>0</v>
      </c>
      <c r="F3980" s="9">
        <v>0</v>
      </c>
      <c r="G3980" s="6">
        <v>1486</v>
      </c>
      <c r="H3980" s="9">
        <f t="shared" si="62"/>
        <v>0</v>
      </c>
      <c r="I3980" s="6">
        <v>18000</v>
      </c>
      <c r="J3980" s="6">
        <f>VLOOKUP(Table1[[#This Row],[Province]],[1]Sheet1!$A$3:$K$37,11,FALSE)</f>
        <v>4418600</v>
      </c>
      <c r="K3980">
        <v>0</v>
      </c>
      <c r="L3980" s="4">
        <v>4.2699280000000002</v>
      </c>
      <c r="M3980" s="4">
        <v>138.080353</v>
      </c>
      <c r="N3980" s="13">
        <v>9.14</v>
      </c>
      <c r="P3980"/>
      <c r="Q3980" s="12"/>
      <c r="R3980" s="12"/>
    </row>
    <row r="3981" spans="1:18" x14ac:dyDescent="0.2">
      <c r="A3981">
        <v>34</v>
      </c>
      <c r="B3981" t="s">
        <v>23</v>
      </c>
      <c r="C3981">
        <v>2016</v>
      </c>
      <c r="D3981">
        <v>12</v>
      </c>
      <c r="E3981" s="4">
        <v>0</v>
      </c>
      <c r="F3981" s="9">
        <v>0</v>
      </c>
      <c r="G3981" s="6">
        <v>1487</v>
      </c>
      <c r="H3981" s="9">
        <f t="shared" si="62"/>
        <v>0</v>
      </c>
      <c r="I3981" s="6">
        <v>17350</v>
      </c>
      <c r="J3981" s="6">
        <f>VLOOKUP(Table1[[#This Row],[Province]],[1]Sheet1!$A$3:$K$37,11,FALSE)</f>
        <v>4418600</v>
      </c>
      <c r="K3981">
        <v>1</v>
      </c>
      <c r="L3981" s="4">
        <v>4.2699280000000002</v>
      </c>
      <c r="M3981" s="4">
        <v>138.080353</v>
      </c>
      <c r="N3981" s="13">
        <v>9.14</v>
      </c>
      <c r="P3981"/>
      <c r="Q3981" s="12"/>
      <c r="R3981" s="12"/>
    </row>
    <row r="3982" spans="1:18" x14ac:dyDescent="0.2">
      <c r="A3982">
        <v>34</v>
      </c>
      <c r="B3982" t="s">
        <v>23</v>
      </c>
      <c r="C3982">
        <v>2017</v>
      </c>
      <c r="D3982">
        <v>1</v>
      </c>
      <c r="E3982" s="4">
        <v>0</v>
      </c>
      <c r="F3982" s="9">
        <v>0</v>
      </c>
      <c r="G3982" s="6">
        <v>2971</v>
      </c>
      <c r="H3982" s="9">
        <f t="shared" si="62"/>
        <v>0</v>
      </c>
      <c r="I3982" s="6">
        <v>17000</v>
      </c>
      <c r="J3982" s="6">
        <f>VLOOKUP(Table1[[#This Row],[Province]],[1]Sheet1!$A$3:$K$37,11,FALSE)</f>
        <v>4418600</v>
      </c>
      <c r="K3982">
        <v>0</v>
      </c>
      <c r="L3982" s="4">
        <v>4.2699280000000002</v>
      </c>
      <c r="M3982" s="4">
        <v>138.080353</v>
      </c>
      <c r="N3982" s="13">
        <v>4.6399999999999997</v>
      </c>
      <c r="P3982"/>
      <c r="Q3982" s="12"/>
      <c r="R3982" s="12"/>
    </row>
    <row r="3983" spans="1:18" x14ac:dyDescent="0.2">
      <c r="A3983">
        <v>34</v>
      </c>
      <c r="B3983" t="s">
        <v>23</v>
      </c>
      <c r="C3983">
        <v>2017</v>
      </c>
      <c r="D3983">
        <v>2</v>
      </c>
      <c r="E3983" s="4">
        <v>0</v>
      </c>
      <c r="F3983" s="9">
        <v>0</v>
      </c>
      <c r="G3983" s="6">
        <v>1707</v>
      </c>
      <c r="H3983" s="9">
        <f t="shared" si="62"/>
        <v>0</v>
      </c>
      <c r="I3983" s="6">
        <v>17000</v>
      </c>
      <c r="J3983" s="6">
        <f>VLOOKUP(Table1[[#This Row],[Province]],[1]Sheet1!$A$3:$K$37,11,FALSE)</f>
        <v>4418600</v>
      </c>
      <c r="K3983">
        <v>0</v>
      </c>
      <c r="L3983" s="4">
        <v>4.2699280000000002</v>
      </c>
      <c r="M3983" s="4">
        <v>138.080353</v>
      </c>
      <c r="N3983" s="13">
        <v>4.6399999999999997</v>
      </c>
      <c r="P3983"/>
      <c r="Q3983" s="12"/>
      <c r="R3983" s="12"/>
    </row>
    <row r="3984" spans="1:18" x14ac:dyDescent="0.2">
      <c r="A3984">
        <v>34</v>
      </c>
      <c r="B3984" t="s">
        <v>23</v>
      </c>
      <c r="C3984">
        <v>2017</v>
      </c>
      <c r="D3984">
        <v>3</v>
      </c>
      <c r="E3984" s="4">
        <v>0</v>
      </c>
      <c r="F3984" s="9">
        <v>0</v>
      </c>
      <c r="G3984" s="6">
        <v>1334</v>
      </c>
      <c r="H3984" s="9">
        <f t="shared" si="62"/>
        <v>0</v>
      </c>
      <c r="I3984" s="6">
        <v>17000</v>
      </c>
      <c r="J3984" s="6">
        <f>VLOOKUP(Table1[[#This Row],[Province]],[1]Sheet1!$A$3:$K$37,11,FALSE)</f>
        <v>4418600</v>
      </c>
      <c r="K3984">
        <v>0</v>
      </c>
      <c r="L3984" s="4">
        <v>4.2699280000000002</v>
      </c>
      <c r="M3984" s="4">
        <v>138.080353</v>
      </c>
      <c r="N3984" s="13">
        <v>4.6399999999999997</v>
      </c>
      <c r="P3984"/>
      <c r="Q3984" s="12"/>
      <c r="R3984" s="12"/>
    </row>
    <row r="3985" spans="1:18" x14ac:dyDescent="0.2">
      <c r="A3985">
        <v>34</v>
      </c>
      <c r="B3985" t="s">
        <v>23</v>
      </c>
      <c r="C3985">
        <v>2017</v>
      </c>
      <c r="D3985">
        <v>4</v>
      </c>
      <c r="E3985" s="4">
        <v>0</v>
      </c>
      <c r="F3985" s="9">
        <v>0</v>
      </c>
      <c r="G3985" s="6">
        <v>953</v>
      </c>
      <c r="H3985" s="9">
        <f t="shared" si="62"/>
        <v>0</v>
      </c>
      <c r="I3985" s="6">
        <v>17000</v>
      </c>
      <c r="J3985" s="6">
        <f>VLOOKUP(Table1[[#This Row],[Province]],[1]Sheet1!$A$3:$K$37,11,FALSE)</f>
        <v>4418600</v>
      </c>
      <c r="K3985">
        <v>0</v>
      </c>
      <c r="L3985" s="4">
        <v>4.2699280000000002</v>
      </c>
      <c r="M3985" s="4">
        <v>138.080353</v>
      </c>
      <c r="N3985" s="13">
        <v>4.6399999999999997</v>
      </c>
      <c r="P3985"/>
      <c r="Q3985" s="12"/>
      <c r="R3985" s="12"/>
    </row>
    <row r="3986" spans="1:18" x14ac:dyDescent="0.2">
      <c r="A3986">
        <v>34</v>
      </c>
      <c r="B3986" t="s">
        <v>23</v>
      </c>
      <c r="C3986">
        <v>2017</v>
      </c>
      <c r="D3986">
        <v>5</v>
      </c>
      <c r="E3986" s="4">
        <v>0</v>
      </c>
      <c r="F3986" s="9">
        <v>0</v>
      </c>
      <c r="G3986" s="6">
        <v>918</v>
      </c>
      <c r="H3986" s="9">
        <f t="shared" si="62"/>
        <v>0</v>
      </c>
      <c r="I3986" s="6">
        <v>17000</v>
      </c>
      <c r="J3986" s="6">
        <f>VLOOKUP(Table1[[#This Row],[Province]],[1]Sheet1!$A$3:$K$37,11,FALSE)</f>
        <v>4418600</v>
      </c>
      <c r="K3986">
        <v>1</v>
      </c>
      <c r="L3986" s="4">
        <v>4.2699280000000002</v>
      </c>
      <c r="M3986" s="4">
        <v>138.080353</v>
      </c>
      <c r="N3986" s="13">
        <v>4.6399999999999997</v>
      </c>
      <c r="P3986"/>
      <c r="Q3986" s="12"/>
      <c r="R3986" s="12"/>
    </row>
    <row r="3987" spans="1:18" x14ac:dyDescent="0.2">
      <c r="A3987">
        <v>34</v>
      </c>
      <c r="B3987" t="s">
        <v>23</v>
      </c>
      <c r="C3987">
        <v>2017</v>
      </c>
      <c r="D3987">
        <v>6</v>
      </c>
      <c r="E3987" s="4">
        <v>0</v>
      </c>
      <c r="F3987" s="9">
        <v>0</v>
      </c>
      <c r="G3987" s="6">
        <v>1697</v>
      </c>
      <c r="H3987" s="9">
        <f t="shared" si="62"/>
        <v>0</v>
      </c>
      <c r="I3987" s="6">
        <v>17000</v>
      </c>
      <c r="J3987" s="6">
        <f>VLOOKUP(Table1[[#This Row],[Province]],[1]Sheet1!$A$3:$K$37,11,FALSE)</f>
        <v>4418600</v>
      </c>
      <c r="K3987">
        <v>0</v>
      </c>
      <c r="L3987" s="4">
        <v>4.2699280000000002</v>
      </c>
      <c r="M3987" s="4">
        <v>138.080353</v>
      </c>
      <c r="N3987" s="13">
        <v>4.6399999999999997</v>
      </c>
      <c r="P3987"/>
      <c r="Q3987" s="12"/>
      <c r="R3987" s="12"/>
    </row>
    <row r="3988" spans="1:18" x14ac:dyDescent="0.2">
      <c r="A3988">
        <v>34</v>
      </c>
      <c r="B3988" t="s">
        <v>23</v>
      </c>
      <c r="C3988">
        <v>2017</v>
      </c>
      <c r="D3988">
        <v>7</v>
      </c>
      <c r="E3988" s="4">
        <v>0</v>
      </c>
      <c r="F3988" s="9">
        <v>0</v>
      </c>
      <c r="G3988" s="6">
        <v>1890</v>
      </c>
      <c r="H3988" s="9">
        <f t="shared" si="62"/>
        <v>0</v>
      </c>
      <c r="I3988" s="6">
        <v>17000</v>
      </c>
      <c r="J3988" s="6">
        <f>VLOOKUP(Table1[[#This Row],[Province]],[1]Sheet1!$A$3:$K$37,11,FALSE)</f>
        <v>4418600</v>
      </c>
      <c r="K3988">
        <v>0</v>
      </c>
      <c r="L3988" s="4">
        <v>4.2699280000000002</v>
      </c>
      <c r="M3988" s="4">
        <v>138.080353</v>
      </c>
      <c r="N3988" s="13">
        <v>4.6399999999999997</v>
      </c>
      <c r="P3988"/>
      <c r="Q3988" s="12"/>
      <c r="R3988" s="12"/>
    </row>
    <row r="3989" spans="1:18" x14ac:dyDescent="0.2">
      <c r="A3989">
        <v>34</v>
      </c>
      <c r="B3989" t="s">
        <v>23</v>
      </c>
      <c r="C3989">
        <v>2017</v>
      </c>
      <c r="D3989">
        <v>8</v>
      </c>
      <c r="E3989" s="4">
        <v>0</v>
      </c>
      <c r="F3989" s="9">
        <v>0</v>
      </c>
      <c r="G3989" s="6">
        <v>3622</v>
      </c>
      <c r="H3989" s="9">
        <f t="shared" si="62"/>
        <v>0</v>
      </c>
      <c r="I3989" s="6">
        <v>16045</v>
      </c>
      <c r="J3989" s="6">
        <f>VLOOKUP(Table1[[#This Row],[Province]],[1]Sheet1!$A$3:$K$37,11,FALSE)</f>
        <v>4418600</v>
      </c>
      <c r="K3989">
        <v>0</v>
      </c>
      <c r="L3989" s="4">
        <v>4.2699280000000002</v>
      </c>
      <c r="M3989" s="4">
        <v>138.080353</v>
      </c>
      <c r="N3989" s="13">
        <v>4.6399999999999997</v>
      </c>
      <c r="P3989"/>
      <c r="Q3989" s="12"/>
      <c r="R3989" s="12"/>
    </row>
    <row r="3990" spans="1:18" x14ac:dyDescent="0.2">
      <c r="A3990">
        <v>34</v>
      </c>
      <c r="B3990" t="s">
        <v>23</v>
      </c>
      <c r="C3990">
        <v>2017</v>
      </c>
      <c r="D3990">
        <v>9</v>
      </c>
      <c r="E3990" s="4">
        <v>0</v>
      </c>
      <c r="F3990" s="9">
        <v>0</v>
      </c>
      <c r="G3990" s="6">
        <v>3510</v>
      </c>
      <c r="H3990" s="9">
        <f t="shared" si="62"/>
        <v>0</v>
      </c>
      <c r="I3990" s="6">
        <v>16000</v>
      </c>
      <c r="J3990" s="6">
        <f>VLOOKUP(Table1[[#This Row],[Province]],[1]Sheet1!$A$3:$K$37,11,FALSE)</f>
        <v>4418600</v>
      </c>
      <c r="K3990">
        <v>0</v>
      </c>
      <c r="L3990" s="4">
        <v>4.2699280000000002</v>
      </c>
      <c r="M3990" s="4">
        <v>138.080353</v>
      </c>
      <c r="N3990" s="13">
        <v>4.6399999999999997</v>
      </c>
      <c r="P3990"/>
      <c r="Q3990" s="12"/>
      <c r="R3990" s="12"/>
    </row>
    <row r="3991" spans="1:18" x14ac:dyDescent="0.2">
      <c r="A3991">
        <v>34</v>
      </c>
      <c r="B3991" t="s">
        <v>23</v>
      </c>
      <c r="C3991">
        <v>2017</v>
      </c>
      <c r="D3991">
        <v>10</v>
      </c>
      <c r="E3991" s="4">
        <v>0</v>
      </c>
      <c r="F3991" s="9">
        <v>0</v>
      </c>
      <c r="G3991" s="6">
        <v>4556</v>
      </c>
      <c r="H3991" s="9">
        <f t="shared" si="62"/>
        <v>0</v>
      </c>
      <c r="I3991" s="6">
        <v>15955</v>
      </c>
      <c r="J3991" s="6">
        <f>VLOOKUP(Table1[[#This Row],[Province]],[1]Sheet1!$A$3:$K$37,11,FALSE)</f>
        <v>4418600</v>
      </c>
      <c r="K3991">
        <v>0</v>
      </c>
      <c r="L3991" s="4">
        <v>4.2699280000000002</v>
      </c>
      <c r="M3991" s="4">
        <v>138.080353</v>
      </c>
      <c r="N3991" s="13">
        <v>4.6399999999999997</v>
      </c>
      <c r="P3991"/>
      <c r="Q3991" s="12"/>
      <c r="R3991" s="12"/>
    </row>
    <row r="3992" spans="1:18" x14ac:dyDescent="0.2">
      <c r="A3992">
        <v>34</v>
      </c>
      <c r="B3992" t="s">
        <v>23</v>
      </c>
      <c r="C3992">
        <v>2017</v>
      </c>
      <c r="D3992">
        <v>11</v>
      </c>
      <c r="E3992" s="4">
        <v>0</v>
      </c>
      <c r="F3992" s="9">
        <v>0</v>
      </c>
      <c r="G3992" s="6">
        <v>1191</v>
      </c>
      <c r="H3992" s="9">
        <f t="shared" si="62"/>
        <v>0</v>
      </c>
      <c r="I3992" s="6">
        <v>14773</v>
      </c>
      <c r="J3992" s="6">
        <f>VLOOKUP(Table1[[#This Row],[Province]],[1]Sheet1!$A$3:$K$37,11,FALSE)</f>
        <v>4418600</v>
      </c>
      <c r="K3992">
        <v>0</v>
      </c>
      <c r="L3992" s="4">
        <v>4.2699280000000002</v>
      </c>
      <c r="M3992" s="4">
        <v>138.080353</v>
      </c>
      <c r="N3992" s="13">
        <v>4.6399999999999997</v>
      </c>
      <c r="P3992"/>
      <c r="Q3992" s="12"/>
      <c r="R3992" s="12"/>
    </row>
    <row r="3993" spans="1:18" x14ac:dyDescent="0.2">
      <c r="A3993">
        <v>34</v>
      </c>
      <c r="B3993" t="s">
        <v>23</v>
      </c>
      <c r="C3993">
        <v>2017</v>
      </c>
      <c r="D3993">
        <v>12</v>
      </c>
      <c r="E3993" s="4">
        <v>0</v>
      </c>
      <c r="F3993" s="9">
        <v>0</v>
      </c>
      <c r="G3993" s="6">
        <v>2218</v>
      </c>
      <c r="H3993" s="9">
        <f t="shared" si="62"/>
        <v>0</v>
      </c>
      <c r="I3993" s="6">
        <v>14500</v>
      </c>
      <c r="J3993" s="6">
        <f>VLOOKUP(Table1[[#This Row],[Province]],[1]Sheet1!$A$3:$K$37,11,FALSE)</f>
        <v>4418600</v>
      </c>
      <c r="K3993">
        <v>1</v>
      </c>
      <c r="L3993" s="4">
        <v>4.2699280000000002</v>
      </c>
      <c r="M3993" s="4">
        <v>138.080353</v>
      </c>
      <c r="N3993" s="13">
        <v>4.6399999999999997</v>
      </c>
      <c r="P3993"/>
      <c r="Q3993" s="12"/>
      <c r="R3993" s="12"/>
    </row>
    <row r="3994" spans="1:18" x14ac:dyDescent="0.2">
      <c r="A3994">
        <v>34</v>
      </c>
      <c r="B3994" t="s">
        <v>23</v>
      </c>
      <c r="C3994">
        <v>2018</v>
      </c>
      <c r="D3994">
        <v>1</v>
      </c>
      <c r="E3994" s="4">
        <v>0</v>
      </c>
      <c r="F3994" s="9">
        <v>0</v>
      </c>
      <c r="G3994" s="6">
        <v>410</v>
      </c>
      <c r="H3994" s="9">
        <f t="shared" si="62"/>
        <v>0</v>
      </c>
      <c r="I3994" s="6">
        <v>12341</v>
      </c>
      <c r="J3994" s="6">
        <f>VLOOKUP(Table1[[#This Row],[Province]],[1]Sheet1!$A$3:$K$37,11,FALSE)</f>
        <v>4418600</v>
      </c>
      <c r="K3994">
        <v>0</v>
      </c>
      <c r="L3994" s="4">
        <v>4.2699280000000002</v>
      </c>
      <c r="M3994" s="4">
        <v>138.080353</v>
      </c>
      <c r="N3994" s="13">
        <v>7.32</v>
      </c>
      <c r="P3994"/>
      <c r="Q3994" s="12"/>
      <c r="R3994" s="12"/>
    </row>
    <row r="3995" spans="1:18" x14ac:dyDescent="0.2">
      <c r="A3995">
        <v>34</v>
      </c>
      <c r="B3995" t="s">
        <v>23</v>
      </c>
      <c r="C3995">
        <v>2018</v>
      </c>
      <c r="D3995">
        <v>2</v>
      </c>
      <c r="E3995" s="4">
        <v>0</v>
      </c>
      <c r="F3995" s="9">
        <v>0</v>
      </c>
      <c r="G3995" s="6">
        <v>818</v>
      </c>
      <c r="H3995" s="9">
        <f t="shared" si="62"/>
        <v>0</v>
      </c>
      <c r="I3995" s="6">
        <v>12039</v>
      </c>
      <c r="J3995" s="6">
        <f>VLOOKUP(Table1[[#This Row],[Province]],[1]Sheet1!$A$3:$K$37,11,FALSE)</f>
        <v>4418600</v>
      </c>
      <c r="K3995">
        <v>0</v>
      </c>
      <c r="L3995" s="4">
        <v>4.2699280000000002</v>
      </c>
      <c r="M3995" s="4">
        <v>138.080353</v>
      </c>
      <c r="N3995" s="13">
        <v>7.32</v>
      </c>
      <c r="P3995"/>
      <c r="Q3995" s="12"/>
      <c r="R3995" s="12"/>
    </row>
    <row r="3996" spans="1:18" x14ac:dyDescent="0.2">
      <c r="A3996">
        <v>34</v>
      </c>
      <c r="B3996" t="s">
        <v>23</v>
      </c>
      <c r="C3996">
        <v>2018</v>
      </c>
      <c r="D3996">
        <v>3</v>
      </c>
      <c r="E3996" s="4">
        <v>0</v>
      </c>
      <c r="F3996" s="9">
        <v>0</v>
      </c>
      <c r="G3996" s="6">
        <v>2530</v>
      </c>
      <c r="H3996" s="9">
        <f t="shared" si="62"/>
        <v>0</v>
      </c>
      <c r="I3996" s="6">
        <v>12000</v>
      </c>
      <c r="J3996" s="6">
        <f>VLOOKUP(Table1[[#This Row],[Province]],[1]Sheet1!$A$3:$K$37,11,FALSE)</f>
        <v>4418600</v>
      </c>
      <c r="K3996">
        <v>0</v>
      </c>
      <c r="L3996" s="4">
        <v>4.2699280000000002</v>
      </c>
      <c r="M3996" s="4">
        <v>138.080353</v>
      </c>
      <c r="N3996" s="13">
        <v>7.32</v>
      </c>
      <c r="P3996"/>
      <c r="Q3996" s="12"/>
      <c r="R3996" s="12"/>
    </row>
    <row r="3997" spans="1:18" x14ac:dyDescent="0.2">
      <c r="A3997">
        <v>34</v>
      </c>
      <c r="B3997" t="s">
        <v>23</v>
      </c>
      <c r="C3997">
        <v>2018</v>
      </c>
      <c r="D3997">
        <v>4</v>
      </c>
      <c r="E3997" s="4">
        <v>0</v>
      </c>
      <c r="F3997" s="9">
        <v>0</v>
      </c>
      <c r="G3997" s="6">
        <v>1328</v>
      </c>
      <c r="H3997" s="9">
        <f t="shared" si="62"/>
        <v>0</v>
      </c>
      <c r="I3997" s="6">
        <v>12000</v>
      </c>
      <c r="J3997" s="6">
        <f>VLOOKUP(Table1[[#This Row],[Province]],[1]Sheet1!$A$3:$K$37,11,FALSE)</f>
        <v>4418600</v>
      </c>
      <c r="K3997">
        <v>0</v>
      </c>
      <c r="L3997" s="4">
        <v>4.2699280000000002</v>
      </c>
      <c r="M3997" s="4">
        <v>138.080353</v>
      </c>
      <c r="N3997" s="13">
        <v>7.32</v>
      </c>
      <c r="P3997"/>
      <c r="Q3997" s="12"/>
      <c r="R3997" s="12"/>
    </row>
    <row r="3998" spans="1:18" x14ac:dyDescent="0.2">
      <c r="A3998">
        <v>34</v>
      </c>
      <c r="B3998" t="s">
        <v>23</v>
      </c>
      <c r="C3998">
        <v>2018</v>
      </c>
      <c r="D3998">
        <v>5</v>
      </c>
      <c r="E3998" s="4">
        <v>0</v>
      </c>
      <c r="F3998" s="9">
        <v>0</v>
      </c>
      <c r="G3998" s="6">
        <v>4412</v>
      </c>
      <c r="H3998" s="9">
        <f t="shared" si="62"/>
        <v>0</v>
      </c>
      <c r="I3998" s="6">
        <v>14000</v>
      </c>
      <c r="J3998" s="6">
        <f>VLOOKUP(Table1[[#This Row],[Province]],[1]Sheet1!$A$3:$K$37,11,FALSE)</f>
        <v>4418600</v>
      </c>
      <c r="K3998">
        <v>1</v>
      </c>
      <c r="L3998" s="4">
        <v>4.2699280000000002</v>
      </c>
      <c r="M3998" s="4">
        <v>138.080353</v>
      </c>
      <c r="N3998" s="13">
        <v>7.32</v>
      </c>
      <c r="P3998"/>
      <c r="Q3998" s="12"/>
      <c r="R3998" s="12"/>
    </row>
    <row r="3999" spans="1:18" x14ac:dyDescent="0.2">
      <c r="A3999">
        <v>34</v>
      </c>
      <c r="B3999" t="s">
        <v>23</v>
      </c>
      <c r="C3999">
        <v>2018</v>
      </c>
      <c r="D3999">
        <v>6</v>
      </c>
      <c r="E3999" s="4">
        <v>0</v>
      </c>
      <c r="F3999" s="9">
        <v>0</v>
      </c>
      <c r="G3999" s="6">
        <v>2454</v>
      </c>
      <c r="H3999" s="9">
        <f t="shared" si="62"/>
        <v>0</v>
      </c>
      <c r="I3999" s="6">
        <v>14000</v>
      </c>
      <c r="J3999" s="6">
        <f>VLOOKUP(Table1[[#This Row],[Province]],[1]Sheet1!$A$3:$K$37,11,FALSE)</f>
        <v>4418600</v>
      </c>
      <c r="K3999">
        <v>0</v>
      </c>
      <c r="L3999" s="4">
        <v>4.2699280000000002</v>
      </c>
      <c r="M3999" s="4">
        <v>138.080353</v>
      </c>
      <c r="N3999" s="13">
        <v>7.32</v>
      </c>
      <c r="P3999"/>
      <c r="Q3999" s="12"/>
      <c r="R3999" s="12"/>
    </row>
    <row r="4000" spans="1:18" x14ac:dyDescent="0.2">
      <c r="A4000">
        <v>34</v>
      </c>
      <c r="B4000" t="s">
        <v>23</v>
      </c>
      <c r="C4000">
        <v>2018</v>
      </c>
      <c r="D4000">
        <v>7</v>
      </c>
      <c r="E4000" s="4">
        <v>0</v>
      </c>
      <c r="F4000" s="9">
        <v>0</v>
      </c>
      <c r="G4000" s="6">
        <v>3396</v>
      </c>
      <c r="H4000" s="9">
        <f t="shared" si="62"/>
        <v>0</v>
      </c>
      <c r="I4000" s="6">
        <v>14000</v>
      </c>
      <c r="J4000" s="6">
        <f>VLOOKUP(Table1[[#This Row],[Province]],[1]Sheet1!$A$3:$K$37,11,FALSE)</f>
        <v>4418600</v>
      </c>
      <c r="K4000">
        <v>0</v>
      </c>
      <c r="L4000" s="4">
        <v>4.2699280000000002</v>
      </c>
      <c r="M4000" s="4">
        <v>138.080353</v>
      </c>
      <c r="N4000" s="13">
        <v>7.32</v>
      </c>
      <c r="P4000"/>
      <c r="Q4000" s="12"/>
      <c r="R4000" s="12"/>
    </row>
    <row r="4001" spans="1:18" x14ac:dyDescent="0.2">
      <c r="A4001">
        <v>34</v>
      </c>
      <c r="B4001" t="s">
        <v>23</v>
      </c>
      <c r="C4001">
        <v>2018</v>
      </c>
      <c r="D4001">
        <v>8</v>
      </c>
      <c r="E4001" s="4">
        <v>0</v>
      </c>
      <c r="F4001" s="9">
        <v>0</v>
      </c>
      <c r="G4001" s="6">
        <v>4411</v>
      </c>
      <c r="H4001" s="9">
        <f t="shared" si="62"/>
        <v>0</v>
      </c>
      <c r="I4001" s="6">
        <v>13957</v>
      </c>
      <c r="J4001" s="6">
        <f>VLOOKUP(Table1[[#This Row],[Province]],[1]Sheet1!$A$3:$K$37,11,FALSE)</f>
        <v>4418600</v>
      </c>
      <c r="K4001">
        <v>0</v>
      </c>
      <c r="L4001" s="4">
        <v>4.2699280000000002</v>
      </c>
      <c r="M4001" s="4">
        <v>138.080353</v>
      </c>
      <c r="N4001" s="13">
        <v>7.32</v>
      </c>
      <c r="P4001"/>
      <c r="Q4001" s="12"/>
      <c r="R4001" s="12"/>
    </row>
    <row r="4002" spans="1:18" x14ac:dyDescent="0.2">
      <c r="A4002">
        <v>34</v>
      </c>
      <c r="B4002" t="s">
        <v>23</v>
      </c>
      <c r="C4002">
        <v>2018</v>
      </c>
      <c r="D4002">
        <v>9</v>
      </c>
      <c r="E4002" s="4">
        <v>0</v>
      </c>
      <c r="F4002" s="9">
        <v>0</v>
      </c>
      <c r="G4002" s="6">
        <v>3621</v>
      </c>
      <c r="H4002" s="9">
        <f t="shared" si="62"/>
        <v>0</v>
      </c>
      <c r="I4002" s="6">
        <v>14000</v>
      </c>
      <c r="J4002" s="6">
        <f>VLOOKUP(Table1[[#This Row],[Province]],[1]Sheet1!$A$3:$K$37,11,FALSE)</f>
        <v>4418600</v>
      </c>
      <c r="K4002">
        <v>0</v>
      </c>
      <c r="L4002" s="4">
        <v>4.2699280000000002</v>
      </c>
      <c r="M4002" s="4">
        <v>138.080353</v>
      </c>
      <c r="N4002" s="13">
        <v>7.32</v>
      </c>
      <c r="P4002"/>
      <c r="Q4002" s="12"/>
      <c r="R4002" s="12"/>
    </row>
    <row r="4003" spans="1:18" x14ac:dyDescent="0.2">
      <c r="A4003">
        <v>34</v>
      </c>
      <c r="B4003" t="s">
        <v>23</v>
      </c>
      <c r="C4003">
        <v>2018</v>
      </c>
      <c r="D4003">
        <v>10</v>
      </c>
      <c r="E4003" s="4">
        <v>0</v>
      </c>
      <c r="F4003" s="9">
        <v>0</v>
      </c>
      <c r="G4003" s="6">
        <v>3994</v>
      </c>
      <c r="H4003" s="9">
        <f t="shared" si="62"/>
        <v>0</v>
      </c>
      <c r="I4003" s="6">
        <v>14000</v>
      </c>
      <c r="J4003" s="6">
        <f>VLOOKUP(Table1[[#This Row],[Province]],[1]Sheet1!$A$3:$K$37,11,FALSE)</f>
        <v>4418600</v>
      </c>
      <c r="K4003">
        <v>0</v>
      </c>
      <c r="L4003" s="4">
        <v>4.2699280000000002</v>
      </c>
      <c r="M4003" s="4">
        <v>138.080353</v>
      </c>
      <c r="N4003" s="13">
        <v>7.32</v>
      </c>
      <c r="P4003"/>
      <c r="Q4003" s="12"/>
      <c r="R4003" s="12"/>
    </row>
    <row r="4004" spans="1:18" x14ac:dyDescent="0.2">
      <c r="A4004">
        <v>34</v>
      </c>
      <c r="B4004" t="s">
        <v>23</v>
      </c>
      <c r="C4004">
        <v>2018</v>
      </c>
      <c r="D4004">
        <v>11</v>
      </c>
      <c r="E4004" s="4">
        <v>0</v>
      </c>
      <c r="F4004" s="9">
        <v>0</v>
      </c>
      <c r="G4004" s="6">
        <v>3723</v>
      </c>
      <c r="H4004" s="9">
        <f t="shared" si="62"/>
        <v>0</v>
      </c>
      <c r="I4004" s="6">
        <v>14000</v>
      </c>
      <c r="J4004" s="6">
        <f>VLOOKUP(Table1[[#This Row],[Province]],[1]Sheet1!$A$3:$K$37,11,FALSE)</f>
        <v>4418600</v>
      </c>
      <c r="K4004">
        <v>0</v>
      </c>
      <c r="L4004" s="4">
        <v>4.2699280000000002</v>
      </c>
      <c r="M4004" s="4">
        <v>138.080353</v>
      </c>
      <c r="N4004" s="13">
        <v>7.32</v>
      </c>
      <c r="P4004"/>
      <c r="Q4004" s="12"/>
      <c r="R4004" s="12"/>
    </row>
    <row r="4005" spans="1:18" x14ac:dyDescent="0.2">
      <c r="A4005">
        <v>34</v>
      </c>
      <c r="B4005" t="s">
        <v>23</v>
      </c>
      <c r="C4005">
        <v>2018</v>
      </c>
      <c r="D4005">
        <v>12</v>
      </c>
      <c r="E4005" s="4">
        <v>0</v>
      </c>
      <c r="F4005" s="9">
        <v>0</v>
      </c>
      <c r="G4005" s="6">
        <v>4119</v>
      </c>
      <c r="H4005" s="9">
        <f t="shared" si="62"/>
        <v>0</v>
      </c>
      <c r="I4005" s="6">
        <v>14000</v>
      </c>
      <c r="J4005" s="6">
        <f>VLOOKUP(Table1[[#This Row],[Province]],[1]Sheet1!$A$3:$K$37,11,FALSE)</f>
        <v>4418600</v>
      </c>
      <c r="K4005">
        <v>1</v>
      </c>
      <c r="L4005" s="4">
        <v>4.2699280000000002</v>
      </c>
      <c r="M4005" s="4">
        <v>138.080353</v>
      </c>
      <c r="N4005" s="13">
        <v>7.32</v>
      </c>
      <c r="P4005"/>
      <c r="Q4005" s="12"/>
      <c r="R4005" s="12"/>
    </row>
    <row r="4006" spans="1:18" x14ac:dyDescent="0.2">
      <c r="A4006">
        <v>34</v>
      </c>
      <c r="B4006" t="s">
        <v>23</v>
      </c>
      <c r="C4006">
        <v>2019</v>
      </c>
      <c r="D4006">
        <v>1</v>
      </c>
      <c r="E4006" s="4">
        <v>0</v>
      </c>
      <c r="F4006" s="9">
        <v>0</v>
      </c>
      <c r="G4006" s="6">
        <v>2705</v>
      </c>
      <c r="H4006" s="9">
        <f t="shared" si="62"/>
        <v>0</v>
      </c>
      <c r="I4006" s="6">
        <v>12662</v>
      </c>
      <c r="J4006" s="6">
        <f>VLOOKUP(Table1[[#This Row],[Province]],[1]Sheet1!$A$3:$K$37,11,FALSE)</f>
        <v>4418600</v>
      </c>
      <c r="K4006">
        <v>0</v>
      </c>
      <c r="L4006" s="4">
        <v>4.2699280000000002</v>
      </c>
      <c r="M4006" s="4">
        <v>138.080353</v>
      </c>
      <c r="N4006" s="13">
        <v>-15.74</v>
      </c>
      <c r="P4006"/>
      <c r="Q4006" s="12"/>
      <c r="R4006" s="12"/>
    </row>
    <row r="4007" spans="1:18" x14ac:dyDescent="0.2">
      <c r="A4007">
        <v>34</v>
      </c>
      <c r="B4007" t="s">
        <v>23</v>
      </c>
      <c r="C4007">
        <v>2019</v>
      </c>
      <c r="D4007">
        <v>2</v>
      </c>
      <c r="E4007" s="4">
        <v>0</v>
      </c>
      <c r="F4007" s="9">
        <v>0</v>
      </c>
      <c r="G4007" s="6">
        <v>3761</v>
      </c>
      <c r="H4007" s="9">
        <f t="shared" si="62"/>
        <v>0</v>
      </c>
      <c r="I4007" s="6">
        <v>12891</v>
      </c>
      <c r="J4007" s="6">
        <f>VLOOKUP(Table1[[#This Row],[Province]],[1]Sheet1!$A$3:$K$37,11,FALSE)</f>
        <v>4418600</v>
      </c>
      <c r="K4007">
        <v>0</v>
      </c>
      <c r="L4007" s="4">
        <v>4.2699280000000002</v>
      </c>
      <c r="M4007" s="4">
        <v>138.080353</v>
      </c>
      <c r="N4007" s="13">
        <v>-15.74</v>
      </c>
      <c r="P4007"/>
      <c r="Q4007" s="12"/>
      <c r="R4007" s="12"/>
    </row>
    <row r="4008" spans="1:18" x14ac:dyDescent="0.2">
      <c r="A4008">
        <v>34</v>
      </c>
      <c r="B4008" t="s">
        <v>23</v>
      </c>
      <c r="C4008">
        <v>2019</v>
      </c>
      <c r="D4008">
        <v>3</v>
      </c>
      <c r="E4008" s="4">
        <v>0</v>
      </c>
      <c r="F4008" s="9">
        <v>0</v>
      </c>
      <c r="G4008" s="6">
        <v>3022</v>
      </c>
      <c r="H4008" s="9">
        <f t="shared" si="62"/>
        <v>0</v>
      </c>
      <c r="I4008" s="6">
        <v>12989</v>
      </c>
      <c r="J4008" s="6">
        <f>VLOOKUP(Table1[[#This Row],[Province]],[1]Sheet1!$A$3:$K$37,11,FALSE)</f>
        <v>4418600</v>
      </c>
      <c r="K4008">
        <v>0</v>
      </c>
      <c r="L4008" s="4">
        <v>4.2699280000000002</v>
      </c>
      <c r="M4008" s="4">
        <v>138.080353</v>
      </c>
      <c r="N4008" s="13">
        <v>-15.74</v>
      </c>
      <c r="P4008"/>
      <c r="Q4008" s="12"/>
      <c r="R4008" s="12"/>
    </row>
    <row r="4009" spans="1:18" x14ac:dyDescent="0.2">
      <c r="A4009">
        <v>34</v>
      </c>
      <c r="B4009" t="s">
        <v>23</v>
      </c>
      <c r="C4009">
        <v>2019</v>
      </c>
      <c r="D4009">
        <v>4</v>
      </c>
      <c r="E4009" s="4">
        <v>0</v>
      </c>
      <c r="F4009" s="9">
        <v>0</v>
      </c>
      <c r="G4009" s="6">
        <v>3547</v>
      </c>
      <c r="H4009" s="9">
        <f t="shared" si="62"/>
        <v>0</v>
      </c>
      <c r="I4009" s="6">
        <v>12615</v>
      </c>
      <c r="J4009" s="6">
        <f>VLOOKUP(Table1[[#This Row],[Province]],[1]Sheet1!$A$3:$K$37,11,FALSE)</f>
        <v>4418600</v>
      </c>
      <c r="K4009">
        <v>0</v>
      </c>
      <c r="L4009" s="4">
        <v>4.2699280000000002</v>
      </c>
      <c r="M4009" s="4">
        <v>138.080353</v>
      </c>
      <c r="N4009" s="13">
        <v>-15.74</v>
      </c>
      <c r="P4009"/>
      <c r="Q4009" s="12"/>
      <c r="R4009" s="12"/>
    </row>
    <row r="4010" spans="1:18" x14ac:dyDescent="0.2">
      <c r="A4010">
        <v>34</v>
      </c>
      <c r="B4010" t="s">
        <v>23</v>
      </c>
      <c r="C4010">
        <v>2019</v>
      </c>
      <c r="D4010">
        <v>5</v>
      </c>
      <c r="E4010" s="4">
        <v>0</v>
      </c>
      <c r="F4010" s="9">
        <v>0</v>
      </c>
      <c r="G4010" s="6">
        <v>2887</v>
      </c>
      <c r="H4010" s="9">
        <f t="shared" si="62"/>
        <v>0</v>
      </c>
      <c r="I4010" s="6">
        <v>13064</v>
      </c>
      <c r="J4010" s="6">
        <f>VLOOKUP(Table1[[#This Row],[Province]],[1]Sheet1!$A$3:$K$37,11,FALSE)</f>
        <v>4418600</v>
      </c>
      <c r="K4010">
        <v>1</v>
      </c>
      <c r="L4010" s="4">
        <v>4.2699280000000002</v>
      </c>
      <c r="M4010" s="4">
        <v>138.080353</v>
      </c>
      <c r="N4010" s="13">
        <v>-15.74</v>
      </c>
      <c r="P4010"/>
      <c r="Q4010" s="12"/>
      <c r="R4010" s="12"/>
    </row>
    <row r="4011" spans="1:18" x14ac:dyDescent="0.2">
      <c r="A4011">
        <v>34</v>
      </c>
      <c r="B4011" t="s">
        <v>23</v>
      </c>
      <c r="C4011">
        <v>2019</v>
      </c>
      <c r="D4011">
        <v>6</v>
      </c>
      <c r="E4011" s="4">
        <v>0</v>
      </c>
      <c r="F4011" s="9">
        <v>0</v>
      </c>
      <c r="G4011" s="6">
        <v>2947</v>
      </c>
      <c r="H4011" s="9">
        <f t="shared" si="62"/>
        <v>0</v>
      </c>
      <c r="I4011" s="6">
        <v>14128</v>
      </c>
      <c r="J4011" s="6">
        <f>VLOOKUP(Table1[[#This Row],[Province]],[1]Sheet1!$A$3:$K$37,11,FALSE)</f>
        <v>4418600</v>
      </c>
      <c r="K4011">
        <v>0</v>
      </c>
      <c r="L4011" s="4">
        <v>4.2699280000000002</v>
      </c>
      <c r="M4011" s="4">
        <v>138.080353</v>
      </c>
      <c r="N4011" s="13">
        <v>-15.74</v>
      </c>
      <c r="P4011"/>
      <c r="Q4011" s="12"/>
      <c r="R4011" s="12"/>
    </row>
    <row r="4012" spans="1:18" x14ac:dyDescent="0.2">
      <c r="A4012">
        <v>34</v>
      </c>
      <c r="B4012" t="s">
        <v>23</v>
      </c>
      <c r="C4012">
        <v>2019</v>
      </c>
      <c r="D4012">
        <v>7</v>
      </c>
      <c r="E4012" s="4">
        <v>0</v>
      </c>
      <c r="F4012" s="9">
        <v>0</v>
      </c>
      <c r="G4012" s="6">
        <v>3410</v>
      </c>
      <c r="H4012" s="9">
        <f t="shared" si="62"/>
        <v>0</v>
      </c>
      <c r="I4012" s="6">
        <v>13700</v>
      </c>
      <c r="J4012" s="6">
        <f>VLOOKUP(Table1[[#This Row],[Province]],[1]Sheet1!$A$3:$K$37,11,FALSE)</f>
        <v>4418600</v>
      </c>
      <c r="K4012">
        <v>0</v>
      </c>
      <c r="L4012" s="4">
        <v>4.2699280000000002</v>
      </c>
      <c r="M4012" s="4">
        <v>138.080353</v>
      </c>
      <c r="N4012" s="13">
        <v>-15.74</v>
      </c>
      <c r="P4012"/>
      <c r="Q4012" s="12"/>
      <c r="R4012" s="12"/>
    </row>
    <row r="4013" spans="1:18" x14ac:dyDescent="0.2">
      <c r="A4013">
        <v>34</v>
      </c>
      <c r="B4013" t="s">
        <v>23</v>
      </c>
      <c r="C4013">
        <v>2019</v>
      </c>
      <c r="D4013">
        <v>8</v>
      </c>
      <c r="E4013" s="4">
        <v>0</v>
      </c>
      <c r="F4013" s="9">
        <v>0</v>
      </c>
      <c r="G4013" s="6">
        <v>3236</v>
      </c>
      <c r="H4013" s="9">
        <f t="shared" si="62"/>
        <v>0</v>
      </c>
      <c r="I4013" s="6">
        <v>13239</v>
      </c>
      <c r="J4013" s="6">
        <f>VLOOKUP(Table1[[#This Row],[Province]],[1]Sheet1!$A$3:$K$37,11,FALSE)</f>
        <v>4418600</v>
      </c>
      <c r="K4013">
        <v>0</v>
      </c>
      <c r="L4013" s="4">
        <v>4.2699280000000002</v>
      </c>
      <c r="M4013" s="4">
        <v>138.080353</v>
      </c>
      <c r="N4013" s="13">
        <v>-15.74</v>
      </c>
      <c r="P4013"/>
      <c r="Q4013" s="12"/>
      <c r="R4013" s="12"/>
    </row>
    <row r="4014" spans="1:18" x14ac:dyDescent="0.2">
      <c r="A4014">
        <v>34</v>
      </c>
      <c r="B4014" t="s">
        <v>23</v>
      </c>
      <c r="C4014">
        <v>2019</v>
      </c>
      <c r="D4014">
        <v>9</v>
      </c>
      <c r="E4014" s="4">
        <v>0</v>
      </c>
      <c r="F4014" s="9">
        <v>0</v>
      </c>
      <c r="G4014" s="6">
        <v>5118</v>
      </c>
      <c r="H4014" s="9">
        <f t="shared" si="62"/>
        <v>0</v>
      </c>
      <c r="I4014" s="6">
        <v>13429</v>
      </c>
      <c r="J4014" s="6">
        <f>VLOOKUP(Table1[[#This Row],[Province]],[1]Sheet1!$A$3:$K$37,11,FALSE)</f>
        <v>4418600</v>
      </c>
      <c r="K4014">
        <v>0</v>
      </c>
      <c r="L4014" s="4">
        <v>4.2699280000000002</v>
      </c>
      <c r="M4014" s="4">
        <v>138.080353</v>
      </c>
      <c r="N4014" s="13">
        <v>-15.74</v>
      </c>
      <c r="P4014"/>
      <c r="Q4014" s="12"/>
      <c r="R4014" s="12"/>
    </row>
    <row r="4015" spans="1:18" x14ac:dyDescent="0.2">
      <c r="A4015">
        <v>34</v>
      </c>
      <c r="B4015" t="s">
        <v>23</v>
      </c>
      <c r="C4015">
        <v>2019</v>
      </c>
      <c r="D4015">
        <v>10</v>
      </c>
      <c r="E4015" s="4">
        <v>0</v>
      </c>
      <c r="F4015" s="9">
        <v>0</v>
      </c>
      <c r="G4015" s="6">
        <v>2070</v>
      </c>
      <c r="H4015" s="9">
        <f t="shared" si="62"/>
        <v>0</v>
      </c>
      <c r="I4015" s="6">
        <v>13827</v>
      </c>
      <c r="J4015" s="6">
        <f>VLOOKUP(Table1[[#This Row],[Province]],[1]Sheet1!$A$3:$K$37,11,FALSE)</f>
        <v>4418600</v>
      </c>
      <c r="K4015">
        <v>0</v>
      </c>
      <c r="L4015" s="4">
        <v>4.2699280000000002</v>
      </c>
      <c r="M4015" s="4">
        <v>138.080353</v>
      </c>
      <c r="N4015" s="13">
        <v>-15.74</v>
      </c>
      <c r="P4015"/>
      <c r="Q4015" s="12"/>
      <c r="R4015" s="12"/>
    </row>
    <row r="4016" spans="1:18" x14ac:dyDescent="0.2">
      <c r="A4016">
        <v>34</v>
      </c>
      <c r="B4016" t="s">
        <v>23</v>
      </c>
      <c r="C4016">
        <v>2019</v>
      </c>
      <c r="D4016">
        <v>11</v>
      </c>
      <c r="E4016" s="4">
        <v>0</v>
      </c>
      <c r="F4016" s="9">
        <v>0</v>
      </c>
      <c r="G4016" s="6">
        <v>3100</v>
      </c>
      <c r="H4016" s="9">
        <f t="shared" si="62"/>
        <v>0</v>
      </c>
      <c r="I4016" s="6">
        <v>14198</v>
      </c>
      <c r="J4016" s="6">
        <f>VLOOKUP(Table1[[#This Row],[Province]],[1]Sheet1!$A$3:$K$37,11,FALSE)</f>
        <v>4418600</v>
      </c>
      <c r="K4016">
        <v>0</v>
      </c>
      <c r="L4016" s="4">
        <v>4.2699280000000002</v>
      </c>
      <c r="M4016" s="4">
        <v>138.080353</v>
      </c>
      <c r="N4016" s="13">
        <v>-15.74</v>
      </c>
      <c r="P4016"/>
      <c r="Q4016" s="12"/>
      <c r="R4016" s="12"/>
    </row>
    <row r="4017" spans="1:18" x14ac:dyDescent="0.2">
      <c r="A4017">
        <v>34</v>
      </c>
      <c r="B4017" t="s">
        <v>23</v>
      </c>
      <c r="C4017">
        <v>2019</v>
      </c>
      <c r="D4017">
        <v>12</v>
      </c>
      <c r="E4017" s="4">
        <v>0</v>
      </c>
      <c r="F4017" s="9">
        <v>0</v>
      </c>
      <c r="G4017" s="6">
        <v>3610</v>
      </c>
      <c r="H4017" s="9">
        <f t="shared" si="62"/>
        <v>0</v>
      </c>
      <c r="I4017" s="6">
        <v>14542</v>
      </c>
      <c r="J4017" s="6">
        <f>VLOOKUP(Table1[[#This Row],[Province]],[1]Sheet1!$A$3:$K$37,11,FALSE)</f>
        <v>4418600</v>
      </c>
      <c r="K4017">
        <v>1</v>
      </c>
      <c r="L4017" s="4">
        <v>4.2699280000000002</v>
      </c>
      <c r="M4017" s="4">
        <v>138.080353</v>
      </c>
      <c r="N4017" s="13">
        <v>-15.74</v>
      </c>
      <c r="P4017"/>
      <c r="Q4017" s="12"/>
      <c r="R4017" s="12"/>
    </row>
    <row r="4018" spans="1:18" x14ac:dyDescent="0.2">
      <c r="A4018">
        <v>34</v>
      </c>
      <c r="B4018" t="s">
        <v>23</v>
      </c>
      <c r="C4018">
        <v>2020</v>
      </c>
      <c r="D4018">
        <v>1</v>
      </c>
      <c r="E4018" s="4">
        <v>0</v>
      </c>
      <c r="F4018" s="9">
        <v>0</v>
      </c>
      <c r="G4018" s="6">
        <v>3988</v>
      </c>
      <c r="H4018" s="9">
        <f t="shared" si="62"/>
        <v>0</v>
      </c>
      <c r="I4018" s="6">
        <v>14433</v>
      </c>
      <c r="J4018" s="6">
        <f>VLOOKUP(Table1[[#This Row],[Province]],[1]Sheet1!$A$3:$K$37,11,FALSE)</f>
        <v>4418600</v>
      </c>
      <c r="K4018">
        <v>0</v>
      </c>
      <c r="L4018" s="4">
        <v>4.2699280000000002</v>
      </c>
      <c r="M4018" s="4">
        <v>138.080353</v>
      </c>
      <c r="N4018" s="13">
        <v>2.39</v>
      </c>
      <c r="P4018"/>
      <c r="Q4018" s="12"/>
      <c r="R4018" s="12"/>
    </row>
    <row r="4019" spans="1:18" x14ac:dyDescent="0.2">
      <c r="A4019">
        <v>34</v>
      </c>
      <c r="B4019" t="s">
        <v>23</v>
      </c>
      <c r="C4019">
        <v>2020</v>
      </c>
      <c r="D4019">
        <v>2</v>
      </c>
      <c r="E4019" s="4">
        <v>0</v>
      </c>
      <c r="F4019" s="9">
        <v>0</v>
      </c>
      <c r="G4019" s="6">
        <v>5180</v>
      </c>
      <c r="H4019" s="9">
        <f t="shared" si="62"/>
        <v>0</v>
      </c>
      <c r="I4019" s="6">
        <v>14542</v>
      </c>
      <c r="J4019" s="6">
        <f>VLOOKUP(Table1[[#This Row],[Province]],[1]Sheet1!$A$3:$K$37,11,FALSE)</f>
        <v>4418600</v>
      </c>
      <c r="K4019">
        <v>0</v>
      </c>
      <c r="L4019" s="4">
        <v>4.2699280000000002</v>
      </c>
      <c r="M4019" s="4">
        <v>138.080353</v>
      </c>
      <c r="N4019" s="13">
        <v>2.39</v>
      </c>
      <c r="P4019"/>
      <c r="Q4019" s="12"/>
      <c r="R4019" s="12"/>
    </row>
    <row r="4020" spans="1:18" x14ac:dyDescent="0.2">
      <c r="A4020">
        <v>34</v>
      </c>
      <c r="B4020" t="s">
        <v>23</v>
      </c>
      <c r="C4020">
        <v>2020</v>
      </c>
      <c r="D4020">
        <v>3</v>
      </c>
      <c r="E4020" s="4">
        <v>0</v>
      </c>
      <c r="F4020" s="9">
        <v>0</v>
      </c>
      <c r="G4020" s="6">
        <v>5468</v>
      </c>
      <c r="H4020" s="9">
        <f t="shared" si="62"/>
        <v>0</v>
      </c>
      <c r="I4020" s="6">
        <v>14542</v>
      </c>
      <c r="J4020" s="6">
        <f>VLOOKUP(Table1[[#This Row],[Province]],[1]Sheet1!$A$3:$K$37,11,FALSE)</f>
        <v>4418600</v>
      </c>
      <c r="K4020">
        <v>0</v>
      </c>
      <c r="L4020" s="4">
        <v>4.2699280000000002</v>
      </c>
      <c r="M4020" s="4">
        <v>138.080353</v>
      </c>
      <c r="N4020" s="13">
        <v>2.39</v>
      </c>
      <c r="P4020"/>
      <c r="Q4020" s="12"/>
      <c r="R4020" s="12"/>
    </row>
    <row r="4021" spans="1:18" x14ac:dyDescent="0.2">
      <c r="A4021">
        <v>34</v>
      </c>
      <c r="B4021" t="s">
        <v>23</v>
      </c>
      <c r="C4021">
        <v>2020</v>
      </c>
      <c r="D4021">
        <v>4</v>
      </c>
      <c r="E4021" s="4">
        <v>0</v>
      </c>
      <c r="F4021" s="9">
        <v>0</v>
      </c>
      <c r="G4021" s="6">
        <v>2647</v>
      </c>
      <c r="H4021" s="9">
        <f t="shared" si="62"/>
        <v>0</v>
      </c>
      <c r="I4021" s="6">
        <v>21200</v>
      </c>
      <c r="J4021" s="6">
        <f>VLOOKUP(Table1[[#This Row],[Province]],[1]Sheet1!$A$3:$K$37,11,FALSE)</f>
        <v>4418600</v>
      </c>
      <c r="K4021">
        <v>1</v>
      </c>
      <c r="L4021" s="4">
        <v>4.2699280000000002</v>
      </c>
      <c r="M4021" s="4">
        <v>138.080353</v>
      </c>
      <c r="N4021" s="13">
        <v>2.39</v>
      </c>
      <c r="P4021"/>
      <c r="Q4021" s="12"/>
      <c r="R4021" s="12"/>
    </row>
    <row r="4022" spans="1:18" x14ac:dyDescent="0.2">
      <c r="A4022">
        <v>34</v>
      </c>
      <c r="B4022" t="s">
        <v>23</v>
      </c>
      <c r="C4022">
        <v>2020</v>
      </c>
      <c r="D4022">
        <v>5</v>
      </c>
      <c r="E4022" s="4">
        <v>0</v>
      </c>
      <c r="F4022" s="9">
        <v>0</v>
      </c>
      <c r="G4022" s="6">
        <v>3527</v>
      </c>
      <c r="H4022" s="9">
        <f t="shared" si="62"/>
        <v>0</v>
      </c>
      <c r="I4022" s="6">
        <v>17033</v>
      </c>
      <c r="J4022" s="6">
        <f>VLOOKUP(Table1[[#This Row],[Province]],[1]Sheet1!$A$3:$K$37,11,FALSE)</f>
        <v>4418600</v>
      </c>
      <c r="K4022">
        <v>0</v>
      </c>
      <c r="L4022" s="4">
        <v>4.2699280000000002</v>
      </c>
      <c r="M4022" s="4">
        <v>138.080353</v>
      </c>
      <c r="N4022" s="13">
        <v>2.39</v>
      </c>
      <c r="P4022"/>
      <c r="Q4022" s="12"/>
      <c r="R4022" s="12"/>
    </row>
    <row r="4023" spans="1:18" x14ac:dyDescent="0.2">
      <c r="A4023">
        <v>34</v>
      </c>
      <c r="B4023" t="s">
        <v>23</v>
      </c>
      <c r="C4023">
        <v>2020</v>
      </c>
      <c r="D4023">
        <v>5</v>
      </c>
      <c r="E4023" s="4">
        <v>0</v>
      </c>
      <c r="F4023" s="9">
        <v>0</v>
      </c>
      <c r="G4023" s="6">
        <v>3113</v>
      </c>
      <c r="H4023" s="9">
        <f t="shared" si="62"/>
        <v>0</v>
      </c>
      <c r="I4023" s="6">
        <v>22000</v>
      </c>
      <c r="J4023" s="6">
        <f>VLOOKUP(Table1[[#This Row],[Province]],[1]Sheet1!$A$3:$K$37,11,FALSE)</f>
        <v>4418600</v>
      </c>
      <c r="K4023">
        <v>0</v>
      </c>
      <c r="L4023" s="4">
        <v>4.2699280000000002</v>
      </c>
      <c r="M4023" s="4">
        <v>138.080353</v>
      </c>
      <c r="N4023" s="13">
        <v>2.39</v>
      </c>
      <c r="P4023"/>
      <c r="Q4023" s="12"/>
      <c r="R4023" s="12"/>
    </row>
    <row r="4024" spans="1:18" x14ac:dyDescent="0.2">
      <c r="A4024">
        <v>34</v>
      </c>
      <c r="B4024" t="s">
        <v>23</v>
      </c>
      <c r="C4024">
        <v>2020</v>
      </c>
      <c r="D4024">
        <v>6</v>
      </c>
      <c r="E4024" s="4">
        <v>0</v>
      </c>
      <c r="F4024" s="9">
        <v>0</v>
      </c>
      <c r="G4024" s="6">
        <v>4353</v>
      </c>
      <c r="H4024" s="9">
        <f t="shared" si="62"/>
        <v>0</v>
      </c>
      <c r="I4024" s="6">
        <v>19143</v>
      </c>
      <c r="J4024" s="6">
        <f>VLOOKUP(Table1[[#This Row],[Province]],[1]Sheet1!$A$3:$K$37,11,FALSE)</f>
        <v>4418600</v>
      </c>
      <c r="K4024">
        <v>0</v>
      </c>
      <c r="L4024" s="4">
        <v>4.2699280000000002</v>
      </c>
      <c r="M4024" s="4">
        <v>138.080353</v>
      </c>
      <c r="N4024" s="13">
        <v>2.39</v>
      </c>
      <c r="P4024"/>
      <c r="Q4024" s="12"/>
      <c r="R4024" s="12"/>
    </row>
    <row r="4025" spans="1:18" x14ac:dyDescent="0.2">
      <c r="A4025">
        <v>34</v>
      </c>
      <c r="B4025" t="s">
        <v>23</v>
      </c>
      <c r="C4025">
        <v>2020</v>
      </c>
      <c r="D4025">
        <v>7</v>
      </c>
      <c r="E4025" s="4">
        <v>0</v>
      </c>
      <c r="F4025" s="9">
        <v>0</v>
      </c>
      <c r="G4025" s="6">
        <v>3850</v>
      </c>
      <c r="H4025" s="9">
        <f t="shared" si="62"/>
        <v>0</v>
      </c>
      <c r="I4025" s="6">
        <v>17317</v>
      </c>
      <c r="J4025" s="6">
        <f>VLOOKUP(Table1[[#This Row],[Province]],[1]Sheet1!$A$3:$K$37,11,FALSE)</f>
        <v>4418600</v>
      </c>
      <c r="K4025">
        <v>0</v>
      </c>
      <c r="L4025" s="4">
        <v>4.2699280000000002</v>
      </c>
      <c r="M4025" s="4">
        <v>138.080353</v>
      </c>
      <c r="N4025" s="13">
        <v>2.39</v>
      </c>
      <c r="P4025"/>
      <c r="Q4025" s="12"/>
      <c r="R4025" s="12"/>
    </row>
    <row r="4026" spans="1:18" x14ac:dyDescent="0.2">
      <c r="A4026">
        <v>34</v>
      </c>
      <c r="B4026" t="s">
        <v>23</v>
      </c>
      <c r="C4026">
        <v>2020</v>
      </c>
      <c r="D4026">
        <v>8</v>
      </c>
      <c r="E4026" s="4">
        <v>0</v>
      </c>
      <c r="F4026" s="9">
        <v>0</v>
      </c>
      <c r="G4026" s="6">
        <v>2404</v>
      </c>
      <c r="H4026" s="9">
        <f t="shared" si="62"/>
        <v>0</v>
      </c>
      <c r="I4026" s="6">
        <v>15000</v>
      </c>
      <c r="J4026" s="6">
        <f>VLOOKUP(Table1[[#This Row],[Province]],[1]Sheet1!$A$3:$K$37,11,FALSE)</f>
        <v>4418600</v>
      </c>
      <c r="K4026">
        <v>0</v>
      </c>
      <c r="L4026" s="4">
        <v>4.2699280000000002</v>
      </c>
      <c r="M4026" s="4">
        <v>138.080353</v>
      </c>
      <c r="N4026" s="13">
        <v>2.39</v>
      </c>
      <c r="P4026"/>
      <c r="Q4026" s="12"/>
      <c r="R4026" s="12"/>
    </row>
    <row r="4027" spans="1:18" x14ac:dyDescent="0.2">
      <c r="A4027">
        <v>34</v>
      </c>
      <c r="B4027" t="s">
        <v>23</v>
      </c>
      <c r="C4027">
        <v>2020</v>
      </c>
      <c r="D4027">
        <v>9</v>
      </c>
      <c r="E4027" s="4">
        <v>0</v>
      </c>
      <c r="F4027" s="9">
        <v>0</v>
      </c>
      <c r="G4027" s="6">
        <v>2786</v>
      </c>
      <c r="H4027" s="9">
        <f t="shared" si="62"/>
        <v>0</v>
      </c>
      <c r="I4027" s="6">
        <v>15000</v>
      </c>
      <c r="J4027" s="6">
        <f>VLOOKUP(Table1[[#This Row],[Province]],[1]Sheet1!$A$3:$K$37,11,FALSE)</f>
        <v>4418600</v>
      </c>
      <c r="K4027">
        <v>0</v>
      </c>
      <c r="L4027" s="4">
        <v>4.2699280000000002</v>
      </c>
      <c r="M4027" s="4">
        <v>138.080353</v>
      </c>
      <c r="N4027" s="13">
        <v>2.39</v>
      </c>
      <c r="P4027"/>
      <c r="Q4027" s="12"/>
      <c r="R4027" s="12"/>
    </row>
    <row r="4028" spans="1:18" x14ac:dyDescent="0.2">
      <c r="A4028">
        <v>34</v>
      </c>
      <c r="B4028" t="s">
        <v>23</v>
      </c>
      <c r="C4028">
        <v>2020</v>
      </c>
      <c r="D4028">
        <v>10</v>
      </c>
      <c r="E4028" s="4">
        <v>0</v>
      </c>
      <c r="F4028" s="9">
        <v>0</v>
      </c>
      <c r="G4028" s="6">
        <v>2268</v>
      </c>
      <c r="H4028" s="9">
        <f t="shared" si="62"/>
        <v>0</v>
      </c>
      <c r="I4028" s="6">
        <v>14917</v>
      </c>
      <c r="J4028" s="6">
        <f>VLOOKUP(Table1[[#This Row],[Province]],[1]Sheet1!$A$3:$K$37,11,FALSE)</f>
        <v>4418600</v>
      </c>
      <c r="K4028">
        <v>0</v>
      </c>
      <c r="L4028" s="4">
        <v>4.2699280000000002</v>
      </c>
      <c r="M4028" s="4">
        <v>138.080353</v>
      </c>
      <c r="N4028" s="13">
        <v>2.39</v>
      </c>
      <c r="P4028"/>
      <c r="Q4028" s="12"/>
      <c r="R4028" s="12"/>
    </row>
    <row r="4029" spans="1:18" x14ac:dyDescent="0.2">
      <c r="A4029">
        <v>34</v>
      </c>
      <c r="B4029" t="s">
        <v>23</v>
      </c>
      <c r="C4029">
        <v>2020</v>
      </c>
      <c r="D4029">
        <v>12</v>
      </c>
      <c r="E4029" s="4">
        <v>0</v>
      </c>
      <c r="F4029" s="9">
        <v>0</v>
      </c>
      <c r="G4029" s="6">
        <v>2955</v>
      </c>
      <c r="H4029" s="9">
        <f t="shared" si="62"/>
        <v>0</v>
      </c>
      <c r="I4029" s="6">
        <v>14933</v>
      </c>
      <c r="J4029" s="6">
        <f>VLOOKUP(Table1[[#This Row],[Province]],[1]Sheet1!$A$3:$K$37,11,FALSE)</f>
        <v>4418600</v>
      </c>
      <c r="K4029">
        <v>1</v>
      </c>
      <c r="L4029" s="4">
        <v>4.2699280000000002</v>
      </c>
      <c r="M4029" s="4">
        <v>138.080353</v>
      </c>
      <c r="N4029" s="13">
        <v>2.39</v>
      </c>
      <c r="P4029"/>
      <c r="Q4029" s="12"/>
      <c r="R4029" s="12"/>
    </row>
    <row r="4030" spans="1:18" x14ac:dyDescent="0.2">
      <c r="A4030">
        <v>34</v>
      </c>
      <c r="B4030" t="s">
        <v>23</v>
      </c>
      <c r="C4030">
        <v>2021</v>
      </c>
      <c r="D4030">
        <v>1</v>
      </c>
      <c r="E4030" s="4">
        <v>0</v>
      </c>
      <c r="F4030" s="9">
        <v>0</v>
      </c>
      <c r="G4030" s="6">
        <v>2193</v>
      </c>
      <c r="H4030" s="9">
        <f t="shared" si="62"/>
        <v>0</v>
      </c>
      <c r="I4030" s="6">
        <v>14929</v>
      </c>
      <c r="J4030" s="6">
        <f>VLOOKUP(Table1[[#This Row],[Province]],[1]Sheet1!$A$3:$K$37,11,FALSE)</f>
        <v>4418600</v>
      </c>
      <c r="K4030">
        <v>0</v>
      </c>
      <c r="L4030" s="4">
        <v>4.2699280000000002</v>
      </c>
      <c r="M4030" s="4">
        <v>138.080353</v>
      </c>
      <c r="N4030" s="13">
        <v>15.16</v>
      </c>
      <c r="P4030"/>
      <c r="Q4030" s="12"/>
      <c r="R4030" s="12"/>
    </row>
    <row r="4031" spans="1:18" x14ac:dyDescent="0.2">
      <c r="A4031">
        <v>34</v>
      </c>
      <c r="B4031" t="s">
        <v>23</v>
      </c>
      <c r="C4031">
        <v>2021</v>
      </c>
      <c r="D4031">
        <v>2</v>
      </c>
      <c r="E4031" s="4">
        <v>0</v>
      </c>
      <c r="F4031" s="9">
        <v>0</v>
      </c>
      <c r="G4031" s="6">
        <v>2637</v>
      </c>
      <c r="H4031" s="9">
        <f t="shared" si="62"/>
        <v>0</v>
      </c>
      <c r="I4031" s="6">
        <v>15000</v>
      </c>
      <c r="J4031" s="6">
        <f>VLOOKUP(Table1[[#This Row],[Province]],[1]Sheet1!$A$3:$K$37,11,FALSE)</f>
        <v>4418600</v>
      </c>
      <c r="K4031">
        <v>0</v>
      </c>
      <c r="L4031" s="4">
        <v>4.2699280000000002</v>
      </c>
      <c r="M4031" s="4">
        <v>138.080353</v>
      </c>
      <c r="N4031" s="13">
        <v>15.16</v>
      </c>
      <c r="P4031"/>
      <c r="Q4031" s="12"/>
      <c r="R4031" s="12"/>
    </row>
    <row r="4032" spans="1:18" x14ac:dyDescent="0.2">
      <c r="A4032">
        <v>34</v>
      </c>
      <c r="B4032" t="s">
        <v>23</v>
      </c>
      <c r="C4032">
        <v>2021</v>
      </c>
      <c r="D4032">
        <v>3</v>
      </c>
      <c r="E4032" s="4">
        <v>0</v>
      </c>
      <c r="F4032" s="9">
        <v>0</v>
      </c>
      <c r="G4032" s="6">
        <v>2044</v>
      </c>
      <c r="H4032" s="9">
        <f t="shared" si="62"/>
        <v>0</v>
      </c>
      <c r="I4032" s="6">
        <v>15000</v>
      </c>
      <c r="J4032" s="6">
        <f>VLOOKUP(Table1[[#This Row],[Province]],[1]Sheet1!$A$3:$K$37,11,FALSE)</f>
        <v>4418600</v>
      </c>
      <c r="K4032">
        <v>0</v>
      </c>
      <c r="L4032" s="4">
        <v>4.2699280000000002</v>
      </c>
      <c r="M4032" s="4">
        <v>138.080353</v>
      </c>
      <c r="N4032" s="13">
        <v>15.16</v>
      </c>
      <c r="P4032"/>
      <c r="Q4032" s="12"/>
      <c r="R4032" s="12"/>
    </row>
    <row r="4033" spans="1:18" x14ac:dyDescent="0.2">
      <c r="A4033">
        <v>34</v>
      </c>
      <c r="B4033" t="s">
        <v>23</v>
      </c>
      <c r="C4033">
        <v>2021</v>
      </c>
      <c r="D4033">
        <v>4</v>
      </c>
      <c r="E4033" s="4">
        <v>0</v>
      </c>
      <c r="F4033" s="9">
        <v>0</v>
      </c>
      <c r="G4033" s="6">
        <v>390</v>
      </c>
      <c r="H4033" s="9">
        <f t="shared" si="62"/>
        <v>0</v>
      </c>
      <c r="I4033" s="6">
        <v>14888</v>
      </c>
      <c r="J4033" s="6">
        <f>VLOOKUP(Table1[[#This Row],[Province]],[1]Sheet1!$A$3:$K$37,11,FALSE)</f>
        <v>4418600</v>
      </c>
      <c r="K4033">
        <v>1</v>
      </c>
      <c r="L4033" s="4">
        <v>4.2699280000000002</v>
      </c>
      <c r="M4033" s="4">
        <v>138.080353</v>
      </c>
      <c r="N4033" s="13">
        <v>15.16</v>
      </c>
      <c r="P4033"/>
      <c r="Q4033" s="12"/>
      <c r="R4033" s="12"/>
    </row>
    <row r="4034" spans="1:18" x14ac:dyDescent="0.2">
      <c r="A4034">
        <v>34</v>
      </c>
      <c r="B4034" t="s">
        <v>23</v>
      </c>
      <c r="C4034">
        <v>2021</v>
      </c>
      <c r="D4034">
        <v>5</v>
      </c>
      <c r="E4034" s="4">
        <v>0</v>
      </c>
      <c r="F4034" s="9">
        <v>0</v>
      </c>
      <c r="G4034" s="6">
        <v>2479</v>
      </c>
      <c r="H4034" s="9">
        <f t="shared" ref="H4034:H4053" si="63">F4034+E4034</f>
        <v>0</v>
      </c>
      <c r="I4034" s="6">
        <v>14990</v>
      </c>
      <c r="J4034" s="6">
        <f>VLOOKUP(Table1[[#This Row],[Province]],[1]Sheet1!$A$3:$K$37,11,FALSE)</f>
        <v>4418600</v>
      </c>
      <c r="K4034">
        <v>0</v>
      </c>
      <c r="L4034" s="4">
        <v>4.2699280000000002</v>
      </c>
      <c r="M4034" s="4">
        <v>138.080353</v>
      </c>
      <c r="N4034" s="13">
        <v>15.16</v>
      </c>
      <c r="P4034"/>
      <c r="Q4034" s="12"/>
      <c r="R4034" s="12"/>
    </row>
    <row r="4035" spans="1:18" x14ac:dyDescent="0.2">
      <c r="A4035">
        <v>34</v>
      </c>
      <c r="B4035" t="s">
        <v>23</v>
      </c>
      <c r="C4035">
        <v>2021</v>
      </c>
      <c r="D4035">
        <v>6</v>
      </c>
      <c r="E4035" s="4">
        <v>0</v>
      </c>
      <c r="F4035" s="9">
        <v>0</v>
      </c>
      <c r="G4035" s="6">
        <v>3472</v>
      </c>
      <c r="H4035" s="9">
        <f t="shared" si="63"/>
        <v>0</v>
      </c>
      <c r="I4035" s="6">
        <v>14963</v>
      </c>
      <c r="J4035" s="6">
        <f>VLOOKUP(Table1[[#This Row],[Province]],[1]Sheet1!$A$3:$K$37,11,FALSE)</f>
        <v>4418600</v>
      </c>
      <c r="K4035">
        <v>0</v>
      </c>
      <c r="L4035" s="4">
        <v>4.2699280000000002</v>
      </c>
      <c r="M4035" s="4">
        <v>138.080353</v>
      </c>
      <c r="N4035" s="13">
        <v>15.16</v>
      </c>
      <c r="P4035"/>
      <c r="Q4035" s="12"/>
      <c r="R4035" s="12"/>
    </row>
    <row r="4036" spans="1:18" x14ac:dyDescent="0.2">
      <c r="A4036">
        <v>34</v>
      </c>
      <c r="B4036" t="s">
        <v>23</v>
      </c>
      <c r="C4036">
        <v>2021</v>
      </c>
      <c r="D4036">
        <v>7</v>
      </c>
      <c r="E4036" s="4">
        <v>0</v>
      </c>
      <c r="F4036" s="9">
        <v>0</v>
      </c>
      <c r="G4036" s="6">
        <v>5076</v>
      </c>
      <c r="H4036" s="9">
        <f t="shared" si="63"/>
        <v>0</v>
      </c>
      <c r="I4036" s="6">
        <v>14925</v>
      </c>
      <c r="J4036" s="6">
        <f>VLOOKUP(Table1[[#This Row],[Province]],[1]Sheet1!$A$3:$K$37,11,FALSE)</f>
        <v>4418600</v>
      </c>
      <c r="K4036">
        <v>0</v>
      </c>
      <c r="L4036" s="4">
        <v>4.2699280000000002</v>
      </c>
      <c r="M4036" s="4">
        <v>138.080353</v>
      </c>
      <c r="N4036" s="13">
        <v>15.16</v>
      </c>
      <c r="P4036"/>
      <c r="Q4036" s="12"/>
      <c r="R4036" s="12"/>
    </row>
    <row r="4037" spans="1:18" x14ac:dyDescent="0.2">
      <c r="A4037">
        <v>34</v>
      </c>
      <c r="B4037" t="s">
        <v>23</v>
      </c>
      <c r="C4037">
        <v>2021</v>
      </c>
      <c r="D4037">
        <v>8</v>
      </c>
      <c r="E4037" s="4">
        <v>0</v>
      </c>
      <c r="F4037" s="9">
        <v>0</v>
      </c>
      <c r="G4037" s="6">
        <v>3090</v>
      </c>
      <c r="H4037" s="9">
        <f t="shared" si="63"/>
        <v>0</v>
      </c>
      <c r="I4037" s="6">
        <v>14920</v>
      </c>
      <c r="J4037" s="6">
        <f>VLOOKUP(Table1[[#This Row],[Province]],[1]Sheet1!$A$3:$K$37,11,FALSE)</f>
        <v>4418600</v>
      </c>
      <c r="K4037">
        <v>0</v>
      </c>
      <c r="L4037" s="4">
        <v>4.2699280000000002</v>
      </c>
      <c r="M4037" s="4">
        <v>138.080353</v>
      </c>
      <c r="N4037" s="13">
        <v>15.16</v>
      </c>
      <c r="P4037"/>
      <c r="Q4037" s="12"/>
      <c r="R4037" s="12"/>
    </row>
    <row r="4038" spans="1:18" x14ac:dyDescent="0.2">
      <c r="A4038">
        <v>34</v>
      </c>
      <c r="B4038" t="s">
        <v>23</v>
      </c>
      <c r="C4038">
        <v>2021</v>
      </c>
      <c r="D4038">
        <v>9</v>
      </c>
      <c r="E4038" s="4">
        <v>0</v>
      </c>
      <c r="F4038" s="9">
        <v>0</v>
      </c>
      <c r="G4038" s="6">
        <v>3089</v>
      </c>
      <c r="H4038" s="9">
        <f t="shared" si="63"/>
        <v>0</v>
      </c>
      <c r="I4038" s="6">
        <v>14761</v>
      </c>
      <c r="J4038" s="6">
        <f>VLOOKUP(Table1[[#This Row],[Province]],[1]Sheet1!$A$3:$K$37,11,FALSE)</f>
        <v>4418600</v>
      </c>
      <c r="K4038">
        <v>0</v>
      </c>
      <c r="L4038" s="4">
        <v>4.2699280000000002</v>
      </c>
      <c r="M4038" s="4">
        <v>138.080353</v>
      </c>
      <c r="N4038" s="13">
        <v>15.16</v>
      </c>
      <c r="P4038"/>
      <c r="Q4038" s="12"/>
      <c r="R4038" s="12"/>
    </row>
    <row r="4039" spans="1:18" x14ac:dyDescent="0.2">
      <c r="A4039">
        <v>34</v>
      </c>
      <c r="B4039" t="s">
        <v>23</v>
      </c>
      <c r="C4039">
        <v>2021</v>
      </c>
      <c r="D4039">
        <v>10</v>
      </c>
      <c r="E4039" s="4">
        <v>0</v>
      </c>
      <c r="F4039" s="9">
        <v>0</v>
      </c>
      <c r="G4039" s="6">
        <v>2352</v>
      </c>
      <c r="H4039" s="9">
        <f t="shared" si="63"/>
        <v>0</v>
      </c>
      <c r="I4039" s="6">
        <v>14650</v>
      </c>
      <c r="J4039" s="6">
        <f>VLOOKUP(Table1[[#This Row],[Province]],[1]Sheet1!$A$3:$K$37,11,FALSE)</f>
        <v>4418600</v>
      </c>
      <c r="K4039">
        <v>0</v>
      </c>
      <c r="L4039" s="4">
        <v>4.2699280000000002</v>
      </c>
      <c r="M4039" s="4">
        <v>138.080353</v>
      </c>
      <c r="N4039" s="13">
        <v>15.16</v>
      </c>
      <c r="P4039"/>
      <c r="Q4039" s="12"/>
      <c r="R4039" s="12"/>
    </row>
    <row r="4040" spans="1:18" x14ac:dyDescent="0.2">
      <c r="A4040">
        <v>34</v>
      </c>
      <c r="B4040" t="s">
        <v>23</v>
      </c>
      <c r="C4040">
        <v>2021</v>
      </c>
      <c r="D4040">
        <v>11</v>
      </c>
      <c r="E4040" s="4">
        <v>0</v>
      </c>
      <c r="F4040" s="9">
        <v>0</v>
      </c>
      <c r="G4040" s="6">
        <v>3715</v>
      </c>
      <c r="H4040" s="9">
        <f t="shared" si="63"/>
        <v>0</v>
      </c>
      <c r="I4040" s="6">
        <v>14750</v>
      </c>
      <c r="J4040" s="6">
        <f>VLOOKUP(Table1[[#This Row],[Province]],[1]Sheet1!$A$3:$K$37,11,FALSE)</f>
        <v>4418600</v>
      </c>
      <c r="K4040">
        <v>0</v>
      </c>
      <c r="L4040" s="4">
        <v>4.2699280000000002</v>
      </c>
      <c r="M4040" s="4">
        <v>138.080353</v>
      </c>
      <c r="N4040" s="13">
        <v>15.16</v>
      </c>
      <c r="P4040"/>
      <c r="Q4040" s="12"/>
      <c r="R4040" s="12"/>
    </row>
    <row r="4041" spans="1:18" x14ac:dyDescent="0.2">
      <c r="A4041">
        <v>34</v>
      </c>
      <c r="B4041" t="s">
        <v>23</v>
      </c>
      <c r="C4041">
        <v>2021</v>
      </c>
      <c r="D4041">
        <v>12</v>
      </c>
      <c r="E4041" s="4">
        <v>0</v>
      </c>
      <c r="F4041" s="9">
        <v>0</v>
      </c>
      <c r="G4041" s="6">
        <v>2103</v>
      </c>
      <c r="H4041" s="9">
        <f t="shared" si="63"/>
        <v>0</v>
      </c>
      <c r="I4041" s="6">
        <v>14875</v>
      </c>
      <c r="J4041" s="6">
        <f>VLOOKUP(Table1[[#This Row],[Province]],[1]Sheet1!$A$3:$K$37,11,FALSE)</f>
        <v>4418600</v>
      </c>
      <c r="K4041">
        <v>1</v>
      </c>
      <c r="L4041" s="4">
        <v>4.2699280000000002</v>
      </c>
      <c r="M4041" s="4">
        <v>138.080353</v>
      </c>
      <c r="N4041" s="13">
        <v>15.16</v>
      </c>
      <c r="P4041"/>
      <c r="Q4041" s="12"/>
      <c r="R4041" s="12"/>
    </row>
    <row r="4042" spans="1:18" x14ac:dyDescent="0.2">
      <c r="A4042">
        <v>34</v>
      </c>
      <c r="B4042" t="s">
        <v>23</v>
      </c>
      <c r="C4042">
        <v>2022</v>
      </c>
      <c r="D4042">
        <v>1</v>
      </c>
      <c r="E4042" s="6">
        <v>0</v>
      </c>
      <c r="F4042" s="9">
        <v>0</v>
      </c>
      <c r="G4042" s="6">
        <v>2570</v>
      </c>
      <c r="H4042" s="9">
        <f t="shared" si="63"/>
        <v>0</v>
      </c>
      <c r="I4042" s="6">
        <v>15450</v>
      </c>
      <c r="J4042" s="6">
        <f>VLOOKUP(Table1[[#This Row],[Province]],[1]Sheet1!$A$3:$K$37,11,FALSE)</f>
        <v>4418600</v>
      </c>
      <c r="K4042">
        <v>0</v>
      </c>
      <c r="L4042" s="4">
        <v>4.2699280000000002</v>
      </c>
      <c r="M4042" s="4">
        <v>138.080353</v>
      </c>
      <c r="N4042" s="13">
        <v>8.9700000000000006</v>
      </c>
      <c r="P4042"/>
      <c r="Q4042" s="12"/>
      <c r="R4042" s="12"/>
    </row>
    <row r="4043" spans="1:18" x14ac:dyDescent="0.2">
      <c r="A4043">
        <v>34</v>
      </c>
      <c r="B4043" t="s">
        <v>23</v>
      </c>
      <c r="C4043">
        <v>2022</v>
      </c>
      <c r="D4043">
        <v>2</v>
      </c>
      <c r="E4043" s="6">
        <v>0</v>
      </c>
      <c r="F4043" s="9">
        <v>0</v>
      </c>
      <c r="G4043" s="6">
        <v>4199</v>
      </c>
      <c r="H4043" s="9">
        <f t="shared" si="63"/>
        <v>0</v>
      </c>
      <c r="I4043" s="6">
        <v>15778</v>
      </c>
      <c r="J4043" s="6">
        <f>VLOOKUP(Table1[[#This Row],[Province]],[1]Sheet1!$A$3:$K$37,11,FALSE)</f>
        <v>4418600</v>
      </c>
      <c r="K4043">
        <v>0</v>
      </c>
      <c r="L4043" s="4">
        <v>4.2699280000000002</v>
      </c>
      <c r="M4043" s="4">
        <v>138.080353</v>
      </c>
      <c r="N4043" s="13">
        <v>8.9700000000000006</v>
      </c>
      <c r="P4043"/>
      <c r="Q4043" s="12"/>
      <c r="R4043" s="12"/>
    </row>
    <row r="4044" spans="1:18" x14ac:dyDescent="0.2">
      <c r="A4044">
        <v>34</v>
      </c>
      <c r="B4044" t="s">
        <v>23</v>
      </c>
      <c r="C4044">
        <v>2022</v>
      </c>
      <c r="D4044">
        <v>3</v>
      </c>
      <c r="E4044" s="6">
        <v>0</v>
      </c>
      <c r="F4044" s="9">
        <v>0</v>
      </c>
      <c r="G4044" s="6">
        <v>2348</v>
      </c>
      <c r="H4044" s="9">
        <f t="shared" si="63"/>
        <v>0</v>
      </c>
      <c r="I4044" s="6">
        <v>16250</v>
      </c>
      <c r="J4044" s="6">
        <f>VLOOKUP(Table1[[#This Row],[Province]],[1]Sheet1!$A$3:$K$37,11,FALSE)</f>
        <v>4418600</v>
      </c>
      <c r="K4044">
        <v>0</v>
      </c>
      <c r="L4044" s="4">
        <v>4.2699280000000002</v>
      </c>
      <c r="M4044" s="4">
        <v>138.080353</v>
      </c>
      <c r="N4044" s="13">
        <v>8.9700000000000006</v>
      </c>
      <c r="P4044"/>
      <c r="Q4044" s="12"/>
      <c r="R4044" s="12"/>
    </row>
    <row r="4045" spans="1:18" x14ac:dyDescent="0.2">
      <c r="A4045">
        <v>34</v>
      </c>
      <c r="B4045" t="s">
        <v>23</v>
      </c>
      <c r="C4045">
        <v>2022</v>
      </c>
      <c r="D4045">
        <v>4</v>
      </c>
      <c r="E4045" s="6">
        <v>0</v>
      </c>
      <c r="F4045" s="9">
        <v>0</v>
      </c>
      <c r="G4045" s="6">
        <v>2939</v>
      </c>
      <c r="H4045" s="9">
        <f t="shared" si="63"/>
        <v>0</v>
      </c>
      <c r="I4045" s="6">
        <v>16429</v>
      </c>
      <c r="J4045" s="6">
        <f>VLOOKUP(Table1[[#This Row],[Province]],[1]Sheet1!$A$3:$K$37,11,FALSE)</f>
        <v>4418600</v>
      </c>
      <c r="K4045">
        <v>1</v>
      </c>
      <c r="L4045" s="4">
        <v>4.2699280000000002</v>
      </c>
      <c r="M4045" s="4">
        <v>138.080353</v>
      </c>
      <c r="N4045" s="13">
        <v>8.9700000000000006</v>
      </c>
      <c r="P4045"/>
      <c r="Q4045" s="12"/>
      <c r="R4045" s="12"/>
    </row>
    <row r="4046" spans="1:18" x14ac:dyDescent="0.2">
      <c r="A4046">
        <v>34</v>
      </c>
      <c r="B4046" t="s">
        <v>23</v>
      </c>
      <c r="C4046">
        <v>2022</v>
      </c>
      <c r="D4046">
        <v>5</v>
      </c>
      <c r="E4046" s="6">
        <v>0</v>
      </c>
      <c r="F4046" s="9">
        <v>0</v>
      </c>
      <c r="G4046" s="6">
        <v>3861</v>
      </c>
      <c r="H4046" s="9">
        <f t="shared" si="63"/>
        <v>0</v>
      </c>
      <c r="I4046" s="6">
        <v>16229</v>
      </c>
      <c r="J4046" s="6">
        <f>VLOOKUP(Table1[[#This Row],[Province]],[1]Sheet1!$A$3:$K$37,11,FALSE)</f>
        <v>4418600</v>
      </c>
      <c r="K4046">
        <v>0</v>
      </c>
      <c r="L4046" s="4">
        <v>4.2699280000000002</v>
      </c>
      <c r="M4046" s="4">
        <v>138.080353</v>
      </c>
      <c r="N4046" s="13">
        <v>8.9700000000000006</v>
      </c>
      <c r="P4046"/>
      <c r="Q4046" s="12"/>
      <c r="R4046" s="12"/>
    </row>
    <row r="4047" spans="1:18" x14ac:dyDescent="0.2">
      <c r="A4047">
        <v>34</v>
      </c>
      <c r="B4047" t="s">
        <v>23</v>
      </c>
      <c r="C4047">
        <v>2022</v>
      </c>
      <c r="D4047">
        <v>6</v>
      </c>
      <c r="E4047" s="6">
        <v>0</v>
      </c>
      <c r="F4047" s="9">
        <v>0</v>
      </c>
      <c r="G4047" s="6">
        <v>2524</v>
      </c>
      <c r="H4047" s="9">
        <f t="shared" si="63"/>
        <v>0</v>
      </c>
      <c r="I4047" s="6">
        <v>16179</v>
      </c>
      <c r="J4047" s="6">
        <f>VLOOKUP(Table1[[#This Row],[Province]],[1]Sheet1!$A$3:$K$37,11,FALSE)</f>
        <v>4418600</v>
      </c>
      <c r="K4047">
        <v>0</v>
      </c>
      <c r="L4047" s="4">
        <v>4.2699280000000002</v>
      </c>
      <c r="M4047" s="4">
        <v>138.080353</v>
      </c>
      <c r="N4047" s="13">
        <v>8.9700000000000006</v>
      </c>
      <c r="P4047"/>
      <c r="Q4047" s="12"/>
      <c r="R4047" s="12"/>
    </row>
    <row r="4048" spans="1:18" x14ac:dyDescent="0.2">
      <c r="A4048">
        <v>34</v>
      </c>
      <c r="B4048" t="s">
        <v>23</v>
      </c>
      <c r="C4048">
        <v>2022</v>
      </c>
      <c r="D4048">
        <v>7</v>
      </c>
      <c r="E4048" s="6">
        <v>0</v>
      </c>
      <c r="F4048" s="9">
        <v>0</v>
      </c>
      <c r="G4048" s="6">
        <v>6401</v>
      </c>
      <c r="H4048" s="9">
        <f t="shared" si="63"/>
        <v>0</v>
      </c>
      <c r="I4048" s="6">
        <v>16160</v>
      </c>
      <c r="J4048" s="6">
        <f>VLOOKUP(Table1[[#This Row],[Province]],[1]Sheet1!$A$3:$K$37,11,FALSE)</f>
        <v>4418600</v>
      </c>
      <c r="K4048">
        <v>0</v>
      </c>
      <c r="L4048" s="4">
        <v>4.2699280000000002</v>
      </c>
      <c r="M4048" s="4">
        <v>138.080353</v>
      </c>
      <c r="N4048" s="13">
        <v>8.9700000000000006</v>
      </c>
      <c r="P4048"/>
      <c r="Q4048" s="12"/>
      <c r="R4048" s="12"/>
    </row>
    <row r="4049" spans="1:18" x14ac:dyDescent="0.2">
      <c r="A4049">
        <v>34</v>
      </c>
      <c r="B4049" t="s">
        <v>23</v>
      </c>
      <c r="C4049">
        <v>2022</v>
      </c>
      <c r="D4049">
        <v>8</v>
      </c>
      <c r="E4049" s="6">
        <v>0</v>
      </c>
      <c r="F4049" s="9">
        <v>0</v>
      </c>
      <c r="G4049" s="6">
        <v>2460</v>
      </c>
      <c r="H4049" s="9">
        <f t="shared" si="63"/>
        <v>0</v>
      </c>
      <c r="I4049" s="6">
        <v>16120</v>
      </c>
      <c r="J4049" s="6">
        <f>VLOOKUP(Table1[[#This Row],[Province]],[1]Sheet1!$A$3:$K$37,11,FALSE)</f>
        <v>4418600</v>
      </c>
      <c r="K4049">
        <v>0</v>
      </c>
      <c r="L4049" s="4">
        <v>4.2699280000000002</v>
      </c>
      <c r="M4049" s="4">
        <v>138.080353</v>
      </c>
      <c r="N4049" s="13">
        <v>8.9700000000000006</v>
      </c>
      <c r="P4049"/>
      <c r="Q4049" s="12"/>
      <c r="R4049" s="12"/>
    </row>
    <row r="4050" spans="1:18" x14ac:dyDescent="0.2">
      <c r="A4050">
        <v>34</v>
      </c>
      <c r="B4050" t="s">
        <v>23</v>
      </c>
      <c r="C4050">
        <v>2022</v>
      </c>
      <c r="D4050">
        <v>9</v>
      </c>
      <c r="E4050" s="6">
        <v>0</v>
      </c>
      <c r="F4050" s="9">
        <v>0</v>
      </c>
      <c r="G4050" s="6">
        <v>5308</v>
      </c>
      <c r="H4050" s="9">
        <f t="shared" si="63"/>
        <v>0</v>
      </c>
      <c r="I4050" s="6">
        <v>15846</v>
      </c>
      <c r="J4050" s="6">
        <f>VLOOKUP(Table1[[#This Row],[Province]],[1]Sheet1!$A$3:$K$37,11,FALSE)</f>
        <v>4418600</v>
      </c>
      <c r="K4050">
        <v>0</v>
      </c>
      <c r="L4050" s="4">
        <v>4.2699280000000002</v>
      </c>
      <c r="M4050" s="4">
        <v>138.080353</v>
      </c>
      <c r="N4050" s="13">
        <v>8.9700000000000006</v>
      </c>
      <c r="P4050"/>
      <c r="Q4050" s="12"/>
      <c r="R4050" s="12"/>
    </row>
    <row r="4051" spans="1:18" x14ac:dyDescent="0.2">
      <c r="A4051">
        <v>34</v>
      </c>
      <c r="B4051" t="s">
        <v>23</v>
      </c>
      <c r="C4051">
        <v>2022</v>
      </c>
      <c r="D4051">
        <v>10</v>
      </c>
      <c r="E4051" s="6">
        <v>0</v>
      </c>
      <c r="F4051" s="9">
        <v>0</v>
      </c>
      <c r="G4051" s="6">
        <v>2538</v>
      </c>
      <c r="H4051" s="9">
        <f t="shared" si="63"/>
        <v>0</v>
      </c>
      <c r="I4051" s="6">
        <v>15425</v>
      </c>
      <c r="J4051" s="6">
        <f>VLOOKUP(Table1[[#This Row],[Province]],[1]Sheet1!$A$3:$K$37,11,FALSE)</f>
        <v>4418600</v>
      </c>
      <c r="K4051">
        <v>0</v>
      </c>
      <c r="L4051" s="4">
        <v>4.2699280000000002</v>
      </c>
      <c r="M4051" s="4">
        <v>138.080353</v>
      </c>
      <c r="N4051" s="13">
        <v>8.9700000000000006</v>
      </c>
      <c r="P4051"/>
      <c r="Q4051" s="12"/>
      <c r="R4051" s="12"/>
    </row>
    <row r="4052" spans="1:18" x14ac:dyDescent="0.2">
      <c r="A4052">
        <v>34</v>
      </c>
      <c r="B4052" t="s">
        <v>23</v>
      </c>
      <c r="C4052">
        <v>2022</v>
      </c>
      <c r="D4052">
        <v>11</v>
      </c>
      <c r="E4052" s="6">
        <v>0</v>
      </c>
      <c r="F4052" s="9">
        <v>0</v>
      </c>
      <c r="G4052" s="6">
        <v>4808</v>
      </c>
      <c r="H4052" s="9">
        <f t="shared" si="63"/>
        <v>0</v>
      </c>
      <c r="I4052" s="6">
        <v>16357</v>
      </c>
      <c r="J4052" s="6">
        <f>VLOOKUP(Table1[[#This Row],[Province]],[1]Sheet1!$A$3:$K$37,11,FALSE)</f>
        <v>4418600</v>
      </c>
      <c r="K4052">
        <v>0</v>
      </c>
      <c r="L4052" s="4">
        <v>4.2699280000000002</v>
      </c>
      <c r="M4052" s="4">
        <v>138.080353</v>
      </c>
      <c r="N4052" s="13">
        <v>8.9700000000000006</v>
      </c>
      <c r="P4052"/>
      <c r="Q4052" s="12"/>
      <c r="R4052" s="12"/>
    </row>
    <row r="4053" spans="1:18" x14ac:dyDescent="0.2">
      <c r="A4053">
        <v>34</v>
      </c>
      <c r="B4053" t="s">
        <v>23</v>
      </c>
      <c r="C4053">
        <v>2022</v>
      </c>
      <c r="D4053">
        <v>12</v>
      </c>
      <c r="E4053" s="6">
        <v>0</v>
      </c>
      <c r="F4053" s="9">
        <v>0</v>
      </c>
      <c r="G4053" s="6">
        <v>3470</v>
      </c>
      <c r="H4053" s="9">
        <f t="shared" si="63"/>
        <v>0</v>
      </c>
      <c r="I4053" s="6">
        <v>16473</v>
      </c>
      <c r="J4053" s="6">
        <f>VLOOKUP(Table1[[#This Row],[Province]],[1]Sheet1!$A$3:$K$37,11,FALSE)</f>
        <v>4418600</v>
      </c>
      <c r="K4053">
        <v>1</v>
      </c>
      <c r="L4053" s="4">
        <v>4.2699280000000002</v>
      </c>
      <c r="M4053" s="4">
        <v>138.080353</v>
      </c>
      <c r="N4053" s="13">
        <v>8.9700000000000006</v>
      </c>
      <c r="P4053"/>
      <c r="Q4053" s="12"/>
      <c r="R4053" s="12"/>
    </row>
  </sheetData>
  <pageMargins left="0.7" right="0.7" top="0.75" bottom="0.75" header="0.3" footer="0.3"/>
  <pageSetup scale="64" orientation="landscape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F4208EFA-ECDA-4834-B728-08D7AC508B0C}">
          <xm:f>DATA!$A$1:$M$4053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onToolsData xmlns="Mapcite">
  <Data>{"AppConfig":[{"ConfigTitle":"MultiDataAndStyle","ConfigWebTitle":"ConfigTitle","startLatitude":42.55,"startLongitude":-99.2,"startZoom":4,"MaxZoom":16,"DataArray":[{"title":"Indonesia","ZIndex":15,"data":"{\"address\":\"Sheet1!A1:K4053\",\"id\":\"{CC0F1F05-B584-49ED-8258-139164EC8C71}\",\"DataRows\":[],\"rowIndex\":0,\"columnIndex\":0,\"rowCount\":4053,\"columnCount\":11,\"longitude\":\"10\",\"latitude\":\"9\",\"Header\":true,\"DatasetTitle\":\"Indonesia\",\"Properties\":[],\"Heatmap\":false,\"HeatmapWeighting\":null,\"HeatmapIntensity\":0.5,\"HeatmapOpacity\":8,\"visible\":true,\"clustering\":false,\"clisterDistance\":40,\"Stroke\":\"#ff7675\",\"strokeSize\":\"3\",\"Points\":\"20\",\"Fill\":\"#e74c3c\",\"Size\":\"10\",\"icon\":true,\"Image\":\"Red.png\",\"autoOpen\":false,\"pinLabel\":null}","heatmap":true,"moveablePins":true,"cluster":true,"autoOpen":true,"dataformat":"EXCEL","id":1,"style":{"fillColor":"rgba(231,76,60, 1)","strokeColor":"rgba(255,118,117, 1)","strokeWidth":"3","points":"20","radius":"10","icon":true,"iconType":"image","iconPath":"../Images/Red.png"},"LayerKey":"ghztnqyehzfm45ohqrk17s","feature":"{\"type\":\"FeatureCollection\",\"features\":[{\"type\":\"Feature\",\"geometry\":{\"type\":\"Point\",\"coordinates\":[96.749399,4.695135]},\"properties\":{\"metadata\":{\"Sheet\":\"Sheet1\",\"SheetId\":\"{CC0F1F05-B584-49ED-8258-139164EC8C71}\",\"Column\":\"A\",\"Row\":\"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29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39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49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59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69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79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89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99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109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111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112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113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114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115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116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117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118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119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120\",\"latitude\":\"9\",\"longitude\":\"10\"},\"Title\":\"Indonesia\"}},{\"type\":\"Feature\",\"geometry\":{\"type\":\"Point\",\"coordinates\":[96.749399,4.695135]},\"properties\":{\"metadata\":{\"Sheet\":\"Sheet1\",\"SheetId\":\"{CC0F1F05-B584-49ED-8258-139164EC8C71}\",\"Column\":\"A\",\"Row\":\"121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129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139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149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159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169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179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189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199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209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219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229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231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232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233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234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235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236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237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238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239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240\",\"latitude\":\"9\",\"longitude\":\"10\"},\"Title\":\"Indonesia\"}},{\"type\":\"Feature\",\"geometry\":{\"type\":\"Point\",\"coordinates\":[99.545097,2.115355]},\"properties\":{\"metadata\":{\"Sheet\":\"Sheet1\",\"SheetId\":\"{CC0F1F05-B584-49ED-8258-139164EC8C71}\",\"Column\":\"A\",\"Row\":\"241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249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259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269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279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289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299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309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319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329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339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349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351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352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353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354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355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356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357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358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359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360\",\"latitude\":\"9\",\"longitude\":\"10\"},\"Title\":\"Indonesia\"}},{\"type\":\"Feature\",\"geometry\":{\"type\":\"Point\",\"coordinates\":[100.800005,-0.73994]},\"properties\":{\"metadata\":{\"Sheet\":\"Sheet1\",\"SheetId\":\"{CC0F1F05-B584-49ED-8258-139164EC8C71}\",\"Column\":\"A\",\"Row\":\"361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369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379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389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399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409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419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429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439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449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459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469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471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472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473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474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475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476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477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478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479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480\",\"latitude\":\"9\",\"longitude\":\"10\"},\"Title\":\"Indonesia\"}},{\"type\":\"Feature\",\"geometry\":{\"type\":\"Point\",\"coordinates\":[101.706829,0.293347]},\"properties\":{\"metadata\":{\"Sheet\":\"Sheet1\",\"SheetId\":\"{CC0F1F05-B584-49ED-8258-139164EC8C71}\",\"Column\":\"A\",\"Row\":\"481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489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499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509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519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529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539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549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559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569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579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589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591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592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593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594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595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596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597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598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599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600\",\"latitude\":\"9\",\"longitude\":\"10\"},\"Title\":\"Indonesia\"}},{\"type\":\"Feature\",\"geometry\":{\"type\":\"Point\",\"coordinates\":[102.438058,-1.485183]},\"properties\":{\"metadata\":{\"Sheet\":\"Sheet1\",\"SheetId\":\"{CC0F1F05-B584-49ED-8258-139164EC8C71}\",\"Column\":\"A\",\"Row\":\"601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609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619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629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639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649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659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669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679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689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699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709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711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712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713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714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715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716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717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718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719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720\",\"latitude\":\"9\",\"longitude\":\"10\"},\"Title\":\"Indonesia\"}},{\"type\":\"Feature\",\"geometry\":{\"type\":\"Point\",\"coordinates\":[103.914399,-3.319437]},\"properties\":{\"metadata\":{\"Sheet\":\"Sheet1\",\"SheetId\":\"{CC0F1F05-B584-49ED-8258-139164EC8C71}\",\"Column\":\"A\",\"Row\":\"721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729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739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749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759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769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779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789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799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809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819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829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831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832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833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834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835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836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837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838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839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840\",\"latitude\":\"9\",\"longitude\":\"10\"},\"Title\":\"Indonesia\"}},{\"type\":\"Feature\",\"geometry\":{\"type\":\"Point\",\"coordinates\":[102.346388,-3.577847]},\"properties\":{\"metadata\":{\"Sheet\":\"Sheet1\",\"SheetId\":\"{CC0F1F05-B584-49ED-8258-139164EC8C71}\",\"Column\":\"A\",\"Row\":\"841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849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859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869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879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889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899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909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919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929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939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949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951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952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953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954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955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956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957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958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959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960\",\"latitude\":\"9\",\"longitude\":\"10\"},\"Title\":\"Indonesia\"}},{\"type\":\"Feature\",\"geometry\":{\"type\":\"Point\",\"coordinates\":[105.406808,-4.558585]},\"properties\":{\"metadata\":{\"Sheet\":\"Sheet1\",\"SheetId\":\"{CC0F1F05-B584-49ED-8258-139164EC8C71}\",\"Column\":\"A\",\"Row\":\"961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969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979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989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999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1009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1011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1012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1013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1014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1015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1016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1017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1018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1019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1020\",\"latitude\":\"9\",\"longitude\":\"10\"},\"Title\":\"Indonesia\"}},{\"type\":\"Feature\",\"geometry\":{\"type\":\"Point\",\"coordinates\":[106.440587,-2.741051]},\"properties\":{\"metadata\":{\"Sheet\":\"Sheet1\",\"SheetId\":\"{CC0F1F05-B584-49ED-8258-139164EC8C71}\",\"Column\":\"A\",\"Row\":\"1021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1089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1099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1109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1119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1129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1139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1149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1159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1169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1179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1189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1191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1192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1193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1194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1195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1196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1197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1198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1199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1200\",\"latitude\":\"9\",\"longitude\":\"10\"},\"Title\":\"Indonesia\"}},{\"type\":\"Feature\",\"geometry\":{\"type\":\"Point\",\"coordinates\":[108.142867,3.945651]},\"properties\":{\"metadata\":{\"Sheet\":\"Sheet1\",\"SheetId\":\"{CC0F1F05-B584-49ED-8258-139164EC8C71}\",\"Column\":\"A\",\"Row\":\"1201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1329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1339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1349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1359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1369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1379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1389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1399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1409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1419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1429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1431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1432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1433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1434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1435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1436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1437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1438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1439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1440\",\"latitude\":\"9\",\"longitude\":\"10\"},\"Title\":\"Indonesia\"}},{\"type\":\"Feature\",\"geometry\":{\"type\":\"Point\",\"coordinates\":[107.668887,-7.090911]},\"properties\":{\"metadata\":{\"Sheet\":\"Sheet1\",\"SheetId\":\"{CC0F1F05-B584-49ED-8258-139164EC8C71}\",\"Column\":\"A\",\"Row\":\"1441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1449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1459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1469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1479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1489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1499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1509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1519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1529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1539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1549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1551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1552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1553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1554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1555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1556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1557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1558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1559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1560\",\"latitude\":\"9\",\"longitude\":\"10\"},\"Title\":\"Indonesia\"}},{\"type\":\"Feature\",\"geometry\":{\"type\":\"Point\",\"coordinates\":[110.140259,-7.150975]},\"properties\":{\"metadata\":{\"Sheet\":\"Sheet1\",\"SheetId\":\"{CC0F1F05-B584-49ED-8258-139164EC8C71}\",\"Column\":\"A\",\"Row\":\"1561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1689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1699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1709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1719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1729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1739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1749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1759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1769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1779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1789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1791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1792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1793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1794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1795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1796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1797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1798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1799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1800\",\"latitude\":\"9\",\"longitude\":\"10\"},\"Title\":\"Indonesia\"}},{\"type\":\"Feature\",\"geometry\":{\"type\":\"Point\",\"coordinates\":[112.238402,-7.536064]},\"properties\":{\"metadata\":{\"Sheet\":\"Sheet1\",\"SheetId\":\"{CC0F1F05-B584-49ED-8258-139164EC8C71}\",\"Column\":\"A\",\"Row\":\"1801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1809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1819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1829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1839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1849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1859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1869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1879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1889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1899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1909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1911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1912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1913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1914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1915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1916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1917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1918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1919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1920\",\"latitude\":\"9\",\"longitude\":\"10\"},\"Title\":\"Indonesia\"}},{\"type\":\"Feature\",\"geometry\":{\"type\":\"Point\",\"coordinates\":[106.064018,-6.405817]},\"properties\":{\"metadata\":{\"Sheet\":\"Sheet1\",\"SheetId\":\"{CC0F1F05-B584-49ED-8258-139164EC8C71}\",\"Column\":\"A\",\"Row\":\"1921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1929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1939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1949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1959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1969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1979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1989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1999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2009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2019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2029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2031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2032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2033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2034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2035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2036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2037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2038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2039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2040\",\"latitude\":\"9\",\"longitude\":\"10\"},\"Title\":\"Indonesia\"}},{\"type\":\"Feature\",\"geometry\":{\"type\":\"Point\",\"coordinates\":[115.188916,-8.409518]},\"properties\":{\"metadata\":{\"Sheet\":\"Sheet1\",\"SheetId\":\"{CC0F1F05-B584-49ED-8258-139164EC8C71}\",\"Column\":\"A\",\"Row\":\"2041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2049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2059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2069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2079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2089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2099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2109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2119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2129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2139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2149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2151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2152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2153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2154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2155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2156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2157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2158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2159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2160\",\"latitude\":\"9\",\"longitude\":\"10\"},\"Title\":\"Indonesia\"}},{\"type\":\"Feature\",\"geometry\":{\"type\":\"Point\",\"coordinates\":[117.361648,-8.652933]},\"properties\":{\"metadata\":{\"Sheet\":\"Sheet1\",\"SheetId\":\"{CC0F1F05-B584-49ED-8258-139164EC8C71}\",\"Column\":\"A\",\"Row\":\"2161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2169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2179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2189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2199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2209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2219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2229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2239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2249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2259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2269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2271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2272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2273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2274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2275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2276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2277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2278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2279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2280\",\"latitude\":\"9\",\"longitude\":\"10\"},\"Title\":\"Indonesia\"}},{\"type\":\"Feature\",\"geometry\":{\"type\":\"Point\",\"coordinates\":[121.07937,-8.657382]},\"properties\":{\"metadata\":{\"Sheet\":\"Sheet1\",\"SheetId\":\"{CC0F1F05-B584-49ED-8258-139164EC8C71}\",\"Column\":\"A\",\"Row\":\"2281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2289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2299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2309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2319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2329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2339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2349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2359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2369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2379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2389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2391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2392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2393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2394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2395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2396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2397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2398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2399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2400\",\"latitude\":\"9\",\"longitude\":\"10\"},\"Title\":\"Indonesia\"}},{\"type\":\"Feature\",\"geometry\":{\"type\":\"Point\",\"coordinates\":[111.475285,-0.278781]},\"properties\":{\"metadata\":{\"Sheet\":\"Sheet1\",\"SheetId\":\"{CC0F1F05-B584-49ED-8258-139164EC8C71}\",\"Column\":\"A\",\"Row\":\"2401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2409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2419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2429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2439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2449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2459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2469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2479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2489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2499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2509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2511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2512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2513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2514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2515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2516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2517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2518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2519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2520\",\"latitude\":\"9\",\"longitude\":\"10\"},\"Title\":\"Indonesia\"}},{\"type\":\"Feature\",\"geometry\":{\"type\":\"Point\",\"coordinates\":[113.382355,-1.681488]},\"properties\":{\"metadata\":{\"Sheet\":\"Sheet1\",\"SheetId\":\"{CC0F1F05-B584-49ED-8258-139164EC8C71}\",\"Column\":\"A\",\"Row\":\"2521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2529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2539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2549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2559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2569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2579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2589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2599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2609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2619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2629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2631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2632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2633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2634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2635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2636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2637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2638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2639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2640\",\"latitude\":\"9\",\"longitude\":\"10\"},\"Title\":\"Indonesia\"}},{\"type\":\"Feature\",\"geometry\":{\"type\":\"Point\",\"coordinates\":[115.283759,-3.092642]},\"properties\":{\"metadata\":{\"Sheet\":\"Sheet1\",\"SheetId\":\"{CC0F1F05-B584-49ED-8258-139164EC8C71}\",\"Column\":\"A\",\"Row\":\"2641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2649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2659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2669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2679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2689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2699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2709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2719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2729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2739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2749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2751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2752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2753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2754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2755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2756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2757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2758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2759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2760\",\"latitude\":\"9\",\"longitude\":\"10\"},\"Title\":\"Indonesia\"}},{\"type\":\"Feature\",\"geometry\":{\"type\":\"Point\",\"coordinates\":[116.419389,1.64063]},\"properties\":{\"metadata\":{\"Sheet\":\"Sheet1\",\"SheetId\":\"{CC0F1F05-B584-49ED-8258-139164EC8C71}\",\"Column\":\"A\",\"Row\":\"2761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2859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2869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2879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2889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2899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2909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2919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2929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2939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2949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2959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2963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2964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2965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2966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2967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2968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2969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2970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2971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2972\",\"latitude\":\"9\",\"longitude\":\"10\"},\"Title\":\"Indonesia\"}},{\"type\":\"Feature\",\"geometry\":{\"type\":\"Point\",\"coordinates\":[123.975002,0.624693]},\"properties\":{\"metadata\":{\"Sheet\":\"Sheet1\",\"SheetId\":\"{CC0F1F05-B584-49ED-8258-139164EC8C71}\",\"Column\":\"A\",\"Row\":\"2973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2979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2989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2999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3009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3019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3029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3039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3049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3059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3069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3079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3083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3084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3085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3086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3087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3088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3089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3090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3091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3092\",\"latitude\":\"9\",\"longitude\":\"10\"},\"Title\":\"Indonesia\"}},{\"type\":\"Feature\",\"geometry\":{\"type\":\"Point\",\"coordinates\":[121.445618,-1.430025]},\"properties\":{\"metadata\":{\"Sheet\":\"Sheet1\",\"SheetId\":\"{CC0F1F05-B584-49ED-8258-139164EC8C71}\",\"Column\":\"A\",\"Row\":\"3093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3099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3109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3119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3129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3139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3149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3159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3169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3179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3189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3199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3203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3204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3205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3206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3207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3208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3209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3210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3211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3212\",\"latitude\":\"9\",\"longitude\":\"10\"},\"Title\":\"Indonesia\"}},{\"type\":\"Feature\",\"geometry\":{\"type\":\"Point\",\"coordinates\":[119.974053,-3.668799]},\"properties\":{\"metadata\":{\"Sheet\":\"Sheet1\",\"SheetId\":\"{CC0F1F05-B584-49ED-8258-139164EC8C71}\",\"Column\":\"A\",\"Row\":\"3213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3219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3229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3239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3249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3259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3269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3279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3289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3299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3309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3319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3323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3324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3325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3326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3327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3328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3329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3330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3331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3332\",\"latitude\":\"9\",\"longitude\":\"10\"},\"Title\":\"Indonesia\"}},{\"type\":\"Feature\",\"geometry\":{\"type\":\"Point\",\"coordinates\":[122.174605,-4.14491]},\"properties\":{\"metadata\":{\"Sheet\":\"Sheet1\",\"SheetId\":\"{CC0F1F05-B584-49ED-8258-139164EC8C71}\",\"Column\":\"A\",\"Row\":\"3333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3339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3349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3359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3369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3379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3389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3399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3409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3419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3429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3439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3443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3444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3445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3446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3447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3448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3449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3450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3451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3452\",\"latitude\":\"9\",\"longitude\":\"10\"},\"Title\":\"Indonesia\"}},{\"type\":\"Feature\",\"geometry\":{\"type\":\"Point\",\"coordinates\":[122.446724,0.699937]},\"properties\":{\"metadata\":{\"Sheet\":\"Sheet1\",\"SheetId\":\"{CC0F1F05-B584-49ED-8258-139164EC8C71}\",\"Column\":\"A\",\"Row\":\"3453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3459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3469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3479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3489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3499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3509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3519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3529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3539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3549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3559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3563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3564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3565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3566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3567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3568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3569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3570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3571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3572\",\"latitude\":\"9\",\"longitude\":\"10\"},\"Title\":\"Indonesia\"}},{\"type\":\"Feature\",\"geometry\":{\"type\":\"Point\",\"coordinates\":[119.232078,-2.844137]},\"properties\":{\"metadata\":{\"Sheet\":\"Sheet1\",\"SheetId\":\"{CC0F1F05-B584-49ED-8258-139164EC8C71}\",\"Column\":\"A\",\"Row\":\"3573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3579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3589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3599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3609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3619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3629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3639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3649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3659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3669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3679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3683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3684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3685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3686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3687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3688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3689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3690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3691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3692\",\"latitude\":\"9\",\"longitude\":\"10\"},\"Title\":\"Indonesia\"}},{\"type\":\"Feature\",\"geometry\":{\"type\":\"Point\",\"coordinates\":[130.145273,-3.238462]},\"properties\":{\"metadata\":{\"Sheet\":\"Sheet1\",\"SheetId\":\"{CC0F1F05-B584-49ED-8258-139164EC8C71}\",\"Column\":\"A\",\"Row\":\"3693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3699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3709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3719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3729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3739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3749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3759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3769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3779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3789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3799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3803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3804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3805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3806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3807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3808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3809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3810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3811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3812\",\"latitude\":\"9\",\"longitude\":\"10\"},\"Title\":\"Indonesia\"}},{\"type\":\"Feature\",\"geometry\":{\"type\":\"Point\",\"coordinates\":[127.808769,1.570999]},\"properties\":{\"metadata\":{\"Sheet\":\"Sheet1\",\"SheetId\":\"{CC0F1F05-B584-49ED-8258-139164EC8C71}\",\"Column\":\"A\",\"Row\":\"3813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3819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3829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3839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3849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3859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3869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3879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3889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3899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3909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3919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3923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3924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3925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3926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3927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3928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3929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3930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3931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3932\",\"latitude\":\"9\",\"longitude\":\"10\"},\"Title\":\"Indonesia\"}},{\"type\":\"Feature\",\"geometry\":{\"type\":\"Point\",\"coordinates\":[133.174716,-1.336115]},\"properties\":{\"metadata\":{\"Sheet\":\"Sheet1\",\"SheetId\":\"{CC0F1F05-B584-49ED-8258-139164EC8C71}\",\"Column\":\"A\",\"Row\":\"3933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3939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3949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3959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3969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3979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3989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3999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4009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4019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4029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4039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4043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4044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4045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4046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4047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4048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4049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4050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4051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4052\",\"latitude\":\"9\",\"longitude\":\"10\"},\"Title\":\"Indonesia\"}},{\"type\":\"Feature\",\"geometry\":{\"type\":\"Point\",\"coordinates\":[138.080353,-4.269928]},\"properties\":{\"metadata\":{\"Sheet\":\"Sheet1\",\"SheetId\":\"{CC0F1F05-B584-49ED-8258-139164EC8C71}\",\"Column\":\"A\",\"Row\":\"4053\",\"latitude\":\"9\",\"longitude\":\"10\"},\"Title\":\"Indonesia\"}}]}"}],"UIArray":{"menuBarOpen":false,"scale":true,"zoomIn":true,"zoomOut":true,"myLocation":false,"baseLayers":["osm","open-topo","blank"],"mapLayers":true,"drawTools":true,"dataLayers":true,"annotate":true,"print":true,"searchLocation":true}}]}</Data>
</CommonToolsData>
</file>

<file path=customXml/itemProps1.xml><?xml version="1.0" encoding="utf-8"?>
<ds:datastoreItem xmlns:ds="http://schemas.openxmlformats.org/officeDocument/2006/customXml" ds:itemID="{9EEB7B10-D732-488C-BF8A-714826FD5BD1}">
  <ds:schemaRefs>
    <ds:schemaRef ds:uri="Mapci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Tanti Metasari</dc:creator>
  <cp:keywords/>
  <dc:description/>
  <cp:lastModifiedBy>Bernadetta Raras</cp:lastModifiedBy>
  <cp:revision/>
  <dcterms:created xsi:type="dcterms:W3CDTF">2024-09-09T02:20:43Z</dcterms:created>
  <dcterms:modified xsi:type="dcterms:W3CDTF">2026-05-10T11:01:15Z</dcterms:modified>
  <cp:category/>
  <cp:contentStatus/>
</cp:coreProperties>
</file>